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python/epsilonPhi/core/reporting/"/>
    </mc:Choice>
  </mc:AlternateContent>
  <xr:revisionPtr revIDLastSave="0" documentId="13_ncr:1_{CDCAA396-6EF8-9B46-BAD7-90DC0C0EFAB1}" xr6:coauthVersionLast="47" xr6:coauthVersionMax="47" xr10:uidLastSave="{00000000-0000-0000-0000-000000000000}"/>
  <bookViews>
    <workbookView xWindow="2120" yWindow="2240" windowWidth="46820" windowHeight="25620" activeTab="1" xr2:uid="{F2BD6400-8147-244C-A6D8-B970D6343C53}"/>
  </bookViews>
  <sheets>
    <sheet name="Sheet3" sheetId="3" r:id="rId1"/>
    <sheet name="Sheet4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1" i="3"/>
</calcChain>
</file>

<file path=xl/sharedStrings.xml><?xml version="1.0" encoding="utf-8"?>
<sst xmlns="http://schemas.openxmlformats.org/spreadsheetml/2006/main" count="91" uniqueCount="42">
  <si>
    <t>Low Volatility</t>
  </si>
  <si>
    <t>Conservative</t>
  </si>
  <si>
    <t>Moderate</t>
  </si>
  <si>
    <t>Aggressive</t>
  </si>
  <si>
    <t>Nominal</t>
  </si>
  <si>
    <t>Real</t>
  </si>
  <si>
    <t>Bond Crisis</t>
  </si>
  <si>
    <t>Asian Financial Crisis</t>
  </si>
  <si>
    <t>Russian Default / LTCM Collapse</t>
  </si>
  <si>
    <t>Tech Meltdown</t>
  </si>
  <si>
    <t>Financial Crisis</t>
  </si>
  <si>
    <t>US-China Trade War</t>
  </si>
  <si>
    <t>Covid-19</t>
  </si>
  <si>
    <t>Value at Risk with 99% Confidence</t>
  </si>
  <si>
    <t>Over 1 Month</t>
  </si>
  <si>
    <t>Over 1 Year</t>
  </si>
  <si>
    <t>Over 3 Years</t>
  </si>
  <si>
    <t>Conditional Value at Risk with 99% Confidence</t>
  </si>
  <si>
    <t>Probability of Loss</t>
  </si>
  <si>
    <t>Other Fixed Income</t>
  </si>
  <si>
    <t>Public Equity</t>
  </si>
  <si>
    <t>Hedge Funds</t>
  </si>
  <si>
    <t>Private Equity</t>
  </si>
  <si>
    <t>Investment Grade Fixed Income</t>
  </si>
  <si>
    <t>Other Private Assets</t>
  </si>
  <si>
    <t>Estimated Mean Return</t>
  </si>
  <si>
    <t>Sharpe Ratio</t>
  </si>
  <si>
    <t>Volatility</t>
  </si>
  <si>
    <t>Factor Based Risk Analytics</t>
  </si>
  <si>
    <t>Predicted Performance Over Stress Periods</t>
  </si>
  <si>
    <t>Portfolio Risk Premia</t>
  </si>
  <si>
    <t xml:space="preserve">  Black Monday</t>
  </si>
  <si>
    <t xml:space="preserve">  Bond Crisis</t>
  </si>
  <si>
    <t xml:space="preserve">  Asian Financial Crisis</t>
  </si>
  <si>
    <t xml:space="preserve">  Russian Default / LTCM Collapse</t>
  </si>
  <si>
    <t xml:space="preserve">  Tech Meltdown</t>
  </si>
  <si>
    <t xml:space="preserve">  Financial Crisis</t>
  </si>
  <si>
    <t xml:space="preserve">  US-China Trade War</t>
  </si>
  <si>
    <t xml:space="preserve">  Covid-19</t>
  </si>
  <si>
    <t xml:space="preserve">  Over 1 Month</t>
  </si>
  <si>
    <t xml:space="preserve">  Over 1 Year</t>
  </si>
  <si>
    <t xml:space="preserve">  Over 3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</si>
</sst>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4" tint="-0.499984740745262"/>
      <name val="Aptos Narrow"/>
      <scheme val="minor"/>
    </font>
    <font>
      <sz val="12"/>
      <color theme="1"/>
      <name val="Aptos Narrow"/>
      <scheme val="minor"/>
    </font>
    <font>
      <sz val="12"/>
      <color rgb="FFFFFFFF"/>
      <name val="Aptos Narrow"/>
      <family val="2"/>
      <scheme val="minor"/>
    </font>
    <font>
      <b/>
      <sz val="12"/>
      <color rgb="FF092539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9253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theme="1" tint="0.499984740745262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/>
    <xf numFmtId="0" fontId="2" fillId="3" borderId="0" xfId="0" applyFont="1" applyFill="1" applyAlignment="1">
      <alignment vertical="center"/>
    </xf>
    <xf numFmtId="0" fontId="0" fillId="4" borderId="0" xfId="0" applyFill="1"/>
    <xf numFmtId="164" fontId="0" fillId="4" borderId="0" xfId="1" applyNumberFormat="1" applyFont="1" applyFill="1" applyAlignment="1">
      <alignment horizontal="center"/>
    </xf>
    <xf numFmtId="0" fontId="0" fillId="4" borderId="1" xfId="0" applyFill="1" applyBorder="1"/>
    <xf numFmtId="164" fontId="0" fillId="4" borderId="1" xfId="1" applyNumberFormat="1" applyFont="1" applyFill="1" applyBorder="1" applyAlignment="1">
      <alignment horizontal="center"/>
    </xf>
    <xf numFmtId="0" fontId="0" fillId="4" borderId="0" xfId="0" applyFill="1" applyBorder="1"/>
    <xf numFmtId="2" fontId="0" fillId="4" borderId="0" xfId="0" applyNumberForma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left" indent="1"/>
    </xf>
    <xf numFmtId="164" fontId="3" fillId="4" borderId="1" xfId="1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6" fillId="4" borderId="0" xfId="0" applyFont="1" applyFill="1"/>
    <xf numFmtId="0" fontId="6" fillId="4" borderId="1" xfId="0" applyFont="1" applyFill="1" applyBorder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0" fillId="4" borderId="0" xfId="0" applyFill="1" applyAlignment="1"/>
  </cellXfs>
  <cellStyles count="2">
    <cellStyle name="Normal" xfId="0" builtinId="0"/>
    <cellStyle name="Per cent" xfId="1" builtinId="5"/>
  </cellStyles>
  <dxfs count="4"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</dxfs>
  <tableStyles count="0" defaultTableStyle="TableStyleMedium2" defaultPivotStyle="PivotStyleLight16"/>
  <colors>
    <mruColors>
      <color rgb="FFFFFFFF"/>
      <color rgb="FFFFFFE6"/>
      <color rgb="FF092539"/>
      <color rgb="FF0925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D719-2B58-994C-A660-0C81B7409C1E}">
  <dimension ref="A1:D41"/>
  <sheetViews>
    <sheetView zoomScale="140" zoomScaleNormal="140" workbookViewId="0">
      <selection activeCell="B21" sqref="B21"/>
    </sheetView>
  </sheetViews>
  <sheetFormatPr baseColWidth="10" defaultRowHeight="16" x14ac:dyDescent="0.2"/>
  <cols>
    <col min="1" max="1" width="39.33203125" bestFit="1" customWidth="1"/>
    <col min="2" max="2" width="14.1640625" style="1" customWidth="1"/>
    <col min="3" max="3" width="10.83203125" style="1" hidden="1" customWidth="1"/>
    <col min="4" max="4" width="10.83203125" style="1"/>
  </cols>
  <sheetData>
    <row r="1" spans="1:4" s="4" customFormat="1" ht="20" customHeight="1" x14ac:dyDescent="0.2">
      <c r="A1" s="6"/>
      <c r="B1" s="19" t="s">
        <v>4</v>
      </c>
      <c r="C1" s="22">
        <v>0</v>
      </c>
      <c r="D1" s="22">
        <f>C1+1</f>
        <v>1</v>
      </c>
    </row>
    <row r="2" spans="1:4" s="4" customFormat="1" ht="20" customHeight="1" x14ac:dyDescent="0.2">
      <c r="A2" s="6"/>
      <c r="B2" s="19" t="s">
        <v>0</v>
      </c>
      <c r="C2" s="22">
        <v>0</v>
      </c>
      <c r="D2" s="22">
        <f>C2+1</f>
        <v>1</v>
      </c>
    </row>
    <row r="3" spans="1:4" x14ac:dyDescent="0.2">
      <c r="A3" s="7" t="s">
        <v>21</v>
      </c>
      <c r="B3" s="8">
        <v>1.4985014985014899E-2</v>
      </c>
      <c r="C3" s="1">
        <v>1</v>
      </c>
      <c r="D3" s="22">
        <f>C3+1</f>
        <v>2</v>
      </c>
    </row>
    <row r="4" spans="1:4" x14ac:dyDescent="0.2">
      <c r="A4" s="7" t="s">
        <v>23</v>
      </c>
      <c r="B4" s="8">
        <v>0.74425574425574403</v>
      </c>
      <c r="C4" s="1">
        <v>1</v>
      </c>
      <c r="D4" s="22">
        <f>C4+1</f>
        <v>2</v>
      </c>
    </row>
    <row r="5" spans="1:4" x14ac:dyDescent="0.2">
      <c r="A5" s="7" t="s">
        <v>19</v>
      </c>
      <c r="B5" s="8">
        <v>1.99800199800199E-2</v>
      </c>
      <c r="C5" s="1">
        <v>1</v>
      </c>
      <c r="D5" s="22">
        <f>C5+1</f>
        <v>2</v>
      </c>
    </row>
    <row r="6" spans="1:4" x14ac:dyDescent="0.2">
      <c r="A6" s="7" t="s">
        <v>24</v>
      </c>
      <c r="B6" s="8">
        <v>3.9960039960039898E-2</v>
      </c>
      <c r="C6" s="1">
        <v>1</v>
      </c>
      <c r="D6" s="22">
        <f>C6+1</f>
        <v>2</v>
      </c>
    </row>
    <row r="7" spans="1:4" x14ac:dyDescent="0.2">
      <c r="A7" s="7" t="s">
        <v>22</v>
      </c>
      <c r="B7" s="8">
        <v>3.9960039960039898E-2</v>
      </c>
      <c r="C7" s="1">
        <v>1</v>
      </c>
      <c r="D7" s="22">
        <f>C7+1</f>
        <v>2</v>
      </c>
    </row>
    <row r="8" spans="1:4" x14ac:dyDescent="0.2">
      <c r="A8" s="7" t="s">
        <v>20</v>
      </c>
      <c r="B8" s="8">
        <v>0.14085914085914</v>
      </c>
      <c r="C8" s="1">
        <v>1</v>
      </c>
      <c r="D8" s="22">
        <f>C8+1</f>
        <v>2</v>
      </c>
    </row>
    <row r="9" spans="1:4" x14ac:dyDescent="0.2">
      <c r="A9" s="9" t="s">
        <v>25</v>
      </c>
      <c r="B9" s="10">
        <v>4.1814774547320903E-2</v>
      </c>
      <c r="C9" s="1">
        <v>1</v>
      </c>
      <c r="D9" s="22">
        <f>C9+1</f>
        <v>2</v>
      </c>
    </row>
    <row r="10" spans="1:4" x14ac:dyDescent="0.2">
      <c r="A10" s="11" t="s">
        <v>26</v>
      </c>
      <c r="B10" s="12">
        <v>0.50573804830977998</v>
      </c>
      <c r="C10" s="1">
        <v>1</v>
      </c>
      <c r="D10" s="22">
        <f>C10+1</f>
        <v>2</v>
      </c>
    </row>
    <row r="11" spans="1:4" x14ac:dyDescent="0.2">
      <c r="A11" s="7" t="s">
        <v>27</v>
      </c>
      <c r="B11" s="8">
        <v>3.3247991926882603E-2</v>
      </c>
      <c r="C11" s="1">
        <v>1</v>
      </c>
      <c r="D11" s="22">
        <f>C11+1</f>
        <v>2</v>
      </c>
    </row>
    <row r="12" spans="1:4" ht="18" customHeight="1" x14ac:dyDescent="0.2">
      <c r="A12" s="17" t="s">
        <v>28</v>
      </c>
      <c r="B12" s="18"/>
      <c r="C12" s="22">
        <v>0</v>
      </c>
      <c r="D12" s="22">
        <f>C12+1</f>
        <v>1</v>
      </c>
    </row>
    <row r="13" spans="1:4" s="5" customFormat="1" x14ac:dyDescent="0.2">
      <c r="A13" s="20" t="s">
        <v>29</v>
      </c>
      <c r="B13" s="13" t="s">
        <v>4</v>
      </c>
      <c r="C13" s="23">
        <v>2</v>
      </c>
      <c r="D13" s="22">
        <f>C13+1</f>
        <v>3</v>
      </c>
    </row>
    <row r="14" spans="1:4" x14ac:dyDescent="0.2">
      <c r="A14" s="24" t="s">
        <v>31</v>
      </c>
      <c r="B14" s="8">
        <v>-2.8099665179436999E-2</v>
      </c>
      <c r="C14" s="1">
        <v>3</v>
      </c>
      <c r="D14" s="22">
        <f>C14+1</f>
        <v>4</v>
      </c>
    </row>
    <row r="15" spans="1:4" x14ac:dyDescent="0.2">
      <c r="A15" s="14" t="s">
        <v>6</v>
      </c>
      <c r="B15" s="8">
        <v>-1.1550704170602799E-2</v>
      </c>
      <c r="C15" s="1">
        <v>3</v>
      </c>
      <c r="D15" s="22">
        <f>C15+1</f>
        <v>4</v>
      </c>
    </row>
    <row r="16" spans="1:4" x14ac:dyDescent="0.2">
      <c r="A16" s="14" t="s">
        <v>7</v>
      </c>
      <c r="B16" s="8">
        <v>5.0709894115144698E-2</v>
      </c>
      <c r="C16" s="1">
        <v>3</v>
      </c>
      <c r="D16" s="22">
        <f>C16+1</f>
        <v>4</v>
      </c>
    </row>
    <row r="17" spans="1:4" x14ac:dyDescent="0.2">
      <c r="A17" s="14" t="s">
        <v>8</v>
      </c>
      <c r="B17" s="8">
        <v>-2.3782367306899001E-2</v>
      </c>
      <c r="C17" s="1">
        <v>3</v>
      </c>
      <c r="D17" s="22">
        <f>C17+1</f>
        <v>4</v>
      </c>
    </row>
    <row r="18" spans="1:4" x14ac:dyDescent="0.2">
      <c r="A18" s="14" t="s">
        <v>9</v>
      </c>
      <c r="B18" s="8">
        <v>5.6418173818495402E-3</v>
      </c>
      <c r="C18" s="1">
        <v>3</v>
      </c>
      <c r="D18" s="22">
        <f>C18+1</f>
        <v>4</v>
      </c>
    </row>
    <row r="19" spans="1:4" x14ac:dyDescent="0.2">
      <c r="A19" s="14" t="s">
        <v>10</v>
      </c>
      <c r="B19" s="8">
        <v>-9.7240087969524297E-2</v>
      </c>
      <c r="C19" s="1">
        <v>3</v>
      </c>
      <c r="D19" s="22">
        <f>C19+1</f>
        <v>4</v>
      </c>
    </row>
    <row r="20" spans="1:4" x14ac:dyDescent="0.2">
      <c r="A20" s="14" t="s">
        <v>11</v>
      </c>
      <c r="B20" s="8">
        <v>0.108234877249665</v>
      </c>
      <c r="C20" s="1">
        <v>3</v>
      </c>
      <c r="D20" s="22">
        <f>C20+1</f>
        <v>4</v>
      </c>
    </row>
    <row r="21" spans="1:4" x14ac:dyDescent="0.2">
      <c r="A21" s="14" t="s">
        <v>12</v>
      </c>
      <c r="B21" s="8">
        <v>-3.5863810270430299E-2</v>
      </c>
      <c r="C21" s="1">
        <v>3</v>
      </c>
      <c r="D21" s="22">
        <f>C21+1</f>
        <v>4</v>
      </c>
    </row>
    <row r="22" spans="1:4" s="5" customFormat="1" x14ac:dyDescent="0.2">
      <c r="A22" s="21" t="s">
        <v>13</v>
      </c>
      <c r="B22" s="15"/>
      <c r="C22" s="23">
        <v>2</v>
      </c>
      <c r="D22" s="22">
        <f>C22+1</f>
        <v>3</v>
      </c>
    </row>
    <row r="23" spans="1:4" x14ac:dyDescent="0.2">
      <c r="A23" s="14" t="s">
        <v>14</v>
      </c>
      <c r="B23" s="8">
        <v>2.3609649140919099E-2</v>
      </c>
      <c r="C23" s="1">
        <v>3</v>
      </c>
      <c r="D23" s="22">
        <f>C23+1</f>
        <v>4</v>
      </c>
    </row>
    <row r="24" spans="1:4" x14ac:dyDescent="0.2">
      <c r="A24" s="14" t="s">
        <v>15</v>
      </c>
      <c r="B24" s="8">
        <v>3.2152580980548601E-2</v>
      </c>
      <c r="C24" s="1">
        <v>3</v>
      </c>
      <c r="D24" s="22">
        <f>C24+1</f>
        <v>4</v>
      </c>
    </row>
    <row r="25" spans="1:4" x14ac:dyDescent="0.2">
      <c r="A25" s="14" t="s">
        <v>16</v>
      </c>
      <c r="B25" s="8">
        <v>0</v>
      </c>
      <c r="C25" s="1">
        <v>3</v>
      </c>
      <c r="D25" s="22">
        <f>C25+1</f>
        <v>4</v>
      </c>
    </row>
    <row r="26" spans="1:4" s="5" customFormat="1" x14ac:dyDescent="0.2">
      <c r="A26" s="21" t="s">
        <v>17</v>
      </c>
      <c r="B26" s="15"/>
      <c r="C26" s="23">
        <v>2</v>
      </c>
      <c r="D26" s="22">
        <f>C26+1</f>
        <v>3</v>
      </c>
    </row>
    <row r="27" spans="1:4" x14ac:dyDescent="0.2">
      <c r="A27" s="14" t="s">
        <v>14</v>
      </c>
      <c r="B27" s="8">
        <v>2.6272000904694299E-2</v>
      </c>
      <c r="C27" s="1">
        <v>3</v>
      </c>
      <c r="D27" s="22">
        <f>C27+1</f>
        <v>4</v>
      </c>
    </row>
    <row r="28" spans="1:4" x14ac:dyDescent="0.2">
      <c r="A28" s="14" t="s">
        <v>15</v>
      </c>
      <c r="B28" s="8">
        <v>4.3540532439930897E-2</v>
      </c>
      <c r="C28" s="1">
        <v>3</v>
      </c>
      <c r="D28" s="22">
        <f>C28+1</f>
        <v>4</v>
      </c>
    </row>
    <row r="29" spans="1:4" x14ac:dyDescent="0.2">
      <c r="A29" s="14" t="s">
        <v>16</v>
      </c>
      <c r="B29" s="8">
        <v>0</v>
      </c>
      <c r="C29" s="1">
        <v>3</v>
      </c>
      <c r="D29" s="22">
        <f>C29+1</f>
        <v>4</v>
      </c>
    </row>
    <row r="30" spans="1:4" s="5" customFormat="1" x14ac:dyDescent="0.2">
      <c r="A30" s="21" t="s">
        <v>18</v>
      </c>
      <c r="B30" s="15"/>
      <c r="C30" s="23">
        <v>2</v>
      </c>
      <c r="D30" s="22">
        <f>C30+1</f>
        <v>3</v>
      </c>
    </row>
    <row r="31" spans="1:4" x14ac:dyDescent="0.2">
      <c r="A31" s="14" t="s">
        <v>14</v>
      </c>
      <c r="B31" s="8">
        <v>0.25035000000000002</v>
      </c>
      <c r="C31" s="1">
        <v>3</v>
      </c>
      <c r="D31" s="22">
        <f>C31+1</f>
        <v>4</v>
      </c>
    </row>
    <row r="32" spans="1:4" x14ac:dyDescent="0.2">
      <c r="A32" s="14" t="s">
        <v>15</v>
      </c>
      <c r="B32" s="8">
        <v>5.04E-2</v>
      </c>
      <c r="C32" s="1">
        <v>3</v>
      </c>
      <c r="D32" s="22">
        <f>C32+1</f>
        <v>4</v>
      </c>
    </row>
    <row r="33" spans="1:4" x14ac:dyDescent="0.2">
      <c r="A33" s="14" t="s">
        <v>16</v>
      </c>
      <c r="B33" s="8">
        <v>2.2499999999999998E-3</v>
      </c>
      <c r="C33" s="1">
        <v>3</v>
      </c>
      <c r="D33" s="22">
        <f>C33+1</f>
        <v>4</v>
      </c>
    </row>
    <row r="34" spans="1:4" x14ac:dyDescent="0.2">
      <c r="A34" s="17" t="s">
        <v>30</v>
      </c>
      <c r="B34" s="18"/>
      <c r="C34" s="22">
        <v>0</v>
      </c>
      <c r="D34" s="22">
        <f>C34+1</f>
        <v>1</v>
      </c>
    </row>
    <row r="35" spans="1:4" x14ac:dyDescent="0.2">
      <c r="A35" s="7"/>
      <c r="B35" s="16"/>
      <c r="C35" s="1">
        <v>4</v>
      </c>
      <c r="D35" s="22">
        <f>C35+1</f>
        <v>5</v>
      </c>
    </row>
    <row r="36" spans="1:4" x14ac:dyDescent="0.2">
      <c r="A36" s="7"/>
      <c r="B36" s="16"/>
      <c r="C36" s="1">
        <v>4</v>
      </c>
      <c r="D36" s="22">
        <f>C36+1</f>
        <v>5</v>
      </c>
    </row>
    <row r="37" spans="1:4" x14ac:dyDescent="0.2">
      <c r="A37" s="7"/>
      <c r="B37" s="16"/>
      <c r="C37" s="1">
        <v>4</v>
      </c>
      <c r="D37" s="22">
        <f>C37+1</f>
        <v>5</v>
      </c>
    </row>
    <row r="38" spans="1:4" x14ac:dyDescent="0.2">
      <c r="A38" s="7"/>
      <c r="B38" s="16"/>
      <c r="C38" s="1">
        <v>4</v>
      </c>
      <c r="D38" s="22">
        <f>C38+1</f>
        <v>5</v>
      </c>
    </row>
    <row r="39" spans="1:4" x14ac:dyDescent="0.2">
      <c r="A39" s="7"/>
      <c r="B39" s="16"/>
      <c r="C39" s="1">
        <v>4</v>
      </c>
      <c r="D39" s="22">
        <f>C39+1</f>
        <v>5</v>
      </c>
    </row>
    <row r="40" spans="1:4" x14ac:dyDescent="0.2">
      <c r="A40" s="7"/>
      <c r="B40" s="16"/>
      <c r="C40" s="1">
        <v>4</v>
      </c>
      <c r="D40" s="22">
        <f>C40+1</f>
        <v>5</v>
      </c>
    </row>
    <row r="41" spans="1:4" x14ac:dyDescent="0.2">
      <c r="A41" s="2"/>
      <c r="B41" s="3"/>
      <c r="C41" s="1">
        <v>4</v>
      </c>
      <c r="D41" s="22">
        <f>C41+1</f>
        <v>5</v>
      </c>
    </row>
  </sheetData>
  <conditionalFormatting sqref="B14:B21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6298D-7C34-0A4A-A6EE-58184D671CA1}">
  <dimension ref="A1:I34"/>
  <sheetViews>
    <sheetView tabSelected="1" workbookViewId="0">
      <selection activeCell="L13" sqref="L13"/>
    </sheetView>
  </sheetViews>
  <sheetFormatPr baseColWidth="10" defaultRowHeight="16" x14ac:dyDescent="0.2"/>
  <cols>
    <col min="1" max="1" width="40" bestFit="1" customWidth="1"/>
    <col min="2" max="9" width="13.1640625" customWidth="1"/>
  </cols>
  <sheetData>
    <row r="1" spans="1:9" x14ac:dyDescent="0.2">
      <c r="B1" t="s">
        <v>4</v>
      </c>
      <c r="C1" t="s">
        <v>5</v>
      </c>
      <c r="D1" t="s">
        <v>4</v>
      </c>
      <c r="E1" t="s">
        <v>5</v>
      </c>
      <c r="F1" t="s">
        <v>4</v>
      </c>
      <c r="G1" t="s">
        <v>5</v>
      </c>
      <c r="H1" t="s">
        <v>4</v>
      </c>
      <c r="I1" t="s">
        <v>5</v>
      </c>
    </row>
    <row r="2" spans="1:9" x14ac:dyDescent="0.2">
      <c r="B2" t="s">
        <v>3</v>
      </c>
      <c r="C2" t="s">
        <v>3</v>
      </c>
      <c r="D2" t="s">
        <v>1</v>
      </c>
      <c r="E2" t="s">
        <v>1</v>
      </c>
      <c r="F2" t="s">
        <v>0</v>
      </c>
      <c r="G2" t="s">
        <v>0</v>
      </c>
      <c r="H2" t="s">
        <v>2</v>
      </c>
      <c r="I2" t="s">
        <v>2</v>
      </c>
    </row>
    <row r="3" spans="1:9" x14ac:dyDescent="0.2">
      <c r="A3" t="s">
        <v>21</v>
      </c>
      <c r="B3">
        <v>0.03</v>
      </c>
      <c r="C3">
        <v>0.03</v>
      </c>
      <c r="D3">
        <v>3.4999999999999899E-2</v>
      </c>
      <c r="E3">
        <v>3.4999999999999899E-2</v>
      </c>
      <c r="F3">
        <v>1.4985014985014899E-2</v>
      </c>
      <c r="G3">
        <v>1.4985014985014899E-2</v>
      </c>
      <c r="H3">
        <v>4.4999999999999998E-2</v>
      </c>
      <c r="I3">
        <v>4.4999999999999998E-2</v>
      </c>
    </row>
    <row r="4" spans="1:9" x14ac:dyDescent="0.2">
      <c r="A4" t="s">
        <v>23</v>
      </c>
      <c r="B4">
        <v>0.15</v>
      </c>
      <c r="C4">
        <v>0.15</v>
      </c>
      <c r="D4">
        <v>0.58499999999999996</v>
      </c>
      <c r="E4">
        <v>0.58499999999999996</v>
      </c>
      <c r="F4">
        <v>0.74425574425574403</v>
      </c>
      <c r="G4">
        <v>0.74425574425574403</v>
      </c>
      <c r="H4">
        <v>0.36</v>
      </c>
      <c r="I4">
        <v>0.36</v>
      </c>
    </row>
    <row r="5" spans="1:9" x14ac:dyDescent="0.2">
      <c r="A5" t="s">
        <v>19</v>
      </c>
      <c r="B5">
        <v>5.5E-2</v>
      </c>
      <c r="C5">
        <v>5.5E-2</v>
      </c>
      <c r="D5">
        <v>0.03</v>
      </c>
      <c r="E5">
        <v>0.03</v>
      </c>
      <c r="F5">
        <v>1.99800199800199E-2</v>
      </c>
      <c r="G5">
        <v>1.99800199800199E-2</v>
      </c>
      <c r="H5">
        <v>4.4999999999999998E-2</v>
      </c>
      <c r="I5">
        <v>4.4999999999999998E-2</v>
      </c>
    </row>
    <row r="6" spans="1:9" x14ac:dyDescent="0.2">
      <c r="A6" t="s">
        <v>24</v>
      </c>
      <c r="B6">
        <v>7.4999999999999997E-2</v>
      </c>
      <c r="C6">
        <v>7.4999999999999997E-2</v>
      </c>
      <c r="D6">
        <v>7.0000000000000007E-2</v>
      </c>
      <c r="E6">
        <v>7.0000000000000007E-2</v>
      </c>
      <c r="F6">
        <v>3.9960039960039898E-2</v>
      </c>
      <c r="G6">
        <v>3.9960039960039898E-2</v>
      </c>
      <c r="H6">
        <v>7.4999999999999997E-2</v>
      </c>
      <c r="I6">
        <v>7.4999999999999997E-2</v>
      </c>
    </row>
    <row r="7" spans="1:9" x14ac:dyDescent="0.2">
      <c r="A7" t="s">
        <v>22</v>
      </c>
      <c r="B7">
        <v>0.185</v>
      </c>
      <c r="C7">
        <v>0.185</v>
      </c>
      <c r="D7">
        <v>5.4999999999999903E-2</v>
      </c>
      <c r="E7">
        <v>5.4999999999999903E-2</v>
      </c>
      <c r="F7">
        <v>3.9960039960039898E-2</v>
      </c>
      <c r="G7">
        <v>3.9960039960039898E-2</v>
      </c>
      <c r="H7">
        <v>0.12</v>
      </c>
      <c r="I7">
        <v>0.12</v>
      </c>
    </row>
    <row r="8" spans="1:9" x14ac:dyDescent="0.2">
      <c r="A8" t="s">
        <v>20</v>
      </c>
      <c r="B8">
        <v>0.505</v>
      </c>
      <c r="C8">
        <v>0.505</v>
      </c>
      <c r="D8">
        <v>0.22500000000000001</v>
      </c>
      <c r="E8">
        <v>0.22500000000000001</v>
      </c>
      <c r="F8">
        <v>0.14085914085914</v>
      </c>
      <c r="G8">
        <v>0.14085914085914</v>
      </c>
      <c r="H8">
        <v>0.35499999999999998</v>
      </c>
      <c r="I8">
        <v>0.35499999999999998</v>
      </c>
    </row>
    <row r="9" spans="1:9" x14ac:dyDescent="0.2">
      <c r="A9" t="s">
        <v>25</v>
      </c>
      <c r="B9">
        <v>6.8972262210836105E-2</v>
      </c>
      <c r="C9">
        <v>6.8972262210836105E-2</v>
      </c>
      <c r="D9">
        <v>5.1528348177458702E-2</v>
      </c>
      <c r="E9">
        <v>5.1528348177458702E-2</v>
      </c>
      <c r="F9">
        <v>4.1814774547320903E-2</v>
      </c>
      <c r="G9">
        <v>4.1814774547320903E-2</v>
      </c>
      <c r="H9">
        <v>6.0049488703188401E-2</v>
      </c>
      <c r="I9">
        <v>6.0049488703188401E-2</v>
      </c>
    </row>
    <row r="10" spans="1:9" x14ac:dyDescent="0.2">
      <c r="A10" t="s">
        <v>26</v>
      </c>
      <c r="B10">
        <v>0.406120131759445</v>
      </c>
      <c r="C10">
        <v>0.406120131759445</v>
      </c>
      <c r="D10">
        <v>0.50741348599580405</v>
      </c>
      <c r="E10">
        <v>0.50741348599580405</v>
      </c>
      <c r="F10">
        <v>0.50573804830977998</v>
      </c>
      <c r="G10">
        <v>0.50573804830977998</v>
      </c>
      <c r="H10">
        <v>0.44574218858783698</v>
      </c>
      <c r="I10">
        <v>0.44574218858783698</v>
      </c>
    </row>
    <row r="11" spans="1:9" x14ac:dyDescent="0.2">
      <c r="A11" t="s">
        <v>27</v>
      </c>
      <c r="B11">
        <v>0.108274027244928</v>
      </c>
      <c r="C11">
        <v>0.108274027244928</v>
      </c>
      <c r="D11">
        <v>5.2281519726257497E-2</v>
      </c>
      <c r="E11">
        <v>5.2281519726257497E-2</v>
      </c>
      <c r="F11">
        <v>3.3247991926882603E-2</v>
      </c>
      <c r="G11">
        <v>3.3247991926882603E-2</v>
      </c>
      <c r="H11">
        <v>7.8631750820421897E-2</v>
      </c>
      <c r="I11">
        <v>7.8631750820421897E-2</v>
      </c>
    </row>
    <row r="12" spans="1:9" x14ac:dyDescent="0.2">
      <c r="A12" t="s">
        <v>28</v>
      </c>
    </row>
    <row r="13" spans="1:9" x14ac:dyDescent="0.2">
      <c r="A13" t="s">
        <v>29</v>
      </c>
      <c r="B13" t="s">
        <v>4</v>
      </c>
      <c r="C13" t="s">
        <v>5</v>
      </c>
      <c r="D13" t="s">
        <v>4</v>
      </c>
      <c r="E13" t="s">
        <v>5</v>
      </c>
      <c r="F13" t="s">
        <v>4</v>
      </c>
      <c r="G13" t="s">
        <v>5</v>
      </c>
      <c r="H13" t="s">
        <v>4</v>
      </c>
      <c r="I13" t="s">
        <v>5</v>
      </c>
    </row>
    <row r="14" spans="1:9" x14ac:dyDescent="0.2">
      <c r="A14" t="s">
        <v>31</v>
      </c>
      <c r="B14">
        <v>-0.15333118984949001</v>
      </c>
      <c r="C14">
        <v>-0.15554684380710301</v>
      </c>
      <c r="D14">
        <v>-5.1853089161790301E-2</v>
      </c>
      <c r="E14">
        <v>-5.4334301921976899E-2</v>
      </c>
      <c r="F14">
        <v>-2.8099665179436999E-2</v>
      </c>
      <c r="G14">
        <v>-3.06430384529464E-2</v>
      </c>
      <c r="H14">
        <v>-0.101305338205309</v>
      </c>
      <c r="I14">
        <v>-0.10365713900418</v>
      </c>
    </row>
    <row r="15" spans="1:9" x14ac:dyDescent="0.2">
      <c r="A15" t="s">
        <v>32</v>
      </c>
      <c r="B15">
        <v>-4.5652217160148799E-2</v>
      </c>
      <c r="C15">
        <v>-6.7950711765895802E-2</v>
      </c>
      <c r="D15">
        <v>-3.4619168776731803E-2</v>
      </c>
      <c r="E15">
        <v>-5.7175452392194501E-2</v>
      </c>
      <c r="F15">
        <v>-1.1550704170602799E-2</v>
      </c>
      <c r="G15">
        <v>-3.4645986296704699E-2</v>
      </c>
      <c r="H15">
        <v>-3.9642340160980297E-2</v>
      </c>
      <c r="I15">
        <v>-6.2081256541950999E-2</v>
      </c>
    </row>
    <row r="16" spans="1:9" x14ac:dyDescent="0.2">
      <c r="A16" t="s">
        <v>33</v>
      </c>
      <c r="B16">
        <v>-2.8102385210539701E-2</v>
      </c>
      <c r="C16">
        <v>-4.5950601070435498E-2</v>
      </c>
      <c r="D16">
        <v>4.3149622824206299E-2</v>
      </c>
      <c r="E16">
        <v>2.3992913970292101E-2</v>
      </c>
      <c r="F16">
        <v>5.0709894115144698E-2</v>
      </c>
      <c r="G16">
        <v>3.14143461984457E-2</v>
      </c>
      <c r="H16">
        <v>8.0821642123138897E-3</v>
      </c>
      <c r="I16">
        <v>-1.0430555437965301E-2</v>
      </c>
    </row>
    <row r="17" spans="1:9" x14ac:dyDescent="0.2">
      <c r="A17" t="s">
        <v>34</v>
      </c>
      <c r="B17">
        <v>-0.114221641021421</v>
      </c>
      <c r="C17">
        <v>-0.115309239903362</v>
      </c>
      <c r="D17">
        <v>-4.23457353143653E-2</v>
      </c>
      <c r="E17">
        <v>-4.3521586696373099E-2</v>
      </c>
      <c r="F17">
        <v>-2.3782367306899001E-2</v>
      </c>
      <c r="G17">
        <v>-2.49810116348907E-2</v>
      </c>
      <c r="H17">
        <v>-7.76626760858624E-2</v>
      </c>
      <c r="I17">
        <v>-7.8795163724663497E-2</v>
      </c>
    </row>
    <row r="18" spans="1:9" x14ac:dyDescent="0.2">
      <c r="A18" t="s">
        <v>35</v>
      </c>
      <c r="B18">
        <v>-0.29329870660186902</v>
      </c>
      <c r="C18">
        <v>-0.33160567238921201</v>
      </c>
      <c r="D18">
        <v>-5.3670106777336898E-2</v>
      </c>
      <c r="E18">
        <v>-0.104966216154623</v>
      </c>
      <c r="F18">
        <v>5.6418173818495402E-3</v>
      </c>
      <c r="G18">
        <v>-4.8869313491466698E-2</v>
      </c>
      <c r="H18">
        <v>-0.17817738355673299</v>
      </c>
      <c r="I18">
        <v>-0.22272453685254701</v>
      </c>
    </row>
    <row r="19" spans="1:9" x14ac:dyDescent="0.2">
      <c r="A19" t="s">
        <v>36</v>
      </c>
      <c r="B19">
        <v>-0.41826358052375301</v>
      </c>
      <c r="C19">
        <v>-0.42787797411998502</v>
      </c>
      <c r="D19">
        <v>-0.17518645720000101</v>
      </c>
      <c r="E19">
        <v>-0.188818201368815</v>
      </c>
      <c r="F19">
        <v>-9.7240087969524297E-2</v>
      </c>
      <c r="G19">
        <v>-0.11216005657828899</v>
      </c>
      <c r="H19">
        <v>-0.30308733173129099</v>
      </c>
      <c r="I19">
        <v>-0.31460525027757802</v>
      </c>
    </row>
    <row r="20" spans="1:9" x14ac:dyDescent="0.2">
      <c r="A20" t="s">
        <v>37</v>
      </c>
      <c r="B20">
        <v>0.215170515911803</v>
      </c>
      <c r="C20">
        <v>0.17079202994979301</v>
      </c>
      <c r="D20">
        <v>0.14691027866265399</v>
      </c>
      <c r="E20">
        <v>0.105024682332888</v>
      </c>
      <c r="F20">
        <v>0.108234877249665</v>
      </c>
      <c r="G20">
        <v>6.7761721179275994E-2</v>
      </c>
      <c r="H20">
        <v>0.18209724014373299</v>
      </c>
      <c r="I20">
        <v>0.13892660269777199</v>
      </c>
    </row>
    <row r="21" spans="1:9" x14ac:dyDescent="0.2">
      <c r="A21" t="s">
        <v>38</v>
      </c>
      <c r="B21">
        <v>-0.15976340553797599</v>
      </c>
      <c r="C21">
        <v>-0.156789028758891</v>
      </c>
      <c r="D21">
        <v>-6.16283434825163E-2</v>
      </c>
      <c r="E21">
        <v>-5.8306575680812801E-2</v>
      </c>
      <c r="F21">
        <v>-3.5863810270430299E-2</v>
      </c>
      <c r="G21">
        <v>-3.2450837884428797E-2</v>
      </c>
      <c r="H21">
        <v>-0.11021222181755599</v>
      </c>
      <c r="I21">
        <v>-0.107062437431607</v>
      </c>
    </row>
    <row r="22" spans="1:9" x14ac:dyDescent="0.2">
      <c r="A22" t="s">
        <v>13</v>
      </c>
    </row>
    <row r="23" spans="1:9" x14ac:dyDescent="0.2">
      <c r="A23" t="s">
        <v>39</v>
      </c>
      <c r="B23">
        <v>8.0318643128457004E-2</v>
      </c>
      <c r="C23">
        <v>8.2264521970214194E-2</v>
      </c>
      <c r="D23">
        <v>3.9420826696360801E-2</v>
      </c>
      <c r="E23">
        <v>4.1453237895303197E-2</v>
      </c>
      <c r="F23">
        <v>2.3609649140919099E-2</v>
      </c>
      <c r="G23">
        <v>2.5675513922059801E-2</v>
      </c>
      <c r="H23">
        <v>5.9345128629289597E-2</v>
      </c>
      <c r="I23">
        <v>6.1335383621325699E-2</v>
      </c>
    </row>
    <row r="24" spans="1:9" x14ac:dyDescent="0.2">
      <c r="A24" t="s">
        <v>40</v>
      </c>
      <c r="B24">
        <v>0.18387345383419801</v>
      </c>
      <c r="C24">
        <v>0.20932132701147399</v>
      </c>
      <c r="D24">
        <v>7.5113128696214296E-2</v>
      </c>
      <c r="E24">
        <v>0.106814975824248</v>
      </c>
      <c r="F24">
        <v>3.2152580980548601E-2</v>
      </c>
      <c r="G24">
        <v>6.5013554364083903E-2</v>
      </c>
      <c r="H24">
        <v>0.12838458173464801</v>
      </c>
      <c r="I24">
        <v>0.157789917642157</v>
      </c>
    </row>
    <row r="25" spans="1:9" x14ac:dyDescent="0.2">
      <c r="A25" t="s">
        <v>41</v>
      </c>
      <c r="B25">
        <v>0.180027380427426</v>
      </c>
      <c r="C25">
        <v>0.239219401094692</v>
      </c>
      <c r="D25">
        <v>1.9085799098479999E-2</v>
      </c>
      <c r="E25">
        <v>9.1802841255714807E-2</v>
      </c>
      <c r="F25">
        <v>0</v>
      </c>
      <c r="G25">
        <v>4.53428123275951E-2</v>
      </c>
      <c r="H25">
        <v>9.6074413456183394E-2</v>
      </c>
      <c r="I25">
        <v>0.163187838167383</v>
      </c>
    </row>
    <row r="26" spans="1:9" x14ac:dyDescent="0.2">
      <c r="A26" t="s">
        <v>17</v>
      </c>
    </row>
    <row r="27" spans="1:9" x14ac:dyDescent="0.2">
      <c r="A27" t="s">
        <v>39</v>
      </c>
      <c r="B27">
        <v>8.8841814882103104E-2</v>
      </c>
      <c r="C27">
        <v>9.0769660239266595E-2</v>
      </c>
      <c r="D27">
        <v>4.3687429813914103E-2</v>
      </c>
      <c r="E27">
        <v>4.5710813654988802E-2</v>
      </c>
      <c r="F27">
        <v>2.6272000904694299E-2</v>
      </c>
      <c r="G27">
        <v>2.8332232632682901E-2</v>
      </c>
      <c r="H27">
        <v>6.5132922260268206E-2</v>
      </c>
      <c r="I27">
        <v>6.7110931331385196E-2</v>
      </c>
    </row>
    <row r="28" spans="1:9" x14ac:dyDescent="0.2">
      <c r="A28" t="s">
        <v>40</v>
      </c>
      <c r="B28">
        <v>0.209210123442196</v>
      </c>
      <c r="C28">
        <v>0.235854833249839</v>
      </c>
      <c r="D28">
        <v>9.3073305581130195E-2</v>
      </c>
      <c r="E28">
        <v>0.124716275161613</v>
      </c>
      <c r="F28">
        <v>4.3540532439930897E-2</v>
      </c>
      <c r="G28">
        <v>7.6686699397637004E-2</v>
      </c>
      <c r="H28">
        <v>0.148699471571098</v>
      </c>
      <c r="I28">
        <v>0.17773973806806101</v>
      </c>
    </row>
    <row r="29" spans="1:9" x14ac:dyDescent="0.2">
      <c r="A29" t="s">
        <v>41</v>
      </c>
      <c r="B29">
        <v>0.228694789355325</v>
      </c>
      <c r="C29">
        <v>0.28784281431161701</v>
      </c>
      <c r="D29">
        <v>4.9520833258242698E-2</v>
      </c>
      <c r="E29">
        <v>0.12430715853303601</v>
      </c>
      <c r="F29">
        <v>0</v>
      </c>
      <c r="G29">
        <v>6.8302043842945401E-2</v>
      </c>
      <c r="H29">
        <v>0.13566336157777401</v>
      </c>
      <c r="I29">
        <v>0.202479760174578</v>
      </c>
    </row>
    <row r="30" spans="1:9" x14ac:dyDescent="0.2">
      <c r="A30" t="s">
        <v>18</v>
      </c>
    </row>
    <row r="31" spans="1:9" x14ac:dyDescent="0.2">
      <c r="A31" t="s">
        <v>39</v>
      </c>
      <c r="B31">
        <v>0.3624</v>
      </c>
      <c r="C31">
        <v>0.38955000000000001</v>
      </c>
      <c r="D31">
        <v>0.28899999999999998</v>
      </c>
      <c r="E31">
        <v>0.33679999999999999</v>
      </c>
      <c r="F31">
        <v>0.25035000000000002</v>
      </c>
      <c r="G31">
        <v>0.31824999999999998</v>
      </c>
      <c r="H31">
        <v>0.33829999999999999</v>
      </c>
      <c r="I31">
        <v>0.37595000000000001</v>
      </c>
    </row>
    <row r="32" spans="1:9" x14ac:dyDescent="0.2">
      <c r="A32" t="s">
        <v>40</v>
      </c>
      <c r="B32">
        <v>0.23624999999999999</v>
      </c>
      <c r="C32">
        <v>0.29709999999999998</v>
      </c>
      <c r="D32">
        <v>9.6600000000000005E-2</v>
      </c>
      <c r="E32">
        <v>0.17605000000000001</v>
      </c>
      <c r="F32">
        <v>5.04E-2</v>
      </c>
      <c r="G32">
        <v>0.13400000000000001</v>
      </c>
      <c r="H32">
        <v>0.17085</v>
      </c>
      <c r="I32">
        <v>0.248</v>
      </c>
    </row>
    <row r="33" spans="1:9" x14ac:dyDescent="0.2">
      <c r="A33" t="s">
        <v>41</v>
      </c>
      <c r="B33">
        <v>0.1179</v>
      </c>
      <c r="C33">
        <v>0.21665000000000001</v>
      </c>
      <c r="D33">
        <v>1.52E-2</v>
      </c>
      <c r="E33">
        <v>7.4749999999999997E-2</v>
      </c>
      <c r="F33">
        <v>2.2499999999999998E-3</v>
      </c>
      <c r="G33">
        <v>4.5199999999999997E-2</v>
      </c>
      <c r="H33">
        <v>5.8400000000000001E-2</v>
      </c>
      <c r="I33">
        <v>0.14635000000000001</v>
      </c>
    </row>
    <row r="34" spans="1:9" x14ac:dyDescent="0.2">
      <c r="A3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Barker</dc:creator>
  <cp:lastModifiedBy>Francis Barker</cp:lastModifiedBy>
  <dcterms:created xsi:type="dcterms:W3CDTF">2025-06-24T12:11:55Z</dcterms:created>
  <dcterms:modified xsi:type="dcterms:W3CDTF">2025-06-24T16:01:53Z</dcterms:modified>
</cp:coreProperties>
</file>