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sitories/Python/epsilon-phi/epsilon-phi-core/src/python/epsilonPhi/core/reporting/"/>
    </mc:Choice>
  </mc:AlternateContent>
  <xr:revisionPtr revIDLastSave="0" documentId="13_ncr:1_{207272FA-1F82-F647-99CE-A030A062C170}" xr6:coauthVersionLast="47" xr6:coauthVersionMax="47" xr10:uidLastSave="{00000000-0000-0000-0000-000000000000}"/>
  <bookViews>
    <workbookView xWindow="-40300" yWindow="2780" windowWidth="32820" windowHeight="20420" firstSheet="2" activeTab="3" xr2:uid="{00000000-000D-0000-FFFF-FFFF00000000}"/>
  </bookViews>
  <sheets>
    <sheet name="Portfolios" sheetId="2" r:id="rId1"/>
    <sheet name="Sheet1" sheetId="12" r:id="rId2"/>
    <sheet name="Risk-Metrics" sheetId="3" r:id="rId3"/>
    <sheet name="Factor Charts" sheetId="4" r:id="rId4"/>
    <sheet name="Assumptions" sheetId="5" r:id="rId5"/>
    <sheet name="Sheet4" sheetId="14" r:id="rId6"/>
    <sheet name="RAW WEIGHTS" sheetId="6" r:id="rId7"/>
    <sheet name="Sheet3" sheetId="9" r:id="rId8"/>
    <sheet name="Sheet2" sheetId="13" r:id="rId9"/>
    <sheet name="Sheet4 (2)" sheetId="1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9" l="1"/>
  <c r="M5" i="9"/>
  <c r="M7" i="9"/>
  <c r="M9" i="9"/>
  <c r="M10" i="9"/>
  <c r="M11" i="9"/>
  <c r="M12" i="9"/>
  <c r="M13" i="9"/>
  <c r="M14" i="9"/>
  <c r="M15" i="9"/>
  <c r="M16" i="9"/>
  <c r="M17" i="9"/>
  <c r="M18" i="9"/>
  <c r="M20" i="9"/>
  <c r="M21" i="9"/>
  <c r="M22" i="9"/>
  <c r="M24" i="9"/>
  <c r="M25" i="9"/>
  <c r="M26" i="9"/>
  <c r="M28" i="9"/>
  <c r="M29" i="9"/>
  <c r="M30" i="9"/>
  <c r="M4" i="9"/>
  <c r="L5" i="9"/>
  <c r="L7" i="9"/>
  <c r="L9" i="9"/>
  <c r="L10" i="9"/>
  <c r="L11" i="9"/>
  <c r="L12" i="9"/>
  <c r="L13" i="9"/>
  <c r="L14" i="9"/>
  <c r="L15" i="9"/>
  <c r="L16" i="9"/>
  <c r="L17" i="9"/>
  <c r="L18" i="9"/>
  <c r="L20" i="9"/>
  <c r="L21" i="9"/>
  <c r="L22" i="9"/>
  <c r="L24" i="9"/>
  <c r="L25" i="9"/>
  <c r="L26" i="9"/>
  <c r="L28" i="9"/>
  <c r="L29" i="9"/>
  <c r="L30" i="9"/>
  <c r="L4" i="9"/>
  <c r="K5" i="9"/>
  <c r="K9" i="9"/>
  <c r="K10" i="9"/>
  <c r="K11" i="9"/>
  <c r="K12" i="9"/>
  <c r="K13" i="9"/>
  <c r="K14" i="9"/>
  <c r="K15" i="9"/>
  <c r="K16" i="9"/>
  <c r="K17" i="9"/>
  <c r="K18" i="9"/>
  <c r="K20" i="9"/>
  <c r="K21" i="9"/>
  <c r="K22" i="9"/>
  <c r="K24" i="9"/>
  <c r="K25" i="9"/>
  <c r="K26" i="9"/>
  <c r="K28" i="9"/>
  <c r="K29" i="9"/>
  <c r="K30" i="9"/>
  <c r="K4" i="9"/>
  <c r="E24" i="6"/>
  <c r="F24" i="6"/>
  <c r="G24" i="6"/>
  <c r="D24" i="6"/>
  <c r="I30" i="5"/>
  <c r="I29" i="5"/>
  <c r="I28" i="5"/>
  <c r="I26" i="5"/>
  <c r="I25" i="5"/>
  <c r="I24" i="5"/>
  <c r="I22" i="5"/>
  <c r="I21" i="5"/>
  <c r="I20" i="5"/>
  <c r="I10" i="5"/>
  <c r="I11" i="5"/>
  <c r="I12" i="5"/>
  <c r="I13" i="5"/>
  <c r="I14" i="5"/>
  <c r="I15" i="5"/>
  <c r="I16" i="5"/>
  <c r="I17" i="5"/>
  <c r="I18" i="5"/>
  <c r="I9" i="5"/>
  <c r="I7" i="5"/>
  <c r="I5" i="5"/>
  <c r="I4" i="5"/>
</calcChain>
</file>

<file path=xl/sharedStrings.xml><?xml version="1.0" encoding="utf-8"?>
<sst xmlns="http://schemas.openxmlformats.org/spreadsheetml/2006/main" count="394" uniqueCount="188">
  <si>
    <t>Low Volatility</t>
  </si>
  <si>
    <t>Conservative</t>
  </si>
  <si>
    <t>Moderate</t>
  </si>
  <si>
    <t>Aggressive</t>
  </si>
  <si>
    <t>Investment Grade Fixed Income</t>
  </si>
  <si>
    <t>US Dollar Short Duration Fixed Income</t>
  </si>
  <si>
    <t>Other Fixed Income</t>
  </si>
  <si>
    <t>US High Yiled Bonds</t>
  </si>
  <si>
    <t>Public Equity</t>
  </si>
  <si>
    <t>US Large Cap Growth Equity</t>
  </si>
  <si>
    <t>US Large Cap Value Equity</t>
  </si>
  <si>
    <t>US Small Cap Equity</t>
  </si>
  <si>
    <t>Europe ex-UK Equity</t>
  </si>
  <si>
    <t>UK Equity</t>
  </si>
  <si>
    <t>Japanese Equity</t>
  </si>
  <si>
    <t>Asia-Pacific Equity</t>
  </si>
  <si>
    <t>Emerging Market Equity</t>
  </si>
  <si>
    <t>Hedge Funds</t>
  </si>
  <si>
    <t>Event Driven</t>
  </si>
  <si>
    <t>Equity Long/Short</t>
  </si>
  <si>
    <t>Tactical Trading</t>
  </si>
  <si>
    <t>Private Equity</t>
  </si>
  <si>
    <t>Buyout</t>
  </si>
  <si>
    <t>Growth</t>
  </si>
  <si>
    <t>Venture</t>
  </si>
  <si>
    <t>Other Private Assets</t>
  </si>
  <si>
    <t>Private Credit</t>
  </si>
  <si>
    <t>Infrastructure</t>
  </si>
  <si>
    <t>TOTAL</t>
  </si>
  <si>
    <t>Estimated Mean Return (2.5% Risk Free Rate)</t>
  </si>
  <si>
    <t>Sharpe Ratio</t>
  </si>
  <si>
    <t>Volatility</t>
  </si>
  <si>
    <t>80/20</t>
  </si>
  <si>
    <t>70/30</t>
  </si>
  <si>
    <t>50/50</t>
  </si>
  <si>
    <t>30/70</t>
  </si>
  <si>
    <t>US Dollar Debt</t>
  </si>
  <si>
    <t>-</t>
  </si>
  <si>
    <t>58.8%%</t>
  </si>
  <si>
    <t>Risk-Equivalent Benchmark (Bond/Equity)</t>
  </si>
  <si>
    <t>Factor-Based Risk Analytics</t>
  </si>
  <si>
    <t>Predicted Performance over Stress Periods</t>
  </si>
  <si>
    <t>Oil Embargo (Jan 73 - Sep 74)</t>
  </si>
  <si>
    <t>US Inflation / Iranian Revolution (Nov 78 - Mar 80)</t>
  </si>
  <si>
    <t>US Stagflation (Nov 80 - Jul 82)</t>
  </si>
  <si>
    <t>Black Monday (Sep 87 - Oct 87)</t>
  </si>
  <si>
    <t>Bond Crisis (Jan 94 - Oct 94)</t>
  </si>
  <si>
    <t>Tech Meltdown (Mar 00 - Sep 02)</t>
  </si>
  <si>
    <t>Financial Crisis (Oct 07 - Feb 09)</t>
  </si>
  <si>
    <t>Covid-19 (Jan 20 - Mar 20)</t>
  </si>
  <si>
    <t>Nominal</t>
  </si>
  <si>
    <t>Real</t>
  </si>
  <si>
    <t>Value at Risk with 99% Confidence</t>
  </si>
  <si>
    <t>Over 1 Month</t>
  </si>
  <si>
    <t>Over 1 Year</t>
  </si>
  <si>
    <t>Over 3 Years</t>
  </si>
  <si>
    <t>Probability of Loss</t>
  </si>
  <si>
    <t>Portfolio Risk Premia</t>
  </si>
  <si>
    <t>Equity</t>
  </si>
  <si>
    <t>Term</t>
  </si>
  <si>
    <t>Funding</t>
  </si>
  <si>
    <t>Liquidity</t>
  </si>
  <si>
    <t>Carry</t>
  </si>
  <si>
    <t>Emerging Market</t>
  </si>
  <si>
    <t>R</t>
  </si>
  <si>
    <t>G</t>
  </si>
  <si>
    <t>B</t>
  </si>
  <si>
    <t>Hedging Ratio</t>
  </si>
  <si>
    <t>Global Public REITs</t>
  </si>
  <si>
    <t>Global Infrastructure Equity</t>
  </si>
  <si>
    <t>Core Private Real Estate</t>
  </si>
  <si>
    <t>Private Infrastructure</t>
  </si>
  <si>
    <t>Estimated Mean Return 
(2.5% Risk Free Rate)</t>
  </si>
  <si>
    <t>Risk Premium 
with Estimated Range</t>
  </si>
  <si>
    <t>1.7%%</t>
  </si>
  <si>
    <t>0.7%%</t>
  </si>
  <si>
    <t>5.4%%</t>
  </si>
  <si>
    <t>8.1%%</t>
  </si>
  <si>
    <t>8.4%%</t>
  </si>
  <si>
    <t>9.4%%</t>
  </si>
  <si>
    <t>7.4%%</t>
  </si>
  <si>
    <t>7.5%%</t>
  </si>
  <si>
    <t>5.7%%</t>
  </si>
  <si>
    <t>9.9%%</t>
  </si>
  <si>
    <t>15.1%%</t>
  </si>
  <si>
    <t>9.2%%</t>
  </si>
  <si>
    <t>7.7%%</t>
  </si>
  <si>
    <t>4.3%%</t>
  </si>
  <si>
    <t>6.1%%</t>
  </si>
  <si>
    <t>5.9%%</t>
  </si>
  <si>
    <t>12.0%%</t>
  </si>
  <si>
    <t>6.7%%</t>
  </si>
  <si>
    <t>5.3%%</t>
  </si>
  <si>
    <t>6.0%%</t>
  </si>
  <si>
    <t>◄</t>
  </si>
  <si>
    <t>►</t>
  </si>
  <si>
    <t>Long-Term Estimates</t>
  </si>
  <si>
    <t>Core Real Estate</t>
  </si>
  <si>
    <t>Total</t>
  </si>
  <si>
    <t>Hedge Ratios</t>
  </si>
  <si>
    <t>LHTRYIN</t>
  </si>
  <si>
    <t>LHYIELD_GE20</t>
  </si>
  <si>
    <t>FRUS1GR</t>
  </si>
  <si>
    <t>FRUS1VA</t>
  </si>
  <si>
    <t>FRUSS2L</t>
  </si>
  <si>
    <t>MSEXUKL</t>
  </si>
  <si>
    <t>MSUTDKL</t>
  </si>
  <si>
    <t>MSJPANL</t>
  </si>
  <si>
    <t>MSPXJPL</t>
  </si>
  <si>
    <t>MSEMKF$</t>
  </si>
  <si>
    <t>SBBRGLL</t>
  </si>
  <si>
    <t>Global REITs</t>
  </si>
  <si>
    <t>Infrastructure Equity</t>
  </si>
  <si>
    <t>INFRA_EQUITY</t>
  </si>
  <si>
    <t>CSTEVDH</t>
  </si>
  <si>
    <t>CSTLNSH</t>
  </si>
  <si>
    <t>CSFBMTT</t>
  </si>
  <si>
    <t>Codes</t>
  </si>
  <si>
    <t>PE_BUYOUT</t>
  </si>
  <si>
    <t>PE_VENTURE</t>
  </si>
  <si>
    <t>PRIVATE_CREDIT</t>
  </si>
  <si>
    <t>PA_REAL_ESTATE</t>
  </si>
  <si>
    <t>PA_INFRA</t>
  </si>
  <si>
    <t>US High Yield Bonds</t>
  </si>
  <si>
    <t>LHUT1T3</t>
  </si>
  <si>
    <t>Fixed Income</t>
  </si>
  <si>
    <t xml:space="preserve">    Russell 1000 (EOD) Growth</t>
  </si>
  <si>
    <t xml:space="preserve">    Russell 1000 (EOD) Value</t>
  </si>
  <si>
    <t xml:space="preserve">    Russell 2000 (EOD) </t>
  </si>
  <si>
    <t xml:space="preserve">    MSCI Europe Excluding United Kingdom</t>
  </si>
  <si>
    <t xml:space="preserve">    MSCI United Kingdom</t>
  </si>
  <si>
    <t xml:space="preserve">    MSCI Japan</t>
  </si>
  <si>
    <t xml:space="preserve">    MSCI Pacific Excluding Japan</t>
  </si>
  <si>
    <t xml:space="preserve">    MSCI Emerging Markets United States Dollar</t>
  </si>
  <si>
    <t xml:space="preserve">    Standard and Poor's Global Real Estate Investment Trusts (REITS)</t>
  </si>
  <si>
    <t xml:space="preserve">    Bloomberg U.S. Treasury: Intermediate USD</t>
  </si>
  <si>
    <t xml:space="preserve">    Bloomberg U.S. Treasury: 1-3 Year USD</t>
  </si>
  <si>
    <t xml:space="preserve">    CREDIT SUISSE HEDGE EVENT DRIVEN $	</t>
  </si>
  <si>
    <t xml:space="preserve">    CREDIT SUISSE HEDGE LONG/SHORT EQTY$	</t>
  </si>
  <si>
    <t xml:space="preserve">    Tactical Trading</t>
  </si>
  <si>
    <t xml:space="preserve">    US High Yield</t>
  </si>
  <si>
    <t xml:space="preserve">    Private Credit</t>
  </si>
  <si>
    <t xml:space="preserve">    Private Real Estate</t>
  </si>
  <si>
    <t xml:space="preserve">    Infrastructure</t>
  </si>
  <si>
    <t xml:space="preserve">    Buyout</t>
  </si>
  <si>
    <t xml:space="preserve">    Distressed</t>
  </si>
  <si>
    <t xml:space="preserve">    Venture</t>
  </si>
  <si>
    <t xml:space="preserve">    Infrastructure Equity</t>
  </si>
  <si>
    <t>Lower Range</t>
  </si>
  <si>
    <t>Risk Premia
with Estimated Range</t>
  </si>
  <si>
    <t>Upper Range</t>
  </si>
  <si>
    <t>Estimated Mean Return
(2.5% Risk Free Rate)</t>
  </si>
  <si>
    <t>From</t>
  </si>
  <si>
    <t>To</t>
  </si>
  <si>
    <t>Modelling Dates</t>
  </si>
  <si>
    <t>ISG</t>
  </si>
  <si>
    <t>FB</t>
  </si>
  <si>
    <t>Diff</t>
  </si>
  <si>
    <t>Reporting Name</t>
  </si>
  <si>
    <t>Category</t>
  </si>
  <si>
    <t>US Dollar Short Duration Debt</t>
  </si>
  <si>
    <t>A1</t>
  </si>
  <si>
    <t>O</t>
  </si>
  <si>
    <t>AC</t>
  </si>
  <si>
    <t>AT</t>
  </si>
  <si>
    <t>AS</t>
  </si>
  <si>
    <t>P1</t>
  </si>
  <si>
    <t>PC</t>
  </si>
  <si>
    <t>PS</t>
  </si>
  <si>
    <t>PT</t>
  </si>
  <si>
    <t>Risk Premia
 with Estimated Range</t>
  </si>
  <si>
    <t xml:space="preserve">    US Dollar Debt</t>
  </si>
  <si>
    <t xml:space="preserve">    US Dollar Short Duration Debt</t>
  </si>
  <si>
    <t xml:space="preserve">    US High Yield Bonds</t>
  </si>
  <si>
    <t xml:space="preserve">    US Large Cap Growth Equity</t>
  </si>
  <si>
    <t xml:space="preserve">    US Large Cap Value Equity</t>
  </si>
  <si>
    <t xml:space="preserve">    US Small Cap Equity</t>
  </si>
  <si>
    <t xml:space="preserve">    Europe ex-UK Equity</t>
  </si>
  <si>
    <t xml:space="preserve">    UK Equity</t>
  </si>
  <si>
    <t xml:space="preserve">    Japanese Equity</t>
  </si>
  <si>
    <t xml:space="preserve">    Asia-Pacific Equity</t>
  </si>
  <si>
    <t xml:space="preserve">    Emerging Market Equity</t>
  </si>
  <si>
    <t xml:space="preserve">    Global REITs</t>
  </si>
  <si>
    <t xml:space="preserve">    Event Driven</t>
  </si>
  <si>
    <t xml:space="preserve">    Equity Long/Short</t>
  </si>
  <si>
    <t xml:space="preserve">    Growth</t>
  </si>
  <si>
    <t xml:space="preserve">    Core Real Estate</t>
  </si>
  <si>
    <t>PE_GROWTH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</si>
</sst>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mmm\ yyyy;@"/>
  </numFmts>
  <fonts count="2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sz val="12.5"/>
      <color theme="1"/>
      <name val="Calibri"/>
      <family val="2"/>
      <scheme val="minor"/>
    </font>
    <font>
      <sz val="12.5"/>
      <color theme="1" tint="0.14999847407452621"/>
      <name val="Calibri"/>
      <family val="2"/>
      <scheme val="minor"/>
    </font>
    <font>
      <sz val="12.5"/>
      <color theme="3" tint="-0.499984740745262"/>
      <name val="Calibri"/>
      <family val="2"/>
      <scheme val="minor"/>
    </font>
    <font>
      <sz val="12.5"/>
      <color rgb="FFC00000"/>
      <name val="Calibri"/>
      <family val="2"/>
      <scheme val="minor"/>
    </font>
    <font>
      <sz val="12.5"/>
      <color theme="1" tint="0.249977111117893"/>
      <name val="Calibri"/>
      <family val="2"/>
      <scheme val="minor"/>
    </font>
    <font>
      <sz val="12.5"/>
      <color rgb="FF039644"/>
      <name val="Calibri"/>
      <family val="2"/>
      <scheme val="minor"/>
    </font>
    <font>
      <sz val="12.5"/>
      <color rgb="FF000000"/>
      <name val="Calibri"/>
      <family val="2"/>
      <scheme val="minor"/>
    </font>
    <font>
      <sz val="12.5"/>
      <color theme="0"/>
      <name val="Calibri"/>
      <family val="2"/>
      <scheme val="minor"/>
    </font>
    <font>
      <sz val="12.5"/>
      <color theme="0"/>
      <name val="Calibri Light"/>
      <family val="2"/>
    </font>
    <font>
      <sz val="12.5"/>
      <color theme="1"/>
      <name val="Calibri Light"/>
      <family val="2"/>
    </font>
    <font>
      <u/>
      <sz val="12.5"/>
      <color theme="1"/>
      <name val="Calibri Light"/>
      <family val="2"/>
    </font>
    <font>
      <sz val="12.5"/>
      <color theme="3" tint="-0.499984740745262"/>
      <name val="Calibri Light"/>
      <family val="2"/>
    </font>
    <font>
      <sz val="12"/>
      <color theme="0"/>
      <name val="Calibri"/>
      <family val="2"/>
    </font>
    <font>
      <sz val="12.5"/>
      <color theme="1"/>
      <name val="Arial"/>
      <family val="2"/>
    </font>
    <font>
      <sz val="12.5"/>
      <color theme="0"/>
      <name val="Calibri"/>
      <family val="2"/>
    </font>
    <font>
      <sz val="12.5"/>
      <color rgb="FF0F243E"/>
      <name val="Calibri"/>
      <family val="2"/>
      <scheme val="minor"/>
    </font>
    <font>
      <b/>
      <sz val="11"/>
      <color rgb="FF0F243E"/>
      <name val="Calibri"/>
      <family val="2"/>
      <scheme val="minor"/>
    </font>
    <font>
      <sz val="11"/>
      <color theme="1"/>
      <name val="Grotesque"/>
    </font>
    <font>
      <b/>
      <sz val="11"/>
      <color rgb="FF0F243E"/>
      <name val="Grotesque"/>
    </font>
    <font>
      <sz val="11"/>
      <color rgb="FFC00000"/>
      <name val="Grotesque"/>
    </font>
    <font>
      <sz val="11"/>
      <color rgb="FF039644"/>
      <name val="Grotesque"/>
    </font>
    <font>
      <b/>
      <sz val="11"/>
      <color rgb="FF039644"/>
      <name val="Grotesque"/>
    </font>
    <font>
      <sz val="12"/>
      <color theme="1"/>
      <name val="Grotesque"/>
    </font>
  </fonts>
  <fills count="11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D3DDE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theme="1" tint="0.34998626667073579"/>
      </bottom>
      <diagonal/>
    </border>
    <border>
      <left/>
      <right/>
      <top style="hair">
        <color theme="1" tint="0.49998474074526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rgb="FF807C80"/>
      </bottom>
      <diagonal/>
    </border>
    <border>
      <left/>
      <right/>
      <top style="hair">
        <color rgb="FF737373"/>
      </top>
      <bottom/>
      <diagonal/>
    </border>
  </borders>
  <cellStyleXfs count="3">
    <xf numFmtId="0" fontId="0" fillId="0" borderId="0"/>
    <xf numFmtId="0" fontId="2" fillId="2" borderId="1">
      <alignment horizontal="center"/>
    </xf>
    <xf numFmtId="9" fontId="3" fillId="0" borderId="0" applyFont="0" applyFill="0" applyBorder="0" applyAlignment="0" applyProtection="0"/>
  </cellStyleXfs>
  <cellXfs count="211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5" fillId="3" borderId="0" xfId="0" applyFont="1" applyFill="1"/>
    <xf numFmtId="0" fontId="5" fillId="3" borderId="0" xfId="0" applyFont="1" applyFill="1" applyAlignment="1">
      <alignment horizontal="left" indent="9"/>
    </xf>
    <xf numFmtId="0" fontId="0" fillId="0" borderId="0" xfId="0" applyAlignment="1">
      <alignment vertic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164" fontId="0" fillId="3" borderId="0" xfId="2" applyNumberFormat="1" applyFont="1" applyFill="1" applyAlignment="1">
      <alignment horizontal="right"/>
    </xf>
    <xf numFmtId="164" fontId="0" fillId="0" borderId="0" xfId="2" applyNumberFormat="1" applyFont="1" applyAlignment="1">
      <alignment horizontal="right"/>
    </xf>
    <xf numFmtId="0" fontId="6" fillId="3" borderId="0" xfId="0" applyFont="1" applyFill="1"/>
    <xf numFmtId="0" fontId="6" fillId="3" borderId="12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6" xfId="0" applyFont="1" applyFill="1" applyBorder="1" applyAlignment="1">
      <alignment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164" fontId="6" fillId="3" borderId="0" xfId="2" applyNumberFormat="1" applyFont="1" applyFill="1" applyAlignment="1">
      <alignment horizontal="right"/>
    </xf>
    <xf numFmtId="0" fontId="9" fillId="3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10" fillId="3" borderId="0" xfId="0" applyFont="1" applyFill="1" applyAlignment="1">
      <alignment horizontal="left" vertical="center" indent="1"/>
    </xf>
    <xf numFmtId="164" fontId="9" fillId="3" borderId="0" xfId="2" applyNumberFormat="1" applyFont="1" applyFill="1" applyAlignment="1">
      <alignment horizontal="right"/>
    </xf>
    <xf numFmtId="0" fontId="9" fillId="3" borderId="0" xfId="0" applyFont="1" applyFill="1"/>
    <xf numFmtId="164" fontId="6" fillId="3" borderId="0" xfId="2" applyNumberFormat="1" applyFont="1" applyFill="1" applyAlignment="1">
      <alignment horizontal="center"/>
    </xf>
    <xf numFmtId="0" fontId="11" fillId="3" borderId="0" xfId="0" applyFont="1" applyFill="1"/>
    <xf numFmtId="164" fontId="11" fillId="3" borderId="0" xfId="2" applyNumberFormat="1" applyFont="1" applyFill="1" applyAlignment="1">
      <alignment horizontal="left"/>
    </xf>
    <xf numFmtId="9" fontId="6" fillId="3" borderId="0" xfId="2" applyFont="1" applyFill="1" applyAlignment="1">
      <alignment horizontal="center"/>
    </xf>
    <xf numFmtId="0" fontId="10" fillId="3" borderId="11" xfId="0" applyFont="1" applyFill="1" applyBorder="1" applyAlignment="1">
      <alignment horizontal="left" vertical="center" indent="1"/>
    </xf>
    <xf numFmtId="164" fontId="9" fillId="3" borderId="11" xfId="2" applyNumberFormat="1" applyFont="1" applyFill="1" applyBorder="1" applyAlignment="1">
      <alignment horizontal="right"/>
    </xf>
    <xf numFmtId="0" fontId="9" fillId="3" borderId="11" xfId="0" applyFont="1" applyFill="1" applyBorder="1"/>
    <xf numFmtId="164" fontId="6" fillId="3" borderId="11" xfId="2" applyNumberFormat="1" applyFont="1" applyFill="1" applyBorder="1" applyAlignment="1">
      <alignment horizontal="center"/>
    </xf>
    <xf numFmtId="0" fontId="11" fillId="3" borderId="11" xfId="0" applyFont="1" applyFill="1" applyBorder="1"/>
    <xf numFmtId="164" fontId="11" fillId="3" borderId="11" xfId="2" applyNumberFormat="1" applyFont="1" applyFill="1" applyBorder="1" applyAlignment="1">
      <alignment horizontal="left"/>
    </xf>
    <xf numFmtId="0" fontId="6" fillId="3" borderId="11" xfId="0" applyFont="1" applyFill="1" applyBorder="1" applyAlignment="1">
      <alignment horizontal="center"/>
    </xf>
    <xf numFmtId="9" fontId="6" fillId="3" borderId="11" xfId="2" applyFont="1" applyFill="1" applyBorder="1" applyAlignment="1">
      <alignment horizontal="center"/>
    </xf>
    <xf numFmtId="164" fontId="11" fillId="3" borderId="0" xfId="2" applyNumberFormat="1" applyFont="1" applyFill="1" applyAlignment="1">
      <alignment horizontal="center"/>
    </xf>
    <xf numFmtId="9" fontId="12" fillId="6" borderId="1" xfId="2" applyFont="1" applyFill="1" applyBorder="1" applyAlignment="1">
      <alignment horizontal="center"/>
    </xf>
    <xf numFmtId="0" fontId="10" fillId="3" borderId="12" xfId="0" applyFont="1" applyFill="1" applyBorder="1" applyAlignment="1">
      <alignment horizontal="left" vertical="center" indent="1"/>
    </xf>
    <xf numFmtId="164" fontId="9" fillId="3" borderId="12" xfId="2" applyNumberFormat="1" applyFont="1" applyFill="1" applyBorder="1" applyAlignment="1">
      <alignment horizontal="right"/>
    </xf>
    <xf numFmtId="0" fontId="9" fillId="3" borderId="12" xfId="0" applyFont="1" applyFill="1" applyBorder="1"/>
    <xf numFmtId="164" fontId="6" fillId="3" borderId="12" xfId="2" applyNumberFormat="1" applyFont="1" applyFill="1" applyBorder="1" applyAlignment="1">
      <alignment horizontal="center"/>
    </xf>
    <xf numFmtId="0" fontId="11" fillId="3" borderId="12" xfId="0" applyFont="1" applyFill="1" applyBorder="1"/>
    <xf numFmtId="164" fontId="11" fillId="3" borderId="12" xfId="2" applyNumberFormat="1" applyFont="1" applyFill="1" applyBorder="1" applyAlignment="1">
      <alignment horizontal="left"/>
    </xf>
    <xf numFmtId="9" fontId="6" fillId="3" borderId="12" xfId="2" applyFont="1" applyFill="1" applyBorder="1" applyAlignment="1">
      <alignment horizontal="center"/>
    </xf>
    <xf numFmtId="0" fontId="14" fillId="4" borderId="8" xfId="0" applyFont="1" applyFill="1" applyBorder="1"/>
    <xf numFmtId="0" fontId="15" fillId="3" borderId="1" xfId="0" applyFont="1" applyFill="1" applyBorder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164" fontId="15" fillId="3" borderId="0" xfId="2" applyNumberFormat="1" applyFont="1" applyFill="1" applyAlignment="1">
      <alignment horizontal="center" vertical="center"/>
    </xf>
    <xf numFmtId="0" fontId="15" fillId="3" borderId="4" xfId="0" applyFont="1" applyFill="1" applyBorder="1" applyAlignment="1">
      <alignment horizontal="left" vertical="center"/>
    </xf>
    <xf numFmtId="0" fontId="15" fillId="3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0" fontId="15" fillId="3" borderId="0" xfId="0" applyFont="1" applyFill="1"/>
    <xf numFmtId="0" fontId="16" fillId="3" borderId="0" xfId="0" applyFont="1" applyFill="1" applyAlignment="1">
      <alignment horizontal="center"/>
    </xf>
    <xf numFmtId="0" fontId="15" fillId="3" borderId="0" xfId="0" applyFont="1" applyFill="1" applyAlignment="1">
      <alignment horizontal="left" indent="1"/>
    </xf>
    <xf numFmtId="164" fontId="15" fillId="3" borderId="0" xfId="2" applyNumberFormat="1" applyFont="1" applyFill="1" applyAlignment="1">
      <alignment horizontal="center"/>
    </xf>
    <xf numFmtId="0" fontId="15" fillId="3" borderId="6" xfId="0" applyFont="1" applyFill="1" applyBorder="1" applyAlignment="1">
      <alignment horizontal="left" indent="1"/>
    </xf>
    <xf numFmtId="164" fontId="15" fillId="3" borderId="6" xfId="2" applyNumberFormat="1" applyFont="1" applyFill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15" fillId="3" borderId="7" xfId="0" applyFont="1" applyFill="1" applyBorder="1"/>
    <xf numFmtId="164" fontId="15" fillId="3" borderId="7" xfId="2" applyNumberFormat="1" applyFont="1" applyFill="1" applyBorder="1" applyAlignment="1">
      <alignment horizontal="center"/>
    </xf>
    <xf numFmtId="0" fontId="17" fillId="4" borderId="0" xfId="0" applyFont="1" applyFill="1" applyAlignment="1">
      <alignment vertical="center"/>
    </xf>
    <xf numFmtId="0" fontId="15" fillId="3" borderId="2" xfId="0" applyFont="1" applyFill="1" applyBorder="1" applyAlignment="1">
      <alignment vertical="center"/>
    </xf>
    <xf numFmtId="0" fontId="15" fillId="3" borderId="2" xfId="0" applyFont="1" applyFill="1" applyBorder="1" applyAlignment="1">
      <alignment horizontal="center" vertical="center"/>
    </xf>
    <xf numFmtId="0" fontId="17" fillId="7" borderId="0" xfId="0" applyFont="1" applyFill="1" applyAlignment="1">
      <alignment horizontal="left" vertical="center"/>
    </xf>
    <xf numFmtId="164" fontId="17" fillId="7" borderId="0" xfId="2" applyNumberFormat="1" applyFont="1" applyFill="1" applyAlignment="1">
      <alignment horizontal="left" vertical="center" indent="11"/>
    </xf>
    <xf numFmtId="0" fontId="15" fillId="3" borderId="0" xfId="0" applyFont="1" applyFill="1" applyAlignment="1">
      <alignment horizontal="left" vertical="center" indent="1"/>
    </xf>
    <xf numFmtId="0" fontId="15" fillId="3" borderId="0" xfId="0" applyFont="1" applyFill="1" applyAlignment="1">
      <alignment horizontal="left" vertical="center" indent="11"/>
    </xf>
    <xf numFmtId="0" fontId="15" fillId="3" borderId="3" xfId="0" applyFont="1" applyFill="1" applyBorder="1"/>
    <xf numFmtId="9" fontId="15" fillId="3" borderId="3" xfId="0" applyNumberFormat="1" applyFont="1" applyFill="1" applyBorder="1" applyAlignment="1">
      <alignment horizontal="left" indent="9"/>
    </xf>
    <xf numFmtId="0" fontId="18" fillId="4" borderId="0" xfId="0" applyFont="1" applyFill="1" applyAlignment="1">
      <alignment vertical="center"/>
    </xf>
    <xf numFmtId="164" fontId="18" fillId="4" borderId="0" xfId="2" applyNumberFormat="1" applyFont="1" applyFill="1" applyAlignment="1">
      <alignment horizontal="left" vertical="center" indent="9"/>
    </xf>
    <xf numFmtId="2" fontId="18" fillId="4" borderId="0" xfId="0" applyNumberFormat="1" applyFont="1" applyFill="1" applyAlignment="1">
      <alignment horizontal="left" vertical="center" indent="9"/>
    </xf>
    <xf numFmtId="0" fontId="18" fillId="4" borderId="0" xfId="0" applyFont="1" applyFill="1" applyAlignment="1">
      <alignment horizontal="left" vertical="center" indent="9"/>
    </xf>
    <xf numFmtId="0" fontId="15" fillId="3" borderId="9" xfId="0" applyFont="1" applyFill="1" applyBorder="1" applyAlignment="1">
      <alignment horizontal="left" vertical="center" indent="1"/>
    </xf>
    <xf numFmtId="0" fontId="6" fillId="3" borderId="9" xfId="0" applyFont="1" applyFill="1" applyBorder="1" applyAlignment="1">
      <alignment horizontal="center"/>
    </xf>
    <xf numFmtId="0" fontId="0" fillId="3" borderId="9" xfId="0" applyFill="1" applyBorder="1" applyAlignment="1">
      <alignment horizontal="right"/>
    </xf>
    <xf numFmtId="0" fontId="4" fillId="4" borderId="4" xfId="0" applyFont="1" applyFill="1" applyBorder="1" applyAlignment="1">
      <alignment horizontal="right"/>
    </xf>
    <xf numFmtId="0" fontId="14" fillId="4" borderId="4" xfId="0" applyFont="1" applyFill="1" applyBorder="1" applyAlignment="1">
      <alignment vertical="center"/>
    </xf>
    <xf numFmtId="0" fontId="14" fillId="4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/>
    </xf>
    <xf numFmtId="9" fontId="12" fillId="5" borderId="1" xfId="2" applyFont="1" applyFill="1" applyBorder="1" applyAlignment="1">
      <alignment horizontal="center"/>
    </xf>
    <xf numFmtId="164" fontId="6" fillId="3" borderId="9" xfId="2" applyNumberFormat="1" applyFont="1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164" fontId="0" fillId="3" borderId="0" xfId="2" applyNumberFormat="1" applyFont="1" applyFill="1" applyAlignment="1">
      <alignment horizontal="center"/>
    </xf>
    <xf numFmtId="2" fontId="0" fillId="3" borderId="0" xfId="2" applyNumberFormat="1" applyFont="1" applyFill="1" applyAlignment="1">
      <alignment horizontal="center"/>
    </xf>
    <xf numFmtId="0" fontId="0" fillId="3" borderId="4" xfId="0" applyFill="1" applyBorder="1"/>
    <xf numFmtId="0" fontId="0" fillId="3" borderId="4" xfId="0" applyFill="1" applyBorder="1" applyAlignment="1">
      <alignment vertic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14" fontId="0" fillId="3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0" fontId="0" fillId="3" borderId="1" xfId="0" applyFill="1" applyBorder="1"/>
    <xf numFmtId="164" fontId="0" fillId="3" borderId="1" xfId="2" applyNumberFormat="1" applyFont="1" applyFill="1" applyBorder="1" applyAlignment="1">
      <alignment horizontal="center"/>
    </xf>
    <xf numFmtId="2" fontId="0" fillId="3" borderId="1" xfId="2" applyNumberFormat="1" applyFont="1" applyFill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164" fontId="0" fillId="3" borderId="4" xfId="2" applyNumberFormat="1" applyFont="1" applyFill="1" applyBorder="1" applyAlignment="1">
      <alignment horizontal="center"/>
    </xf>
    <xf numFmtId="2" fontId="0" fillId="3" borderId="4" xfId="2" applyNumberFormat="1" applyFont="1" applyFill="1" applyBorder="1" applyAlignment="1">
      <alignment horizontal="center"/>
    </xf>
    <xf numFmtId="166" fontId="0" fillId="3" borderId="4" xfId="0" applyNumberFormat="1" applyFill="1" applyBorder="1" applyAlignment="1">
      <alignment horizontal="center"/>
    </xf>
    <xf numFmtId="10" fontId="0" fillId="3" borderId="4" xfId="2" applyNumberFormat="1" applyFont="1" applyFill="1" applyBorder="1" applyAlignment="1">
      <alignment horizontal="center"/>
    </xf>
    <xf numFmtId="0" fontId="0" fillId="8" borderId="0" xfId="0" applyFill="1"/>
    <xf numFmtId="164" fontId="0" fillId="8" borderId="0" xfId="2" applyNumberFormat="1" applyFont="1" applyFill="1" applyAlignment="1">
      <alignment horizontal="center"/>
    </xf>
    <xf numFmtId="2" fontId="0" fillId="8" borderId="0" xfId="2" applyNumberFormat="1" applyFont="1" applyFill="1" applyAlignment="1">
      <alignment horizontal="center"/>
    </xf>
    <xf numFmtId="166" fontId="0" fillId="8" borderId="0" xfId="0" applyNumberFormat="1" applyFill="1" applyAlignment="1">
      <alignment horizontal="center"/>
    </xf>
    <xf numFmtId="0" fontId="0" fillId="3" borderId="1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10" fontId="0" fillId="3" borderId="1" xfId="2" applyNumberFormat="1" applyFont="1" applyFill="1" applyBorder="1" applyAlignment="1">
      <alignment horizontal="center"/>
    </xf>
    <xf numFmtId="10" fontId="0" fillId="3" borderId="14" xfId="0" applyNumberFormat="1" applyFill="1" applyBorder="1" applyAlignment="1">
      <alignment horizontal="center"/>
    </xf>
    <xf numFmtId="10" fontId="0" fillId="8" borderId="1" xfId="2" applyNumberFormat="1" applyFont="1" applyFill="1" applyBorder="1" applyAlignment="1">
      <alignment horizontal="center"/>
    </xf>
    <xf numFmtId="10" fontId="0" fillId="8" borderId="14" xfId="0" applyNumberFormat="1" applyFill="1" applyBorder="1" applyAlignment="1">
      <alignment horizontal="center"/>
    </xf>
    <xf numFmtId="10" fontId="0" fillId="3" borderId="13" xfId="0" applyNumberFormat="1" applyFill="1" applyBorder="1" applyAlignment="1">
      <alignment horizont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/>
    </xf>
    <xf numFmtId="10" fontId="0" fillId="3" borderId="16" xfId="2" applyNumberFormat="1" applyFont="1" applyFill="1" applyBorder="1" applyAlignment="1">
      <alignment horizontal="center"/>
    </xf>
    <xf numFmtId="10" fontId="0" fillId="8" borderId="16" xfId="2" applyNumberFormat="1" applyFont="1" applyFill="1" applyBorder="1" applyAlignment="1">
      <alignment horizontal="center"/>
    </xf>
    <xf numFmtId="10" fontId="0" fillId="3" borderId="15" xfId="2" applyNumberFormat="1" applyFont="1" applyFill="1" applyBorder="1" applyAlignment="1">
      <alignment horizontal="center"/>
    </xf>
    <xf numFmtId="0" fontId="18" fillId="3" borderId="0" xfId="0" applyFont="1" applyFill="1" applyAlignment="1">
      <alignment vertical="center"/>
    </xf>
    <xf numFmtId="164" fontId="18" fillId="3" borderId="0" xfId="2" applyNumberFormat="1" applyFont="1" applyFill="1" applyAlignment="1">
      <alignment horizontal="left" vertical="center" indent="9"/>
    </xf>
    <xf numFmtId="2" fontId="18" fillId="3" borderId="0" xfId="0" applyNumberFormat="1" applyFont="1" applyFill="1" applyAlignment="1">
      <alignment horizontal="left" vertical="center" indent="9"/>
    </xf>
    <xf numFmtId="164" fontId="17" fillId="7" borderId="0" xfId="2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18" fillId="3" borderId="0" xfId="0" applyFont="1" applyFill="1" applyAlignment="1">
      <alignment horizontal="center" vertical="center"/>
    </xf>
    <xf numFmtId="2" fontId="18" fillId="3" borderId="0" xfId="0" applyNumberFormat="1" applyFont="1" applyFill="1" applyAlignment="1">
      <alignment horizontal="center" vertical="center"/>
    </xf>
    <xf numFmtId="164" fontId="18" fillId="3" borderId="0" xfId="2" applyNumberFormat="1" applyFont="1" applyFill="1" applyAlignment="1">
      <alignment horizontal="center" vertical="center"/>
    </xf>
    <xf numFmtId="9" fontId="18" fillId="4" borderId="0" xfId="2" applyFont="1" applyFill="1" applyAlignment="1">
      <alignment horizontal="center" vertical="center"/>
    </xf>
    <xf numFmtId="0" fontId="19" fillId="3" borderId="0" xfId="0" applyFont="1" applyFill="1"/>
    <xf numFmtId="0" fontId="19" fillId="3" borderId="0" xfId="0" applyFont="1" applyFill="1" applyAlignment="1">
      <alignment horizontal="left" indent="9"/>
    </xf>
    <xf numFmtId="0" fontId="20" fillId="4" borderId="0" xfId="0" applyFont="1" applyFill="1" applyAlignment="1">
      <alignment vertical="center"/>
    </xf>
    <xf numFmtId="164" fontId="20" fillId="4" borderId="0" xfId="2" applyNumberFormat="1" applyFont="1" applyFill="1" applyAlignment="1">
      <alignment horizontal="left" vertical="center" indent="9"/>
    </xf>
    <xf numFmtId="2" fontId="20" fillId="4" borderId="0" xfId="0" applyNumberFormat="1" applyFont="1" applyFill="1" applyAlignment="1">
      <alignment horizontal="left" vertical="center" indent="9"/>
    </xf>
    <xf numFmtId="0" fontId="20" fillId="3" borderId="0" xfId="0" applyFont="1" applyFill="1" applyAlignment="1">
      <alignment vertical="center"/>
    </xf>
    <xf numFmtId="2" fontId="20" fillId="3" borderId="0" xfId="0" applyNumberFormat="1" applyFont="1" applyFill="1" applyAlignment="1">
      <alignment horizontal="left" vertical="center" indent="9"/>
    </xf>
    <xf numFmtId="164" fontId="20" fillId="3" borderId="0" xfId="2" applyNumberFormat="1" applyFont="1" applyFill="1" applyAlignment="1">
      <alignment horizontal="left" vertical="center" indent="9"/>
    </xf>
    <xf numFmtId="0" fontId="20" fillId="4" borderId="0" xfId="0" applyFont="1" applyFill="1" applyAlignment="1">
      <alignment horizontal="left" vertical="center" indent="9"/>
    </xf>
    <xf numFmtId="0" fontId="15" fillId="9" borderId="2" xfId="0" applyFont="1" applyFill="1" applyBorder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5" fillId="9" borderId="3" xfId="0" applyFont="1" applyFill="1" applyBorder="1" applyAlignment="1">
      <alignment horizontal="center"/>
    </xf>
    <xf numFmtId="9" fontId="15" fillId="9" borderId="3" xfId="0" applyNumberFormat="1" applyFont="1" applyFill="1" applyBorder="1" applyAlignment="1">
      <alignment horizontal="center"/>
    </xf>
    <xf numFmtId="164" fontId="17" fillId="7" borderId="0" xfId="2" applyNumberFormat="1" applyFont="1" applyFill="1" applyAlignment="1">
      <alignment horizontal="left" vertical="center" indent="9"/>
    </xf>
    <xf numFmtId="0" fontId="15" fillId="3" borderId="0" xfId="0" applyFont="1" applyFill="1" applyAlignment="1">
      <alignment horizontal="left" vertical="center" indent="9"/>
    </xf>
    <xf numFmtId="165" fontId="15" fillId="3" borderId="0" xfId="0" applyNumberFormat="1" applyFont="1" applyFill="1" applyAlignment="1">
      <alignment horizontal="left" vertical="center" indent="9"/>
    </xf>
    <xf numFmtId="0" fontId="21" fillId="3" borderId="0" xfId="0" applyFont="1" applyFill="1" applyAlignment="1">
      <alignment horizontal="left" vertical="center"/>
    </xf>
    <xf numFmtId="0" fontId="22" fillId="0" borderId="0" xfId="0" applyFont="1"/>
    <xf numFmtId="0" fontId="23" fillId="10" borderId="0" xfId="0" applyFont="1" applyFill="1"/>
    <xf numFmtId="0" fontId="23" fillId="10" borderId="0" xfId="0" applyFont="1" applyFill="1" applyAlignment="1">
      <alignment horizontal="center"/>
    </xf>
    <xf numFmtId="0" fontId="23" fillId="10" borderId="4" xfId="0" applyFont="1" applyFill="1" applyBorder="1" applyAlignment="1">
      <alignment vertical="center"/>
    </xf>
    <xf numFmtId="0" fontId="23" fillId="10" borderId="4" xfId="0" applyFont="1" applyFill="1" applyBorder="1" applyAlignment="1">
      <alignment horizontal="center" vertical="center" wrapText="1"/>
    </xf>
    <xf numFmtId="0" fontId="23" fillId="10" borderId="4" xfId="0" applyFont="1" applyFill="1" applyBorder="1" applyAlignment="1">
      <alignment horizontal="center" vertical="center"/>
    </xf>
    <xf numFmtId="0" fontId="24" fillId="10" borderId="0" xfId="0" applyFont="1" applyFill="1"/>
    <xf numFmtId="0" fontId="24" fillId="10" borderId="0" xfId="0" applyFont="1" applyFill="1" applyAlignment="1">
      <alignment horizontal="center"/>
    </xf>
    <xf numFmtId="164" fontId="25" fillId="10" borderId="0" xfId="2" applyNumberFormat="1" applyFont="1" applyFill="1" applyAlignment="1">
      <alignment horizontal="right"/>
    </xf>
    <xf numFmtId="164" fontId="23" fillId="10" borderId="0" xfId="2" applyNumberFormat="1" applyFont="1" applyFill="1" applyAlignment="1">
      <alignment horizontal="center"/>
    </xf>
    <xf numFmtId="164" fontId="26" fillId="10" borderId="0" xfId="2" applyNumberFormat="1" applyFont="1" applyFill="1" applyAlignment="1">
      <alignment horizontal="left"/>
    </xf>
    <xf numFmtId="2" fontId="23" fillId="10" borderId="0" xfId="2" applyNumberFormat="1" applyFont="1" applyFill="1" applyAlignment="1">
      <alignment horizontal="center"/>
    </xf>
    <xf numFmtId="9" fontId="23" fillId="10" borderId="0" xfId="2" applyFont="1" applyFill="1" applyAlignment="1">
      <alignment horizontal="center"/>
    </xf>
    <xf numFmtId="17" fontId="23" fillId="10" borderId="0" xfId="0" applyNumberFormat="1" applyFont="1" applyFill="1" applyAlignment="1">
      <alignment horizontal="center"/>
    </xf>
    <xf numFmtId="0" fontId="23" fillId="10" borderId="4" xfId="0" applyFont="1" applyFill="1" applyBorder="1"/>
    <xf numFmtId="164" fontId="25" fillId="10" borderId="4" xfId="2" applyNumberFormat="1" applyFont="1" applyFill="1" applyBorder="1" applyAlignment="1">
      <alignment horizontal="right"/>
    </xf>
    <xf numFmtId="164" fontId="23" fillId="10" borderId="4" xfId="2" applyNumberFormat="1" applyFont="1" applyFill="1" applyBorder="1" applyAlignment="1">
      <alignment horizontal="center"/>
    </xf>
    <xf numFmtId="164" fontId="26" fillId="10" borderId="4" xfId="2" applyNumberFormat="1" applyFont="1" applyFill="1" applyBorder="1" applyAlignment="1">
      <alignment horizontal="left"/>
    </xf>
    <xf numFmtId="2" fontId="23" fillId="10" borderId="4" xfId="2" applyNumberFormat="1" applyFont="1" applyFill="1" applyBorder="1" applyAlignment="1">
      <alignment horizontal="center"/>
    </xf>
    <xf numFmtId="9" fontId="23" fillId="10" borderId="4" xfId="2" applyFont="1" applyFill="1" applyBorder="1" applyAlignment="1">
      <alignment horizontal="center"/>
    </xf>
    <xf numFmtId="17" fontId="23" fillId="10" borderId="4" xfId="0" applyNumberFormat="1" applyFont="1" applyFill="1" applyBorder="1" applyAlignment="1">
      <alignment horizontal="center"/>
    </xf>
    <xf numFmtId="2" fontId="28" fillId="10" borderId="0" xfId="2" applyNumberFormat="1" applyFont="1" applyFill="1" applyAlignment="1">
      <alignment horizontal="center"/>
    </xf>
    <xf numFmtId="0" fontId="24" fillId="10" borderId="1" xfId="0" applyFont="1" applyFill="1" applyBorder="1"/>
    <xf numFmtId="164" fontId="24" fillId="10" borderId="1" xfId="2" applyNumberFormat="1" applyFont="1" applyFill="1" applyBorder="1" applyAlignment="1">
      <alignment horizontal="right"/>
    </xf>
    <xf numFmtId="164" fontId="24" fillId="10" borderId="1" xfId="2" applyNumberFormat="1" applyFont="1" applyFill="1" applyBorder="1" applyAlignment="1">
      <alignment horizontal="center"/>
    </xf>
    <xf numFmtId="164" fontId="27" fillId="10" borderId="1" xfId="2" applyNumberFormat="1" applyFont="1" applyFill="1" applyBorder="1" applyAlignment="1">
      <alignment horizontal="left"/>
    </xf>
    <xf numFmtId="2" fontId="24" fillId="10" borderId="1" xfId="2" applyNumberFormat="1" applyFont="1" applyFill="1" applyBorder="1" applyAlignment="1">
      <alignment horizontal="center"/>
    </xf>
    <xf numFmtId="9" fontId="24" fillId="10" borderId="1" xfId="2" applyFont="1" applyFill="1" applyBorder="1" applyAlignment="1">
      <alignment horizontal="center"/>
    </xf>
    <xf numFmtId="17" fontId="24" fillId="10" borderId="1" xfId="0" applyNumberFormat="1" applyFont="1" applyFill="1" applyBorder="1" applyAlignment="1">
      <alignment horizontal="center"/>
    </xf>
    <xf numFmtId="0" fontId="23" fillId="10" borderId="17" xfId="0" applyFont="1" applyFill="1" applyBorder="1"/>
    <xf numFmtId="164" fontId="25" fillId="10" borderId="17" xfId="2" applyNumberFormat="1" applyFont="1" applyFill="1" applyBorder="1" applyAlignment="1">
      <alignment horizontal="right"/>
    </xf>
    <xf numFmtId="164" fontId="23" fillId="10" borderId="17" xfId="2" applyNumberFormat="1" applyFont="1" applyFill="1" applyBorder="1" applyAlignment="1">
      <alignment horizontal="center"/>
    </xf>
    <xf numFmtId="164" fontId="26" fillId="10" borderId="17" xfId="2" applyNumberFormat="1" applyFont="1" applyFill="1" applyBorder="1" applyAlignment="1">
      <alignment horizontal="left"/>
    </xf>
    <xf numFmtId="2" fontId="23" fillId="10" borderId="17" xfId="2" applyNumberFormat="1" applyFont="1" applyFill="1" applyBorder="1" applyAlignment="1">
      <alignment horizontal="center"/>
    </xf>
    <xf numFmtId="9" fontId="23" fillId="10" borderId="17" xfId="2" applyFont="1" applyFill="1" applyBorder="1" applyAlignment="1">
      <alignment horizontal="center"/>
    </xf>
    <xf numFmtId="17" fontId="23" fillId="10" borderId="17" xfId="0" applyNumberFormat="1" applyFont="1" applyFill="1" applyBorder="1" applyAlignment="1">
      <alignment horizontal="center"/>
    </xf>
    <xf numFmtId="0" fontId="24" fillId="10" borderId="18" xfId="0" applyFont="1" applyFill="1" applyBorder="1"/>
    <xf numFmtId="164" fontId="24" fillId="10" borderId="18" xfId="2" applyNumberFormat="1" applyFont="1" applyFill="1" applyBorder="1" applyAlignment="1">
      <alignment horizontal="right"/>
    </xf>
    <xf numFmtId="164" fontId="24" fillId="10" borderId="18" xfId="2" applyNumberFormat="1" applyFont="1" applyFill="1" applyBorder="1" applyAlignment="1">
      <alignment horizontal="center"/>
    </xf>
    <xf numFmtId="164" fontId="27" fillId="10" borderId="18" xfId="2" applyNumberFormat="1" applyFont="1" applyFill="1" applyBorder="1" applyAlignment="1">
      <alignment horizontal="left"/>
    </xf>
    <xf numFmtId="2" fontId="24" fillId="10" borderId="18" xfId="2" applyNumberFormat="1" applyFont="1" applyFill="1" applyBorder="1" applyAlignment="1">
      <alignment horizontal="center"/>
    </xf>
    <xf numFmtId="9" fontId="24" fillId="10" borderId="18" xfId="2" applyFont="1" applyFill="1" applyBorder="1" applyAlignment="1">
      <alignment horizontal="center"/>
    </xf>
    <xf numFmtId="17" fontId="24" fillId="10" borderId="18" xfId="0" applyNumberFormat="1" applyFont="1" applyFill="1" applyBorder="1" applyAlignment="1">
      <alignment horizontal="center"/>
    </xf>
    <xf numFmtId="0" fontId="23" fillId="10" borderId="0" xfId="0" applyFont="1" applyFill="1" applyAlignment="1">
      <alignment vertical="center"/>
    </xf>
    <xf numFmtId="0" fontId="23" fillId="10" borderId="0" xfId="0" applyFont="1" applyFill="1" applyAlignment="1">
      <alignment horizontal="center" vertical="center"/>
    </xf>
    <xf numFmtId="164" fontId="15" fillId="3" borderId="1" xfId="2" applyNumberFormat="1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164" fontId="15" fillId="3" borderId="0" xfId="2" applyNumberFormat="1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2" fontId="15" fillId="3" borderId="0" xfId="0" applyNumberFormat="1" applyFont="1" applyFill="1" applyAlignment="1">
      <alignment horizontal="center" vertical="center"/>
    </xf>
    <xf numFmtId="164" fontId="15" fillId="3" borderId="5" xfId="2" applyNumberFormat="1" applyFont="1" applyFill="1" applyBorder="1" applyAlignment="1">
      <alignment horizontal="center" vertical="center"/>
    </xf>
    <xf numFmtId="164" fontId="15" fillId="3" borderId="4" xfId="2" applyNumberFormat="1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164" fontId="15" fillId="3" borderId="0" xfId="2" applyNumberFormat="1" applyFont="1" applyFill="1" applyAlignment="1">
      <alignment horizontal="center"/>
    </xf>
    <xf numFmtId="164" fontId="15" fillId="3" borderId="11" xfId="2" applyNumberFormat="1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/>
    </xf>
    <xf numFmtId="0" fontId="23" fillId="10" borderId="4" xfId="0" applyFont="1" applyFill="1" applyBorder="1" applyAlignment="1">
      <alignment horizontal="center"/>
    </xf>
    <xf numFmtId="0" fontId="23" fillId="10" borderId="4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23" fillId="10" borderId="4" xfId="0" applyFont="1" applyFill="1" applyBorder="1" applyAlignment="1">
      <alignment horizontal="center" vertical="center"/>
    </xf>
    <xf numFmtId="10" fontId="0" fillId="3" borderId="0" xfId="2" applyNumberFormat="1" applyFont="1" applyFill="1" applyAlignment="1">
      <alignment horizontal="center"/>
    </xf>
  </cellXfs>
  <cellStyles count="3">
    <cellStyle name="header_style" xfId="1" xr:uid="{00000000-0005-0000-0000-000001000000}"/>
    <cellStyle name="Normal" xfId="0" builtinId="0"/>
    <cellStyle name="Per cent" xfId="2" builtinId="5"/>
  </cellStyles>
  <dxfs count="2">
    <dxf>
      <font>
        <color rgb="FF9C0006"/>
      </font>
    </dxf>
    <dxf>
      <font>
        <color rgb="FF92D050"/>
      </font>
    </dxf>
  </dxfs>
  <tableStyles count="0" defaultTableStyle="TableStyleMedium9" defaultPivotStyle="PivotStyleLight16"/>
  <colors>
    <mruColors>
      <color rgb="FF16537D"/>
      <color rgb="FFB37838"/>
      <color rgb="FF999A9A"/>
      <color rgb="FF658E00"/>
      <color rgb="FF418E00"/>
      <color rgb="FFDDA500"/>
      <color rgb="FF000000"/>
      <color rgb="FFCE9A00"/>
      <color rgb="FFA26C32"/>
      <color rgb="FF1B53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596068786070678E-2"/>
          <c:y val="4.0039682539682549E-2"/>
          <c:w val="0.9068078624278586"/>
          <c:h val="0.916309523809523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'Factor Charts'!$I$1</c:f>
              <c:strCache>
                <c:ptCount val="1"/>
              </c:strCache>
            </c:strRef>
          </c:tx>
          <c:spPr>
            <a:solidFill>
              <a:schemeClr val="accent1"/>
            </a:solidFill>
            <a:ln w="9525"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pattFill prst="dkUpDiag">
                <a:fgClr>
                  <a:schemeClr val="tx2">
                    <a:lumMod val="20000"/>
                    <a:lumOff val="80000"/>
                  </a:schemeClr>
                </a:fgClr>
                <a:bgClr>
                  <a:srgbClr val="16537D"/>
                </a:bgClr>
              </a:patt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1AB-C94E-B35D-8C6D46E5D70B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rgbClr val="658E00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AB-C94E-B35D-8C6D46E5D70B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rgbClr val="B37838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AB-C94E-B35D-8C6D46E5D70B}"/>
              </c:ext>
            </c:extLst>
          </c:dPt>
          <c:dPt>
            <c:idx val="4"/>
            <c:invertIfNegative val="0"/>
            <c:bubble3D val="0"/>
            <c:spPr>
              <a:pattFill prst="plaid">
                <a:fgClr>
                  <a:schemeClr val="bg1">
                    <a:lumMod val="95000"/>
                  </a:schemeClr>
                </a:fgClr>
                <a:bgClr>
                  <a:schemeClr val="tx1">
                    <a:lumMod val="50000"/>
                    <a:lumOff val="50000"/>
                  </a:schemeClr>
                </a:bgClr>
              </a:patt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1AB-C94E-B35D-8C6D46E5D70B}"/>
              </c:ext>
            </c:extLst>
          </c:dPt>
          <c:dPt>
            <c:idx val="5"/>
            <c:invertIfNegative val="0"/>
            <c:bubble3D val="0"/>
            <c:spPr>
              <a:pattFill prst="solidDmnd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AB-C94E-B35D-8C6D46E5D70B}"/>
              </c:ext>
            </c:extLst>
          </c:dPt>
          <c:dPt>
            <c:idx val="6"/>
            <c:invertIfNegative val="0"/>
            <c:bubble3D val="0"/>
            <c:spPr>
              <a:pattFill prst="smCheck">
                <a:fgClr>
                  <a:srgbClr val="DDA500"/>
                </a:fgClr>
                <a:bgClr>
                  <a:schemeClr val="accent6">
                    <a:lumMod val="40000"/>
                    <a:lumOff val="60000"/>
                  </a:schemeClr>
                </a:bgClr>
              </a:patt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1AB-C94E-B35D-8C6D46E5D70B}"/>
              </c:ext>
            </c:extLst>
          </c:dPt>
          <c:val>
            <c:numRef>
              <c:f>'Factor Charts'!$I$2:$I$9</c:f>
              <c:numCache>
                <c:formatCode>0.00%</c:formatCode>
                <c:ptCount val="8"/>
                <c:pt idx="1">
                  <c:v>2.5000000000000001E-2</c:v>
                </c:pt>
                <c:pt idx="2">
                  <c:v>5.0000000000000001E-3</c:v>
                </c:pt>
                <c:pt idx="3">
                  <c:v>6.0000000000000001E-3</c:v>
                </c:pt>
                <c:pt idx="4">
                  <c:v>2.5000000000000001E-3</c:v>
                </c:pt>
                <c:pt idx="5">
                  <c:v>3.5000000000000001E-3</c:v>
                </c:pt>
                <c:pt idx="6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B-C94E-B35D-8C6D46E5D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95615184"/>
        <c:axId val="344716032"/>
      </c:barChart>
      <c:catAx>
        <c:axId val="29561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bg1">
                <a:lumMod val="50000"/>
                <a:alpha val="99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716032"/>
        <c:crosses val="autoZero"/>
        <c:auto val="1"/>
        <c:lblAlgn val="ctr"/>
        <c:lblOffset val="100"/>
        <c:tickMarkSkip val="8"/>
        <c:noMultiLvlLbl val="0"/>
      </c:catAx>
      <c:valAx>
        <c:axId val="3447160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9561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Sheet3!$K$4:$K$30</c:f>
              <c:numCache>
                <c:formatCode>0.00%</c:formatCode>
                <c:ptCount val="27"/>
                <c:pt idx="0">
                  <c:v>1.0999999999999999E-2</c:v>
                </c:pt>
                <c:pt idx="1">
                  <c:v>4.0000000000000001E-3</c:v>
                </c:pt>
                <c:pt idx="3">
                  <c:v>3.5000000000000003E-2</c:v>
                </c:pt>
                <c:pt idx="5">
                  <c:v>5.3999999999999999E-2</c:v>
                </c:pt>
                <c:pt idx="6">
                  <c:v>0.06</c:v>
                </c:pt>
                <c:pt idx="7">
                  <c:v>6.3E-2</c:v>
                </c:pt>
                <c:pt idx="8">
                  <c:v>4.8000000000000001E-2</c:v>
                </c:pt>
                <c:pt idx="9">
                  <c:v>5.0999999999999997E-2</c:v>
                </c:pt>
                <c:pt idx="10">
                  <c:v>2.5999999999999999E-2</c:v>
                </c:pt>
                <c:pt idx="11">
                  <c:v>6.9000000000000006E-2</c:v>
                </c:pt>
                <c:pt idx="12">
                  <c:v>8.5999999999999993E-2</c:v>
                </c:pt>
                <c:pt idx="13">
                  <c:v>6.0999999999999999E-2</c:v>
                </c:pt>
                <c:pt idx="14">
                  <c:v>4.8000000000000001E-2</c:v>
                </c:pt>
                <c:pt idx="16">
                  <c:v>1.9E-2</c:v>
                </c:pt>
                <c:pt idx="17">
                  <c:v>2.7E-2</c:v>
                </c:pt>
                <c:pt idx="18">
                  <c:v>2.9000000000000001E-2</c:v>
                </c:pt>
                <c:pt idx="20">
                  <c:v>0.08</c:v>
                </c:pt>
                <c:pt idx="21">
                  <c:v>8.2000000000000003E-2</c:v>
                </c:pt>
                <c:pt idx="22">
                  <c:v>7.2999999999999995E-2</c:v>
                </c:pt>
                <c:pt idx="24">
                  <c:v>4.3999999999999997E-2</c:v>
                </c:pt>
                <c:pt idx="25">
                  <c:v>3.7999999999999999E-2</c:v>
                </c:pt>
                <c:pt idx="26">
                  <c:v>4.2999999999999997E-2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98-BF43-95B2-6EC6A09EBAA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Sheet3!$L$4:$L$30</c:f>
              <c:numCache>
                <c:formatCode>0.00%</c:formatCode>
                <c:ptCount val="27"/>
                <c:pt idx="0">
                  <c:v>1.08524678406041E-2</c:v>
                </c:pt>
                <c:pt idx="1">
                  <c:v>3.0821903711752401E-3</c:v>
                </c:pt>
                <c:pt idx="3">
                  <c:v>4.3364015406650899E-2</c:v>
                </c:pt>
                <c:pt idx="5">
                  <c:v>4.4567317353041203E-2</c:v>
                </c:pt>
                <c:pt idx="6">
                  <c:v>6.09896272276437E-2</c:v>
                </c:pt>
                <c:pt idx="7">
                  <c:v>6.9881103642633002E-2</c:v>
                </c:pt>
                <c:pt idx="8">
                  <c:v>4.7043208728656999E-2</c:v>
                </c:pt>
                <c:pt idx="9">
                  <c:v>4.8975926757622301E-2</c:v>
                </c:pt>
                <c:pt idx="10">
                  <c:v>2.82523559089745E-2</c:v>
                </c:pt>
                <c:pt idx="11">
                  <c:v>5.6359980577740498E-2</c:v>
                </c:pt>
                <c:pt idx="12">
                  <c:v>7.5241692772873098E-2</c:v>
                </c:pt>
                <c:pt idx="13">
                  <c:v>6.4800724140040705E-2</c:v>
                </c:pt>
                <c:pt idx="14">
                  <c:v>4.4976836696510598E-2</c:v>
                </c:pt>
                <c:pt idx="16">
                  <c:v>1.9169505465816701E-2</c:v>
                </c:pt>
                <c:pt idx="17">
                  <c:v>2.0771382280796301E-2</c:v>
                </c:pt>
                <c:pt idx="18">
                  <c:v>1.8658048030354601E-2</c:v>
                </c:pt>
                <c:pt idx="20">
                  <c:v>5.0216749358222103E-2</c:v>
                </c:pt>
                <c:pt idx="21">
                  <c:v>3.5944264317563202E-2</c:v>
                </c:pt>
                <c:pt idx="22">
                  <c:v>4.7598983442139302E-2</c:v>
                </c:pt>
                <c:pt idx="24">
                  <c:v>4.3364015406650899E-2</c:v>
                </c:pt>
                <c:pt idx="25">
                  <c:v>6.2011235623535797E-2</c:v>
                </c:pt>
                <c:pt idx="26">
                  <c:v>4.7598983442139302E-2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98-BF43-95B2-6EC6A09EB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675616"/>
        <c:axId val="1652827344"/>
      </c:barChart>
      <c:catAx>
        <c:axId val="1652675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827344"/>
        <c:crosses val="autoZero"/>
        <c:auto val="1"/>
        <c:lblAlgn val="ctr"/>
        <c:lblOffset val="100"/>
        <c:noMultiLvlLbl val="0"/>
      </c:catAx>
      <c:valAx>
        <c:axId val="165282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67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744362</xdr:colOff>
      <xdr:row>5</xdr:row>
      <xdr:rowOff>56443</xdr:rowOff>
    </xdr:from>
    <xdr:to>
      <xdr:col>10</xdr:col>
      <xdr:colOff>767080</xdr:colOff>
      <xdr:row>14</xdr:row>
      <xdr:rowOff>158042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E8C5EF-66D3-328F-4C2C-338F9D886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806450</xdr:colOff>
      <xdr:row>9</xdr:row>
      <xdr:rowOff>69850</xdr:rowOff>
    </xdr:from>
    <xdr:to>
      <xdr:col>20</xdr:col>
      <xdr:colOff>425450</xdr:colOff>
      <xdr:row>23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B5FEEA-08FD-EFD4-C324-48BC7E5946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C947-0D92-D142-B90E-ACC43DBB9147}">
  <dimension ref="A1:E37"/>
  <sheetViews>
    <sheetView zoomScale="110" zoomScaleNormal="110" workbookViewId="0">
      <selection activeCell="F18" sqref="F18"/>
    </sheetView>
  </sheetViews>
  <sheetFormatPr baseColWidth="10" defaultRowHeight="15" x14ac:dyDescent="0.2"/>
  <cols>
    <col min="1" max="1" width="44" bestFit="1" customWidth="1"/>
    <col min="2" max="5" width="19.5" style="1" customWidth="1"/>
  </cols>
  <sheetData>
    <row r="1" spans="1:5" ht="37" customHeight="1" x14ac:dyDescent="0.2">
      <c r="A1" s="66"/>
      <c r="B1" s="67" t="s">
        <v>0</v>
      </c>
      <c r="C1" s="67" t="s">
        <v>1</v>
      </c>
      <c r="D1" s="67" t="s">
        <v>2</v>
      </c>
      <c r="E1" s="67" t="s">
        <v>3</v>
      </c>
    </row>
    <row r="2" spans="1:5" ht="17" customHeight="1" x14ac:dyDescent="0.2">
      <c r="A2" s="68" t="s">
        <v>4</v>
      </c>
      <c r="B2" s="144">
        <v>0.745</v>
      </c>
      <c r="C2" s="144" t="s">
        <v>38</v>
      </c>
      <c r="D2" s="144">
        <v>0.36</v>
      </c>
      <c r="E2" s="144">
        <v>0.15</v>
      </c>
    </row>
    <row r="3" spans="1:5" ht="17" customHeight="1" x14ac:dyDescent="0.2">
      <c r="A3" s="70" t="s">
        <v>36</v>
      </c>
      <c r="B3" s="145">
        <v>24.5</v>
      </c>
      <c r="C3" s="145">
        <v>58.5</v>
      </c>
      <c r="D3" s="146">
        <v>36</v>
      </c>
      <c r="E3" s="146">
        <v>15</v>
      </c>
    </row>
    <row r="4" spans="1:5" ht="17" customHeight="1" x14ac:dyDescent="0.2">
      <c r="A4" s="70" t="s">
        <v>5</v>
      </c>
      <c r="B4" s="146">
        <v>50</v>
      </c>
      <c r="C4" s="145" t="s">
        <v>37</v>
      </c>
      <c r="D4" s="145" t="s">
        <v>37</v>
      </c>
      <c r="E4" s="145" t="s">
        <v>37</v>
      </c>
    </row>
    <row r="5" spans="1:5" ht="17" customHeight="1" x14ac:dyDescent="0.2">
      <c r="A5" s="68" t="s">
        <v>6</v>
      </c>
      <c r="B5" s="144">
        <v>0.02</v>
      </c>
      <c r="C5" s="144">
        <v>0.03</v>
      </c>
      <c r="D5" s="144">
        <v>4.4999999999999998E-2</v>
      </c>
      <c r="E5" s="144">
        <v>5.5E-2</v>
      </c>
    </row>
    <row r="6" spans="1:5" ht="17" customHeight="1" x14ac:dyDescent="0.2">
      <c r="A6" s="70" t="s">
        <v>123</v>
      </c>
      <c r="B6" s="146">
        <v>2</v>
      </c>
      <c r="C6" s="146">
        <v>3</v>
      </c>
      <c r="D6" s="145">
        <v>4.5</v>
      </c>
      <c r="E6" s="145">
        <v>5.5</v>
      </c>
    </row>
    <row r="7" spans="1:5" ht="17" customHeight="1" x14ac:dyDescent="0.2">
      <c r="A7" s="68" t="s">
        <v>8</v>
      </c>
      <c r="B7" s="144">
        <v>0.14000000000000001</v>
      </c>
      <c r="C7" s="144">
        <v>0.22500000000000001</v>
      </c>
      <c r="D7" s="144">
        <v>0.35499999999999998</v>
      </c>
      <c r="E7" s="144">
        <v>0.505</v>
      </c>
    </row>
    <row r="8" spans="1:5" ht="17" customHeight="1" x14ac:dyDescent="0.2">
      <c r="A8" s="70" t="s">
        <v>9</v>
      </c>
      <c r="B8" s="145">
        <v>3.9</v>
      </c>
      <c r="C8" s="145">
        <v>6.3</v>
      </c>
      <c r="D8" s="146">
        <v>10</v>
      </c>
      <c r="E8" s="145">
        <v>14.2</v>
      </c>
    </row>
    <row r="9" spans="1:5" ht="17" customHeight="1" x14ac:dyDescent="0.2">
      <c r="A9" s="70" t="s">
        <v>10</v>
      </c>
      <c r="B9" s="145">
        <v>4.4000000000000004</v>
      </c>
      <c r="C9" s="145">
        <v>7.1</v>
      </c>
      <c r="D9" s="145">
        <v>11.2</v>
      </c>
      <c r="E9" s="145">
        <v>15.9</v>
      </c>
    </row>
    <row r="10" spans="1:5" ht="17" customHeight="1" x14ac:dyDescent="0.2">
      <c r="A10" s="70" t="s">
        <v>11</v>
      </c>
      <c r="B10" s="145">
        <v>1.4</v>
      </c>
      <c r="C10" s="145">
        <v>2.2000000000000002</v>
      </c>
      <c r="D10" s="145">
        <v>3.5</v>
      </c>
      <c r="E10" s="146">
        <v>5</v>
      </c>
    </row>
    <row r="11" spans="1:5" ht="17" customHeight="1" x14ac:dyDescent="0.2">
      <c r="A11" s="70" t="s">
        <v>12</v>
      </c>
      <c r="B11" s="145">
        <v>1.6</v>
      </c>
      <c r="C11" s="145">
        <v>2.5</v>
      </c>
      <c r="D11" s="146">
        <v>4</v>
      </c>
      <c r="E11" s="145">
        <v>5.7</v>
      </c>
    </row>
    <row r="12" spans="1:5" ht="17" customHeight="1" x14ac:dyDescent="0.2">
      <c r="A12" s="70" t="s">
        <v>13</v>
      </c>
      <c r="B12" s="145">
        <v>0.5</v>
      </c>
      <c r="C12" s="145">
        <v>0.8</v>
      </c>
      <c r="D12" s="145">
        <v>1.2</v>
      </c>
      <c r="E12" s="145">
        <v>1.7</v>
      </c>
    </row>
    <row r="13" spans="1:5" ht="17" customHeight="1" x14ac:dyDescent="0.2">
      <c r="A13" s="70" t="s">
        <v>14</v>
      </c>
      <c r="B13" s="145">
        <v>0.7</v>
      </c>
      <c r="C13" s="145">
        <v>1.1000000000000001</v>
      </c>
      <c r="D13" s="145">
        <v>1.8</v>
      </c>
      <c r="E13" s="145">
        <v>2.6</v>
      </c>
    </row>
    <row r="14" spans="1:5" ht="17" customHeight="1" x14ac:dyDescent="0.2">
      <c r="A14" s="70" t="s">
        <v>15</v>
      </c>
      <c r="B14" s="145">
        <v>0.4</v>
      </c>
      <c r="C14" s="145">
        <v>0.6</v>
      </c>
      <c r="D14" s="145">
        <v>0.9</v>
      </c>
      <c r="E14" s="145">
        <v>1.3</v>
      </c>
    </row>
    <row r="15" spans="1:5" ht="17" customHeight="1" x14ac:dyDescent="0.2">
      <c r="A15" s="70" t="s">
        <v>16</v>
      </c>
      <c r="B15" s="145">
        <v>0.4</v>
      </c>
      <c r="C15" s="145">
        <v>0.6</v>
      </c>
      <c r="D15" s="145">
        <v>0.9</v>
      </c>
      <c r="E15" s="145">
        <v>1.3</v>
      </c>
    </row>
    <row r="16" spans="1:5" ht="17" customHeight="1" x14ac:dyDescent="0.2">
      <c r="A16" s="70" t="s">
        <v>68</v>
      </c>
      <c r="B16" s="146">
        <v>0.4</v>
      </c>
      <c r="C16" s="146">
        <v>0.65</v>
      </c>
      <c r="D16" s="146">
        <v>1</v>
      </c>
      <c r="E16" s="146">
        <v>1.4</v>
      </c>
    </row>
    <row r="17" spans="1:5" ht="17" customHeight="1" x14ac:dyDescent="0.2">
      <c r="A17" s="70" t="s">
        <v>112</v>
      </c>
      <c r="B17" s="146">
        <v>0.4</v>
      </c>
      <c r="C17" s="146">
        <v>0.65</v>
      </c>
      <c r="D17" s="146">
        <v>1</v>
      </c>
      <c r="E17" s="146">
        <v>1.4</v>
      </c>
    </row>
    <row r="18" spans="1:5" ht="17" customHeight="1" x14ac:dyDescent="0.2">
      <c r="A18" s="68" t="s">
        <v>17</v>
      </c>
      <c r="B18" s="144">
        <v>1.4999999999999999E-2</v>
      </c>
      <c r="C18" s="144">
        <v>3.5000000000000003E-2</v>
      </c>
      <c r="D18" s="144">
        <v>4.4999999999999998E-2</v>
      </c>
      <c r="E18" s="144">
        <v>0.03</v>
      </c>
    </row>
    <row r="19" spans="1:5" ht="17" customHeight="1" x14ac:dyDescent="0.2">
      <c r="A19" s="70" t="s">
        <v>18</v>
      </c>
      <c r="B19" s="145">
        <v>0.3</v>
      </c>
      <c r="C19" s="145">
        <v>0.7</v>
      </c>
      <c r="D19" s="145">
        <v>0.9</v>
      </c>
      <c r="E19" s="145">
        <v>0.6</v>
      </c>
    </row>
    <row r="20" spans="1:5" ht="17" customHeight="1" x14ac:dyDescent="0.2">
      <c r="A20" s="70" t="s">
        <v>19</v>
      </c>
      <c r="B20" s="145">
        <v>0.6</v>
      </c>
      <c r="C20" s="145">
        <v>1.4</v>
      </c>
      <c r="D20" s="145">
        <v>1.8</v>
      </c>
      <c r="E20" s="145">
        <v>1.2</v>
      </c>
    </row>
    <row r="21" spans="1:5" ht="17" customHeight="1" x14ac:dyDescent="0.2">
      <c r="A21" s="70" t="s">
        <v>20</v>
      </c>
      <c r="B21" s="145">
        <v>0.6</v>
      </c>
      <c r="C21" s="145">
        <v>1.4</v>
      </c>
      <c r="D21" s="145">
        <v>1.8</v>
      </c>
      <c r="E21" s="145">
        <v>1.2</v>
      </c>
    </row>
    <row r="22" spans="1:5" ht="17" customHeight="1" x14ac:dyDescent="0.2">
      <c r="A22" s="68" t="s">
        <v>21</v>
      </c>
      <c r="B22" s="144">
        <v>0.04</v>
      </c>
      <c r="C22" s="144">
        <v>5.5E-2</v>
      </c>
      <c r="D22" s="144">
        <v>0.12</v>
      </c>
      <c r="E22" s="144">
        <v>0.185</v>
      </c>
    </row>
    <row r="23" spans="1:5" ht="17" customHeight="1" x14ac:dyDescent="0.2">
      <c r="A23" s="70" t="s">
        <v>22</v>
      </c>
      <c r="B23" s="146">
        <v>3</v>
      </c>
      <c r="C23" s="146">
        <v>4.0999999999999996</v>
      </c>
      <c r="D23" s="146">
        <v>8.4</v>
      </c>
      <c r="E23" s="146">
        <v>13</v>
      </c>
    </row>
    <row r="24" spans="1:5" ht="17" customHeight="1" x14ac:dyDescent="0.2">
      <c r="A24" s="70" t="s">
        <v>23</v>
      </c>
      <c r="B24" s="146">
        <v>1</v>
      </c>
      <c r="C24" s="146">
        <v>1.4</v>
      </c>
      <c r="D24" s="146">
        <v>2.8</v>
      </c>
      <c r="E24" s="146">
        <v>4.3</v>
      </c>
    </row>
    <row r="25" spans="1:5" ht="17" customHeight="1" x14ac:dyDescent="0.2">
      <c r="A25" s="70" t="s">
        <v>24</v>
      </c>
      <c r="B25" s="145" t="s">
        <v>37</v>
      </c>
      <c r="C25" s="145" t="s">
        <v>37</v>
      </c>
      <c r="D25" s="145">
        <v>0.8</v>
      </c>
      <c r="E25" s="145">
        <v>1.2</v>
      </c>
    </row>
    <row r="26" spans="1:5" ht="17" customHeight="1" x14ac:dyDescent="0.2">
      <c r="A26" s="68" t="s">
        <v>25</v>
      </c>
      <c r="B26" s="144">
        <v>0.04</v>
      </c>
      <c r="C26" s="144">
        <v>7.0000000000000007E-2</v>
      </c>
      <c r="D26" s="144">
        <v>7.4999999999999997E-2</v>
      </c>
      <c r="E26" s="144">
        <v>7.4999999999999997E-2</v>
      </c>
    </row>
    <row r="27" spans="1:5" ht="17" customHeight="1" x14ac:dyDescent="0.2">
      <c r="A27" s="70" t="s">
        <v>26</v>
      </c>
      <c r="B27" s="145">
        <v>1.3</v>
      </c>
      <c r="C27" s="145">
        <v>2.2999999999999998</v>
      </c>
      <c r="D27" s="145">
        <v>3.5</v>
      </c>
      <c r="E27" s="145">
        <v>3.5</v>
      </c>
    </row>
    <row r="28" spans="1:5" ht="17" customHeight="1" x14ac:dyDescent="0.2">
      <c r="A28" s="70" t="s">
        <v>70</v>
      </c>
      <c r="B28" s="146">
        <v>1.35</v>
      </c>
      <c r="C28" s="146">
        <v>2.35</v>
      </c>
      <c r="D28" s="146">
        <v>2</v>
      </c>
      <c r="E28" s="146">
        <v>2</v>
      </c>
    </row>
    <row r="29" spans="1:5" ht="17" customHeight="1" x14ac:dyDescent="0.2">
      <c r="A29" s="70" t="s">
        <v>71</v>
      </c>
      <c r="B29" s="146">
        <v>1.35</v>
      </c>
      <c r="C29" s="146">
        <v>2.35</v>
      </c>
      <c r="D29" s="146">
        <v>2</v>
      </c>
      <c r="E29" s="146">
        <v>2</v>
      </c>
    </row>
    <row r="30" spans="1:5" ht="23" customHeight="1" x14ac:dyDescent="0.2">
      <c r="A30" s="72" t="s">
        <v>28</v>
      </c>
      <c r="B30" s="73">
        <v>1</v>
      </c>
      <c r="C30" s="73">
        <v>1</v>
      </c>
      <c r="D30" s="73">
        <v>1</v>
      </c>
      <c r="E30" s="73">
        <v>1</v>
      </c>
    </row>
    <row r="31" spans="1:5" ht="3" customHeight="1" x14ac:dyDescent="0.2">
      <c r="A31" s="6"/>
      <c r="B31" s="7"/>
      <c r="C31" s="7"/>
      <c r="D31" s="7"/>
      <c r="E31" s="7"/>
    </row>
    <row r="32" spans="1:5" ht="23" customHeight="1" x14ac:dyDescent="0.2">
      <c r="A32" s="74" t="s">
        <v>29</v>
      </c>
      <c r="B32" s="75">
        <v>4.3999999999999997E-2</v>
      </c>
      <c r="C32" s="75">
        <v>5.3999999999999999E-2</v>
      </c>
      <c r="D32" s="75">
        <v>6.5000000000000002E-2</v>
      </c>
      <c r="E32" s="75">
        <v>7.5999999999999998E-2</v>
      </c>
    </row>
    <row r="33" spans="1:5" ht="19" customHeight="1" x14ac:dyDescent="0.2">
      <c r="A33" s="74" t="s">
        <v>30</v>
      </c>
      <c r="B33" s="76">
        <v>0.6</v>
      </c>
      <c r="C33" s="76">
        <v>0.59</v>
      </c>
      <c r="D33" s="76">
        <v>0.53</v>
      </c>
      <c r="E33" s="76">
        <v>0.49</v>
      </c>
    </row>
    <row r="34" spans="1:5" ht="3" customHeight="1" x14ac:dyDescent="0.2">
      <c r="A34" s="121"/>
      <c r="B34" s="123"/>
      <c r="C34" s="123"/>
      <c r="D34" s="123"/>
      <c r="E34" s="123"/>
    </row>
    <row r="35" spans="1:5" ht="19" customHeight="1" x14ac:dyDescent="0.2">
      <c r="A35" s="74" t="s">
        <v>31</v>
      </c>
      <c r="B35" s="75">
        <v>3.1E-2</v>
      </c>
      <c r="C35" s="75">
        <v>4.9000000000000002E-2</v>
      </c>
      <c r="D35" s="75">
        <v>7.3999999999999996E-2</v>
      </c>
      <c r="E35" s="75">
        <v>0.10299999999999999</v>
      </c>
    </row>
    <row r="36" spans="1:5" ht="2" customHeight="1" x14ac:dyDescent="0.2">
      <c r="A36" s="121"/>
      <c r="B36" s="122"/>
      <c r="C36" s="122"/>
      <c r="D36" s="122"/>
      <c r="E36" s="122"/>
    </row>
    <row r="37" spans="1:5" ht="19" customHeight="1" x14ac:dyDescent="0.2">
      <c r="A37" s="74" t="s">
        <v>39</v>
      </c>
      <c r="B37" s="77" t="s">
        <v>32</v>
      </c>
      <c r="C37" s="77" t="s">
        <v>33</v>
      </c>
      <c r="D37" s="77" t="s">
        <v>34</v>
      </c>
      <c r="E37" s="77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BCDE-473D-E048-9A9A-FD1483C7BA1B}">
  <dimension ref="A1:B11"/>
  <sheetViews>
    <sheetView workbookViewId="0">
      <selection activeCell="B25" sqref="B25"/>
    </sheetView>
  </sheetViews>
  <sheetFormatPr baseColWidth="10" defaultRowHeight="15" x14ac:dyDescent="0.2"/>
  <cols>
    <col min="1" max="1" width="39.6640625" bestFit="1" customWidth="1"/>
    <col min="2" max="2" width="17.83203125" bestFit="1" customWidth="1"/>
  </cols>
  <sheetData>
    <row r="1" spans="1:2" ht="37" customHeight="1" x14ac:dyDescent="0.2">
      <c r="A1" s="66"/>
      <c r="B1" s="67" t="s">
        <v>0</v>
      </c>
    </row>
    <row r="2" spans="1:2" ht="18" customHeight="1" x14ac:dyDescent="0.2">
      <c r="A2" s="68" t="s">
        <v>4</v>
      </c>
      <c r="B2" s="69">
        <v>0.745</v>
      </c>
    </row>
    <row r="3" spans="1:2" ht="18" customHeight="1" x14ac:dyDescent="0.2">
      <c r="A3" s="70" t="s">
        <v>36</v>
      </c>
      <c r="B3" s="71">
        <v>24.5</v>
      </c>
    </row>
    <row r="4" spans="1:2" ht="23" customHeight="1" x14ac:dyDescent="0.2">
      <c r="A4" s="72" t="s">
        <v>28</v>
      </c>
      <c r="B4" s="73">
        <v>1</v>
      </c>
    </row>
    <row r="5" spans="1:2" ht="3" customHeight="1" x14ac:dyDescent="0.2">
      <c r="A5" s="130"/>
      <c r="B5" s="131"/>
    </row>
    <row r="6" spans="1:2" ht="22" customHeight="1" x14ac:dyDescent="0.2">
      <c r="A6" s="132" t="s">
        <v>29</v>
      </c>
      <c r="B6" s="133">
        <v>4.3999999999999997E-2</v>
      </c>
    </row>
    <row r="7" spans="1:2" ht="22" customHeight="1" x14ac:dyDescent="0.2">
      <c r="A7" s="132" t="s">
        <v>30</v>
      </c>
      <c r="B7" s="134">
        <v>0.6</v>
      </c>
    </row>
    <row r="8" spans="1:2" ht="2" customHeight="1" x14ac:dyDescent="0.2">
      <c r="A8" s="135"/>
      <c r="B8" s="136"/>
    </row>
    <row r="9" spans="1:2" ht="22" customHeight="1" x14ac:dyDescent="0.2">
      <c r="A9" s="132" t="s">
        <v>31</v>
      </c>
      <c r="B9" s="133">
        <v>3.1E-2</v>
      </c>
    </row>
    <row r="10" spans="1:2" ht="2" customHeight="1" x14ac:dyDescent="0.2">
      <c r="A10" s="135"/>
      <c r="B10" s="137"/>
    </row>
    <row r="11" spans="1:2" ht="22" customHeight="1" x14ac:dyDescent="0.2">
      <c r="A11" s="132" t="s">
        <v>39</v>
      </c>
      <c r="B11" s="138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CEF0-AAB7-5F4E-AFE9-90DE11CB7B25}">
  <dimension ref="A1:I65"/>
  <sheetViews>
    <sheetView zoomScale="110" zoomScaleNormal="110" workbookViewId="0">
      <selection activeCell="B21" sqref="B21"/>
    </sheetView>
  </sheetViews>
  <sheetFormatPr baseColWidth="10" defaultRowHeight="15" x14ac:dyDescent="0.2"/>
  <cols>
    <col min="1" max="1" width="44" bestFit="1" customWidth="1"/>
    <col min="2" max="8" width="14.6640625" style="1" customWidth="1"/>
    <col min="9" max="9" width="14.6640625" customWidth="1"/>
  </cols>
  <sheetData>
    <row r="1" spans="1:9" ht="21" customHeight="1" x14ac:dyDescent="0.2">
      <c r="A1" s="49"/>
      <c r="B1" s="194" t="s">
        <v>0</v>
      </c>
      <c r="C1" s="194"/>
      <c r="D1" s="194" t="s">
        <v>1</v>
      </c>
      <c r="E1" s="194"/>
      <c r="F1" s="194" t="s">
        <v>2</v>
      </c>
      <c r="G1" s="194"/>
      <c r="H1" s="194" t="s">
        <v>3</v>
      </c>
      <c r="I1" s="200"/>
    </row>
    <row r="2" spans="1:9" ht="17" customHeight="1" x14ac:dyDescent="0.2">
      <c r="A2" s="50" t="s">
        <v>4</v>
      </c>
      <c r="B2" s="193">
        <v>0.745</v>
      </c>
      <c r="C2" s="193"/>
      <c r="D2" s="193" t="s">
        <v>38</v>
      </c>
      <c r="E2" s="193"/>
      <c r="F2" s="193">
        <v>0.36</v>
      </c>
      <c r="G2" s="193"/>
      <c r="H2" s="193">
        <v>0.15</v>
      </c>
      <c r="I2" s="193"/>
    </row>
    <row r="3" spans="1:9" ht="17" customHeight="1" x14ac:dyDescent="0.2">
      <c r="A3" s="51" t="s">
        <v>6</v>
      </c>
      <c r="B3" s="195">
        <v>0.02</v>
      </c>
      <c r="C3" s="195"/>
      <c r="D3" s="195">
        <v>0.03</v>
      </c>
      <c r="E3" s="195"/>
      <c r="F3" s="195">
        <v>4.4999999999999998E-2</v>
      </c>
      <c r="G3" s="195"/>
      <c r="H3" s="195">
        <v>5.5E-2</v>
      </c>
      <c r="I3" s="195"/>
    </row>
    <row r="4" spans="1:9" ht="17" customHeight="1" x14ac:dyDescent="0.2">
      <c r="A4" s="51" t="s">
        <v>8</v>
      </c>
      <c r="B4" s="195">
        <v>0.14000000000000001</v>
      </c>
      <c r="C4" s="195"/>
      <c r="D4" s="195">
        <v>0.22500000000000001</v>
      </c>
      <c r="E4" s="195"/>
      <c r="F4" s="195">
        <v>0.35499999999999998</v>
      </c>
      <c r="G4" s="195"/>
      <c r="H4" s="195">
        <v>0.505</v>
      </c>
      <c r="I4" s="195"/>
    </row>
    <row r="5" spans="1:9" ht="17" customHeight="1" x14ac:dyDescent="0.2">
      <c r="A5" s="51" t="s">
        <v>17</v>
      </c>
      <c r="B5" s="195">
        <v>1.4999999999999999E-2</v>
      </c>
      <c r="C5" s="195"/>
      <c r="D5" s="195">
        <v>3.5000000000000003E-2</v>
      </c>
      <c r="E5" s="195"/>
      <c r="F5" s="195">
        <v>4.4999999999999998E-2</v>
      </c>
      <c r="G5" s="195"/>
      <c r="H5" s="195">
        <v>0.03</v>
      </c>
      <c r="I5" s="195"/>
    </row>
    <row r="6" spans="1:9" ht="17" customHeight="1" x14ac:dyDescent="0.2">
      <c r="A6" s="51" t="s">
        <v>21</v>
      </c>
      <c r="B6" s="195">
        <v>0.04</v>
      </c>
      <c r="C6" s="195"/>
      <c r="D6" s="195">
        <v>5.5E-2</v>
      </c>
      <c r="E6" s="195"/>
      <c r="F6" s="195">
        <v>0.12</v>
      </c>
      <c r="G6" s="195"/>
      <c r="H6" s="195">
        <v>0.185</v>
      </c>
      <c r="I6" s="195"/>
    </row>
    <row r="7" spans="1:9" ht="17" customHeight="1" x14ac:dyDescent="0.2">
      <c r="A7" s="53" t="s">
        <v>25</v>
      </c>
      <c r="B7" s="199">
        <v>0.04</v>
      </c>
      <c r="C7" s="199"/>
      <c r="D7" s="199">
        <v>7.0000000000000007E-2</v>
      </c>
      <c r="E7" s="199"/>
      <c r="F7" s="199">
        <v>7.4999999999999997E-2</v>
      </c>
      <c r="G7" s="199"/>
      <c r="H7" s="199">
        <v>7.4999999999999997E-2</v>
      </c>
      <c r="I7" s="199"/>
    </row>
    <row r="8" spans="1:9" ht="17" customHeight="1" x14ac:dyDescent="0.2">
      <c r="A8" s="54" t="s">
        <v>29</v>
      </c>
      <c r="B8" s="198">
        <v>4.3999999999999997E-2</v>
      </c>
      <c r="C8" s="198"/>
      <c r="D8" s="198">
        <v>5.3999999999999999E-2</v>
      </c>
      <c r="E8" s="198"/>
      <c r="F8" s="198">
        <v>6.5000000000000002E-2</v>
      </c>
      <c r="G8" s="198"/>
      <c r="H8" s="198">
        <v>7.5999999999999998E-2</v>
      </c>
      <c r="I8" s="198"/>
    </row>
    <row r="9" spans="1:9" ht="17" customHeight="1" x14ac:dyDescent="0.2">
      <c r="A9" s="54" t="s">
        <v>30</v>
      </c>
      <c r="B9" s="197">
        <v>0.6</v>
      </c>
      <c r="C9" s="197"/>
      <c r="D9" s="197">
        <v>0.59</v>
      </c>
      <c r="E9" s="197"/>
      <c r="F9" s="197">
        <v>0.53</v>
      </c>
      <c r="G9" s="197"/>
      <c r="H9" s="197">
        <v>0.49</v>
      </c>
      <c r="I9" s="197"/>
    </row>
    <row r="10" spans="1:9" ht="17" customHeight="1" x14ac:dyDescent="0.2">
      <c r="A10" s="54" t="s">
        <v>31</v>
      </c>
      <c r="B10" s="195">
        <v>3.1E-2</v>
      </c>
      <c r="C10" s="195"/>
      <c r="D10" s="195">
        <v>4.9000000000000002E-2</v>
      </c>
      <c r="E10" s="195"/>
      <c r="F10" s="195">
        <v>7.3999999999999996E-2</v>
      </c>
      <c r="G10" s="195"/>
      <c r="H10" s="195">
        <v>0.10299999999999999</v>
      </c>
      <c r="I10" s="195"/>
    </row>
    <row r="11" spans="1:9" ht="17" customHeight="1" x14ac:dyDescent="0.2">
      <c r="A11" s="54" t="s">
        <v>39</v>
      </c>
      <c r="B11" s="196" t="s">
        <v>32</v>
      </c>
      <c r="C11" s="196"/>
      <c r="D11" s="196" t="s">
        <v>33</v>
      </c>
      <c r="E11" s="196"/>
      <c r="F11" s="196" t="s">
        <v>34</v>
      </c>
      <c r="G11" s="196"/>
      <c r="H11" s="196" t="s">
        <v>35</v>
      </c>
      <c r="I11" s="196"/>
    </row>
    <row r="12" spans="1:9" s="8" customFormat="1" ht="17" customHeight="1" x14ac:dyDescent="0.2">
      <c r="A12" s="55" t="s">
        <v>40</v>
      </c>
      <c r="B12" s="55"/>
      <c r="C12" s="55"/>
      <c r="D12" s="55"/>
      <c r="E12" s="55"/>
      <c r="F12" s="55"/>
      <c r="G12" s="55"/>
      <c r="H12" s="55"/>
      <c r="I12" s="55"/>
    </row>
    <row r="13" spans="1:9" ht="17" customHeight="1" x14ac:dyDescent="0.2">
      <c r="A13" s="56" t="s">
        <v>41</v>
      </c>
      <c r="B13" s="57" t="s">
        <v>50</v>
      </c>
      <c r="C13" s="57" t="s">
        <v>51</v>
      </c>
      <c r="D13" s="57" t="s">
        <v>50</v>
      </c>
      <c r="E13" s="57" t="s">
        <v>51</v>
      </c>
      <c r="F13" s="57" t="s">
        <v>50</v>
      </c>
      <c r="G13" s="57" t="s">
        <v>51</v>
      </c>
      <c r="H13" s="57" t="s">
        <v>50</v>
      </c>
      <c r="I13" s="57" t="s">
        <v>51</v>
      </c>
    </row>
    <row r="14" spans="1:9" ht="17" customHeight="1" x14ac:dyDescent="0.2">
      <c r="A14" s="58" t="s">
        <v>42</v>
      </c>
      <c r="B14" s="59">
        <v>-3.3000000000000002E-2</v>
      </c>
      <c r="C14" s="59">
        <v>-0.184</v>
      </c>
      <c r="D14" s="59">
        <v>-0.11799999999999999</v>
      </c>
      <c r="E14" s="59">
        <v>-0.25600000000000001</v>
      </c>
      <c r="F14" s="59">
        <v>-0.2</v>
      </c>
      <c r="G14" s="59">
        <v>-0.32700000000000001</v>
      </c>
      <c r="H14" s="59">
        <v>-0.28299999999999997</v>
      </c>
      <c r="I14" s="59">
        <v>-0.39500000000000002</v>
      </c>
    </row>
    <row r="15" spans="1:9" ht="17" customHeight="1" x14ac:dyDescent="0.2">
      <c r="A15" s="58" t="s">
        <v>43</v>
      </c>
      <c r="B15" s="59">
        <v>7.0000000000000007E-2</v>
      </c>
      <c r="C15" s="59">
        <v>-9.8000000000000004E-2</v>
      </c>
      <c r="D15" s="59">
        <v>3.5000000000000003E-2</v>
      </c>
      <c r="E15" s="59">
        <v>-0.128</v>
      </c>
      <c r="F15" s="59">
        <v>5.6000000000000001E-2</v>
      </c>
      <c r="G15" s="59">
        <v>-0.11</v>
      </c>
      <c r="H15" s="59">
        <v>7.6999999999999999E-2</v>
      </c>
      <c r="I15" s="59">
        <v>-9.1999999999999998E-2</v>
      </c>
    </row>
    <row r="16" spans="1:9" ht="17" customHeight="1" x14ac:dyDescent="0.2">
      <c r="A16" s="58" t="s">
        <v>44</v>
      </c>
      <c r="B16" s="59">
        <v>0.16200000000000001</v>
      </c>
      <c r="C16" s="59">
        <v>0.02</v>
      </c>
      <c r="D16" s="59">
        <v>0.112</v>
      </c>
      <c r="E16" s="59">
        <v>-2.3E-2</v>
      </c>
      <c r="F16" s="59">
        <v>4.5999999999999999E-2</v>
      </c>
      <c r="G16" s="59">
        <v>-8.2000000000000003E-2</v>
      </c>
      <c r="H16" s="59">
        <v>-2.1000000000000001E-2</v>
      </c>
      <c r="I16" s="59">
        <v>-0.14000000000000001</v>
      </c>
    </row>
    <row r="17" spans="1:9" ht="17" customHeight="1" x14ac:dyDescent="0.2">
      <c r="A17" s="58" t="s">
        <v>45</v>
      </c>
      <c r="B17" s="59">
        <v>-2.5000000000000001E-2</v>
      </c>
      <c r="C17" s="59">
        <v>-2.8000000000000001E-2</v>
      </c>
      <c r="D17" s="59">
        <v>-4.8000000000000001E-2</v>
      </c>
      <c r="E17" s="59">
        <v>-0.05</v>
      </c>
      <c r="F17" s="59">
        <v>-9.7000000000000003E-2</v>
      </c>
      <c r="G17" s="59">
        <v>-9.9000000000000005E-2</v>
      </c>
      <c r="H17" s="59">
        <v>-0.14799999999999999</v>
      </c>
      <c r="I17" s="59">
        <v>-0.15</v>
      </c>
    </row>
    <row r="18" spans="1:9" ht="17" customHeight="1" x14ac:dyDescent="0.2">
      <c r="A18" s="58" t="s">
        <v>46</v>
      </c>
      <c r="B18" s="59">
        <v>-1.4999999999999999E-2</v>
      </c>
      <c r="C18" s="59">
        <v>-3.5999999999999997E-2</v>
      </c>
      <c r="D18" s="59">
        <v>-3.3000000000000002E-2</v>
      </c>
      <c r="E18" s="59">
        <v>-5.2999999999999999E-2</v>
      </c>
      <c r="F18" s="59">
        <v>-2.7E-2</v>
      </c>
      <c r="G18" s="59">
        <v>-4.7E-2</v>
      </c>
      <c r="H18" s="59">
        <v>-2.1999999999999999E-2</v>
      </c>
      <c r="I18" s="59">
        <v>-4.2000000000000003E-2</v>
      </c>
    </row>
    <row r="19" spans="1:9" ht="17" customHeight="1" x14ac:dyDescent="0.2">
      <c r="A19" s="58" t="s">
        <v>47</v>
      </c>
      <c r="B19" s="59">
        <v>1.0999999999999999E-2</v>
      </c>
      <c r="C19" s="59">
        <v>-4.3999999999999997E-2</v>
      </c>
      <c r="D19" s="59">
        <v>-4.9000000000000002E-2</v>
      </c>
      <c r="E19" s="59">
        <v>-0.1</v>
      </c>
      <c r="F19" s="59">
        <v>-0.16700000000000001</v>
      </c>
      <c r="G19" s="59">
        <v>-0.21199999999999999</v>
      </c>
      <c r="H19" s="59">
        <v>-0.27500000000000002</v>
      </c>
      <c r="I19" s="59">
        <v>-0.315</v>
      </c>
    </row>
    <row r="20" spans="1:9" ht="17" customHeight="1" x14ac:dyDescent="0.2">
      <c r="A20" s="58" t="s">
        <v>48</v>
      </c>
      <c r="B20" s="59">
        <v>-8.7999999999999995E-2</v>
      </c>
      <c r="C20" s="59">
        <v>-0.10299999999999999</v>
      </c>
      <c r="D20" s="59">
        <v>-0.159</v>
      </c>
      <c r="E20" s="59">
        <v>-0.17299999999999999</v>
      </c>
      <c r="F20" s="59">
        <v>-0.28299999999999997</v>
      </c>
      <c r="G20" s="59">
        <v>-0.29499999999999998</v>
      </c>
      <c r="H20" s="59">
        <v>-0.39300000000000002</v>
      </c>
      <c r="I20" s="59">
        <v>-0.40300000000000002</v>
      </c>
    </row>
    <row r="21" spans="1:9" ht="17" customHeight="1" x14ac:dyDescent="0.2">
      <c r="A21" s="60" t="s">
        <v>49</v>
      </c>
      <c r="B21" s="61">
        <v>-0.03</v>
      </c>
      <c r="C21" s="61">
        <v>-2.8000000000000001E-2</v>
      </c>
      <c r="D21" s="61">
        <v>-5.2999999999999999E-2</v>
      </c>
      <c r="E21" s="61">
        <v>-5.0999999999999997E-2</v>
      </c>
      <c r="F21" s="61">
        <v>-9.8000000000000004E-2</v>
      </c>
      <c r="G21" s="61">
        <v>-9.7000000000000003E-2</v>
      </c>
      <c r="H21" s="61">
        <v>-0.14499999999999999</v>
      </c>
      <c r="I21" s="61">
        <v>-0.14299999999999999</v>
      </c>
    </row>
    <row r="22" spans="1:9" ht="17" customHeight="1" x14ac:dyDescent="0.2">
      <c r="A22" s="56" t="s">
        <v>52</v>
      </c>
      <c r="B22" s="62"/>
      <c r="C22" s="62"/>
      <c r="D22" s="62"/>
      <c r="E22" s="62"/>
      <c r="F22" s="62"/>
      <c r="G22" s="62"/>
      <c r="H22" s="62"/>
      <c r="I22" s="56"/>
    </row>
    <row r="23" spans="1:9" ht="17" customHeight="1" x14ac:dyDescent="0.2">
      <c r="A23" s="58" t="s">
        <v>53</v>
      </c>
      <c r="B23" s="201">
        <v>2.1999999999999999E-2</v>
      </c>
      <c r="C23" s="201"/>
      <c r="D23" s="201">
        <v>3.7999999999999999E-2</v>
      </c>
      <c r="E23" s="201"/>
      <c r="F23" s="201">
        <v>6.3E-2</v>
      </c>
      <c r="G23" s="201"/>
      <c r="H23" s="201">
        <v>8.8999999999999996E-2</v>
      </c>
      <c r="I23" s="201"/>
    </row>
    <row r="24" spans="1:9" ht="17" customHeight="1" x14ac:dyDescent="0.2">
      <c r="A24" s="58" t="s">
        <v>54</v>
      </c>
      <c r="B24" s="201">
        <v>3.5000000000000003E-2</v>
      </c>
      <c r="C24" s="201"/>
      <c r="D24" s="201">
        <v>8.2000000000000003E-2</v>
      </c>
      <c r="E24" s="201"/>
      <c r="F24" s="201">
        <v>0.16200000000000001</v>
      </c>
      <c r="G24" s="201"/>
      <c r="H24" s="201">
        <v>0.24299999999999999</v>
      </c>
      <c r="I24" s="201"/>
    </row>
    <row r="25" spans="1:9" ht="17" customHeight="1" x14ac:dyDescent="0.2">
      <c r="A25" s="58" t="s">
        <v>55</v>
      </c>
      <c r="B25" s="202">
        <v>0</v>
      </c>
      <c r="C25" s="202"/>
      <c r="D25" s="202">
        <v>4.3999999999999997E-2</v>
      </c>
      <c r="E25" s="202"/>
      <c r="F25" s="202">
        <v>0.14899999999999999</v>
      </c>
      <c r="G25" s="202"/>
      <c r="H25" s="202">
        <v>0.253</v>
      </c>
      <c r="I25" s="202"/>
    </row>
    <row r="26" spans="1:9" ht="17" customHeight="1" x14ac:dyDescent="0.2">
      <c r="A26" s="63" t="s">
        <v>56</v>
      </c>
      <c r="B26" s="64"/>
      <c r="C26" s="64"/>
      <c r="D26" s="64"/>
      <c r="E26" s="64"/>
      <c r="F26" s="64"/>
      <c r="G26" s="64"/>
      <c r="H26" s="64"/>
      <c r="I26" s="64"/>
    </row>
    <row r="27" spans="1:9" ht="17" customHeight="1" x14ac:dyDescent="0.2">
      <c r="A27" s="58" t="s">
        <v>53</v>
      </c>
      <c r="B27" s="201">
        <v>0.23799999999999999</v>
      </c>
      <c r="C27" s="201"/>
      <c r="D27" s="201">
        <v>0.27900000000000003</v>
      </c>
      <c r="E27" s="201"/>
      <c r="F27" s="201">
        <v>0.314</v>
      </c>
      <c r="G27" s="201"/>
      <c r="H27" s="201">
        <v>0.33700000000000002</v>
      </c>
      <c r="I27" s="201"/>
    </row>
    <row r="28" spans="1:9" ht="17" customHeight="1" x14ac:dyDescent="0.2">
      <c r="A28" s="58" t="s">
        <v>54</v>
      </c>
      <c r="B28" s="201">
        <v>0.04</v>
      </c>
      <c r="C28" s="201"/>
      <c r="D28" s="201">
        <v>8.4000000000000005E-2</v>
      </c>
      <c r="E28" s="201"/>
      <c r="F28" s="201">
        <v>0.14299999999999999</v>
      </c>
      <c r="G28" s="201"/>
      <c r="H28" s="201">
        <v>0.187</v>
      </c>
      <c r="I28" s="201"/>
    </row>
    <row r="29" spans="1:9" ht="17" customHeight="1" x14ac:dyDescent="0.2">
      <c r="A29" s="58" t="s">
        <v>55</v>
      </c>
      <c r="B29" s="201">
        <v>8.0000000000000002E-3</v>
      </c>
      <c r="C29" s="201"/>
      <c r="D29" s="201">
        <v>2.5999999999999999E-2</v>
      </c>
      <c r="E29" s="201"/>
      <c r="F29" s="201">
        <v>7.0000000000000007E-2</v>
      </c>
      <c r="G29" s="201"/>
      <c r="H29" s="201">
        <v>0.108</v>
      </c>
      <c r="I29" s="201"/>
    </row>
    <row r="30" spans="1:9" ht="22" customHeight="1" x14ac:dyDescent="0.2">
      <c r="A30" s="55" t="s">
        <v>57</v>
      </c>
      <c r="B30" s="65"/>
      <c r="C30" s="65"/>
      <c r="D30" s="65"/>
      <c r="E30" s="65"/>
      <c r="F30" s="65"/>
      <c r="G30" s="65"/>
      <c r="H30" s="65"/>
      <c r="I30" s="65"/>
    </row>
    <row r="31" spans="1:9" ht="16" x14ac:dyDescent="0.2">
      <c r="A31" s="9"/>
      <c r="B31" s="10"/>
      <c r="C31" s="10"/>
      <c r="D31" s="10"/>
      <c r="E31" s="10"/>
      <c r="F31" s="10"/>
      <c r="G31" s="10"/>
      <c r="H31" s="10"/>
      <c r="I31" s="9"/>
    </row>
    <row r="32" spans="1:9" ht="16" x14ac:dyDescent="0.2">
      <c r="A32" s="9"/>
      <c r="B32" s="10"/>
      <c r="C32" s="10"/>
      <c r="D32" s="10"/>
      <c r="E32" s="10"/>
      <c r="F32" s="10"/>
      <c r="G32" s="10"/>
      <c r="H32" s="10"/>
      <c r="I32" s="9"/>
    </row>
    <row r="33" spans="1:9" ht="16" x14ac:dyDescent="0.2">
      <c r="A33" s="9"/>
      <c r="B33" s="10"/>
      <c r="C33" s="10"/>
      <c r="D33" s="10"/>
      <c r="E33" s="10"/>
      <c r="F33" s="10"/>
      <c r="G33" s="10"/>
      <c r="H33" s="10"/>
      <c r="I33" s="9"/>
    </row>
    <row r="34" spans="1:9" ht="16" x14ac:dyDescent="0.2">
      <c r="A34" s="9"/>
      <c r="B34" s="10"/>
      <c r="C34" s="10"/>
      <c r="D34" s="10"/>
      <c r="E34" s="10"/>
      <c r="F34" s="10"/>
      <c r="G34" s="10"/>
      <c r="H34" s="10"/>
      <c r="I34" s="9"/>
    </row>
    <row r="35" spans="1:9" ht="16" x14ac:dyDescent="0.2">
      <c r="A35" s="9"/>
      <c r="B35" s="10"/>
      <c r="C35" s="10"/>
      <c r="D35" s="10"/>
      <c r="E35" s="10"/>
      <c r="F35" s="10"/>
      <c r="G35" s="10"/>
      <c r="H35" s="10"/>
      <c r="I35" s="9"/>
    </row>
    <row r="36" spans="1:9" ht="16" x14ac:dyDescent="0.2">
      <c r="A36" s="9"/>
      <c r="B36" s="10"/>
      <c r="C36" s="10"/>
      <c r="D36" s="10"/>
      <c r="E36" s="10"/>
      <c r="F36" s="10"/>
      <c r="G36" s="10"/>
      <c r="H36" s="10"/>
      <c r="I36" s="9"/>
    </row>
    <row r="37" spans="1:9" ht="16" x14ac:dyDescent="0.2">
      <c r="A37" s="9"/>
      <c r="B37" s="10"/>
      <c r="C37" s="10"/>
      <c r="D37" s="10"/>
      <c r="E37" s="10"/>
      <c r="F37" s="10"/>
      <c r="G37" s="10"/>
      <c r="H37" s="10"/>
      <c r="I37" s="9"/>
    </row>
    <row r="38" spans="1:9" ht="16" x14ac:dyDescent="0.2">
      <c r="A38" s="9"/>
      <c r="B38" s="10"/>
      <c r="C38" s="10"/>
      <c r="D38" s="10"/>
      <c r="E38" s="10"/>
      <c r="F38" s="10"/>
      <c r="G38" s="10"/>
      <c r="H38" s="10"/>
      <c r="I38" s="9"/>
    </row>
    <row r="39" spans="1:9" x14ac:dyDescent="0.2">
      <c r="A39" s="2"/>
      <c r="B39" s="3"/>
      <c r="C39" s="3"/>
      <c r="D39" s="3"/>
      <c r="E39" s="3"/>
      <c r="F39" s="3"/>
      <c r="G39" s="3"/>
      <c r="H39" s="3"/>
      <c r="I39" s="2"/>
    </row>
    <row r="40" spans="1:9" x14ac:dyDescent="0.2">
      <c r="A40" s="2"/>
      <c r="B40" s="3"/>
      <c r="C40" s="3"/>
      <c r="D40" s="3"/>
      <c r="E40" s="3"/>
      <c r="F40" s="3"/>
      <c r="G40" s="3"/>
      <c r="H40" s="3"/>
      <c r="I40" s="2"/>
    </row>
    <row r="41" spans="1:9" x14ac:dyDescent="0.2">
      <c r="A41" s="2"/>
      <c r="B41" s="3"/>
      <c r="C41" s="3"/>
      <c r="D41" s="3"/>
      <c r="E41" s="3"/>
      <c r="F41" s="3"/>
      <c r="G41" s="3"/>
      <c r="H41" s="3"/>
      <c r="I41" s="2"/>
    </row>
    <row r="42" spans="1:9" x14ac:dyDescent="0.2">
      <c r="A42" s="2"/>
      <c r="B42" s="3"/>
      <c r="C42" s="3"/>
      <c r="D42" s="3"/>
      <c r="E42" s="3"/>
      <c r="F42" s="3"/>
      <c r="G42" s="3"/>
      <c r="H42" s="3"/>
      <c r="I42" s="2"/>
    </row>
    <row r="43" spans="1:9" x14ac:dyDescent="0.2">
      <c r="A43" s="2"/>
      <c r="B43" s="3"/>
      <c r="C43" s="3"/>
      <c r="D43" s="3"/>
      <c r="E43" s="3"/>
      <c r="F43" s="3"/>
      <c r="G43" s="3"/>
      <c r="H43" s="3"/>
      <c r="I43" s="2"/>
    </row>
    <row r="44" spans="1:9" x14ac:dyDescent="0.2">
      <c r="A44" s="2"/>
      <c r="B44" s="3"/>
      <c r="C44" s="3"/>
      <c r="D44" s="3"/>
      <c r="E44" s="3"/>
      <c r="F44" s="3"/>
      <c r="G44" s="3"/>
      <c r="H44" s="3"/>
      <c r="I44" s="2"/>
    </row>
    <row r="45" spans="1:9" x14ac:dyDescent="0.2">
      <c r="A45" s="2"/>
      <c r="B45" s="3"/>
      <c r="C45" s="3"/>
      <c r="D45" s="3"/>
      <c r="E45" s="3"/>
      <c r="F45" s="3"/>
      <c r="G45" s="3"/>
      <c r="H45" s="3"/>
      <c r="I45" s="2"/>
    </row>
    <row r="46" spans="1:9" x14ac:dyDescent="0.2">
      <c r="A46" s="2"/>
      <c r="B46" s="3"/>
      <c r="C46" s="3"/>
      <c r="D46" s="3"/>
      <c r="E46" s="3"/>
      <c r="F46" s="3"/>
      <c r="G46" s="3"/>
      <c r="H46" s="3"/>
      <c r="I46" s="2"/>
    </row>
    <row r="47" spans="1:9" x14ac:dyDescent="0.2">
      <c r="A47" s="2"/>
      <c r="B47" s="3"/>
      <c r="C47" s="3"/>
      <c r="D47" s="3"/>
      <c r="E47" s="3"/>
      <c r="F47" s="3"/>
      <c r="G47" s="3"/>
      <c r="H47" s="3"/>
      <c r="I47" s="2"/>
    </row>
    <row r="48" spans="1:9" x14ac:dyDescent="0.2">
      <c r="A48" s="2"/>
      <c r="B48" s="3"/>
      <c r="C48" s="3"/>
      <c r="D48" s="3"/>
      <c r="E48" s="3"/>
      <c r="F48" s="3"/>
      <c r="G48" s="3"/>
      <c r="H48" s="3"/>
      <c r="I48" s="2"/>
    </row>
    <row r="49" spans="1:9" x14ac:dyDescent="0.2">
      <c r="A49" s="2"/>
      <c r="B49" s="3"/>
      <c r="C49" s="3"/>
      <c r="D49" s="3"/>
      <c r="E49" s="3"/>
      <c r="F49" s="3"/>
      <c r="G49" s="3"/>
      <c r="H49" s="3"/>
      <c r="I49" s="2"/>
    </row>
    <row r="50" spans="1:9" x14ac:dyDescent="0.2">
      <c r="A50" s="2"/>
      <c r="B50" s="3"/>
      <c r="C50" s="3"/>
      <c r="D50" s="3"/>
      <c r="E50" s="3"/>
      <c r="F50" s="3"/>
      <c r="G50" s="3"/>
      <c r="H50" s="3"/>
      <c r="I50" s="2"/>
    </row>
    <row r="51" spans="1:9" x14ac:dyDescent="0.2">
      <c r="A51" s="2"/>
      <c r="B51" s="3"/>
      <c r="C51" s="3"/>
      <c r="D51" s="3"/>
      <c r="E51" s="3"/>
      <c r="F51" s="3"/>
      <c r="G51" s="3"/>
      <c r="H51" s="3"/>
      <c r="I51" s="2"/>
    </row>
    <row r="52" spans="1:9" x14ac:dyDescent="0.2">
      <c r="A52" s="2"/>
      <c r="B52" s="3"/>
      <c r="C52" s="3"/>
      <c r="D52" s="3"/>
      <c r="E52" s="3"/>
      <c r="F52" s="3"/>
      <c r="G52" s="3"/>
      <c r="H52" s="3"/>
      <c r="I52" s="2"/>
    </row>
    <row r="53" spans="1:9" x14ac:dyDescent="0.2">
      <c r="A53" s="2"/>
      <c r="B53" s="3"/>
      <c r="C53" s="3"/>
      <c r="D53" s="3"/>
      <c r="E53" s="3"/>
      <c r="F53" s="3"/>
      <c r="G53" s="3"/>
      <c r="H53" s="3"/>
      <c r="I53" s="2"/>
    </row>
    <row r="54" spans="1:9" x14ac:dyDescent="0.2">
      <c r="A54" s="2"/>
      <c r="B54" s="3"/>
      <c r="C54" s="3"/>
      <c r="D54" s="3"/>
      <c r="E54" s="3"/>
      <c r="F54" s="3"/>
      <c r="G54" s="3"/>
      <c r="H54" s="3"/>
      <c r="I54" s="2"/>
    </row>
    <row r="55" spans="1:9" x14ac:dyDescent="0.2">
      <c r="A55" s="2"/>
      <c r="B55" s="3"/>
      <c r="C55" s="3"/>
      <c r="D55" s="3"/>
      <c r="E55" s="3"/>
      <c r="F55" s="3"/>
      <c r="G55" s="3"/>
      <c r="H55" s="3"/>
      <c r="I55" s="2"/>
    </row>
    <row r="56" spans="1:9" x14ac:dyDescent="0.2">
      <c r="A56" s="2"/>
      <c r="B56" s="3"/>
      <c r="C56" s="3"/>
      <c r="D56" s="3"/>
      <c r="E56" s="3"/>
      <c r="F56" s="3"/>
      <c r="G56" s="3"/>
      <c r="H56" s="3"/>
      <c r="I56" s="2"/>
    </row>
    <row r="57" spans="1:9" x14ac:dyDescent="0.2">
      <c r="A57" s="2"/>
      <c r="B57" s="3"/>
      <c r="C57" s="3"/>
      <c r="D57" s="3"/>
      <c r="E57" s="3"/>
      <c r="F57" s="3"/>
      <c r="G57" s="3"/>
      <c r="H57" s="3"/>
      <c r="I57" s="2"/>
    </row>
    <row r="58" spans="1:9" x14ac:dyDescent="0.2">
      <c r="A58" s="2"/>
      <c r="B58" s="3"/>
      <c r="C58" s="3"/>
      <c r="D58" s="3"/>
      <c r="E58" s="3"/>
      <c r="F58" s="3"/>
      <c r="G58" s="3"/>
      <c r="H58" s="3"/>
      <c r="I58" s="2"/>
    </row>
    <row r="59" spans="1:9" x14ac:dyDescent="0.2">
      <c r="A59" s="2"/>
      <c r="B59" s="3"/>
      <c r="C59" s="3"/>
      <c r="D59" s="3"/>
      <c r="E59" s="3"/>
      <c r="F59" s="3"/>
      <c r="G59" s="3"/>
      <c r="H59" s="3"/>
      <c r="I59" s="2"/>
    </row>
    <row r="60" spans="1:9" x14ac:dyDescent="0.2">
      <c r="A60" s="2"/>
      <c r="B60" s="3"/>
      <c r="C60" s="3"/>
      <c r="D60" s="3"/>
      <c r="E60" s="3"/>
      <c r="F60" s="3"/>
      <c r="G60" s="3"/>
      <c r="H60" s="3"/>
      <c r="I60" s="2"/>
    </row>
    <row r="61" spans="1:9" x14ac:dyDescent="0.2">
      <c r="A61" s="2"/>
      <c r="B61" s="3"/>
      <c r="C61" s="3"/>
      <c r="D61" s="3"/>
      <c r="E61" s="3"/>
      <c r="F61" s="3"/>
      <c r="G61" s="3"/>
      <c r="H61" s="3"/>
      <c r="I61" s="2"/>
    </row>
    <row r="62" spans="1:9" x14ac:dyDescent="0.2">
      <c r="A62" s="2"/>
      <c r="B62" s="3"/>
      <c r="C62" s="3"/>
      <c r="D62" s="3"/>
      <c r="E62" s="3"/>
      <c r="F62" s="3"/>
      <c r="G62" s="3"/>
      <c r="H62" s="3"/>
      <c r="I62" s="2"/>
    </row>
    <row r="63" spans="1:9" x14ac:dyDescent="0.2">
      <c r="A63" s="2"/>
      <c r="B63" s="3"/>
      <c r="C63" s="3"/>
      <c r="D63" s="3"/>
      <c r="E63" s="3"/>
      <c r="F63" s="3"/>
      <c r="G63" s="3"/>
      <c r="H63" s="3"/>
      <c r="I63" s="2"/>
    </row>
    <row r="64" spans="1:9" x14ac:dyDescent="0.2">
      <c r="A64" s="2"/>
      <c r="B64" s="3"/>
      <c r="C64" s="3"/>
      <c r="D64" s="3"/>
      <c r="E64" s="3"/>
      <c r="F64" s="3"/>
      <c r="G64" s="3"/>
      <c r="H64" s="3"/>
      <c r="I64" s="2"/>
    </row>
    <row r="65" spans="9:9" x14ac:dyDescent="0.2">
      <c r="I65" s="2"/>
    </row>
  </sheetData>
  <mergeCells count="68">
    <mergeCell ref="H29:I29"/>
    <mergeCell ref="F23:G23"/>
    <mergeCell ref="F24:G24"/>
    <mergeCell ref="F25:G25"/>
    <mergeCell ref="F27:G27"/>
    <mergeCell ref="F28:G28"/>
    <mergeCell ref="F29:G29"/>
    <mergeCell ref="H23:I23"/>
    <mergeCell ref="H24:I24"/>
    <mergeCell ref="H25:I25"/>
    <mergeCell ref="H27:I27"/>
    <mergeCell ref="H28:I28"/>
    <mergeCell ref="D29:E29"/>
    <mergeCell ref="B23:C23"/>
    <mergeCell ref="B24:C24"/>
    <mergeCell ref="B25:C25"/>
    <mergeCell ref="B27:C27"/>
    <mergeCell ref="B28:C28"/>
    <mergeCell ref="B29:C29"/>
    <mergeCell ref="D23:E23"/>
    <mergeCell ref="D24:E24"/>
    <mergeCell ref="D25:E25"/>
    <mergeCell ref="D27:E27"/>
    <mergeCell ref="D28:E28"/>
    <mergeCell ref="H6:I6"/>
    <mergeCell ref="H7:I7"/>
    <mergeCell ref="H8:I8"/>
    <mergeCell ref="H9:I9"/>
    <mergeCell ref="H10:I10"/>
    <mergeCell ref="H11:I11"/>
    <mergeCell ref="F7:G7"/>
    <mergeCell ref="F8:G8"/>
    <mergeCell ref="F9:G9"/>
    <mergeCell ref="F10:G10"/>
    <mergeCell ref="F11:G11"/>
    <mergeCell ref="H1:I1"/>
    <mergeCell ref="H2:I2"/>
    <mergeCell ref="H3:I3"/>
    <mergeCell ref="H4:I4"/>
    <mergeCell ref="H5:I5"/>
    <mergeCell ref="F1:G1"/>
    <mergeCell ref="F2:G2"/>
    <mergeCell ref="F3:G3"/>
    <mergeCell ref="F4:G4"/>
    <mergeCell ref="F5:G5"/>
    <mergeCell ref="F6:G6"/>
    <mergeCell ref="D6:E6"/>
    <mergeCell ref="D7:E7"/>
    <mergeCell ref="D8:E8"/>
    <mergeCell ref="D9:E9"/>
    <mergeCell ref="D10:E10"/>
    <mergeCell ref="D11:E11"/>
    <mergeCell ref="B5:C5"/>
    <mergeCell ref="B4:C4"/>
    <mergeCell ref="B3:C3"/>
    <mergeCell ref="D4:E4"/>
    <mergeCell ref="D5:E5"/>
    <mergeCell ref="B11:C11"/>
    <mergeCell ref="B10:C10"/>
    <mergeCell ref="B9:C9"/>
    <mergeCell ref="B8:C8"/>
    <mergeCell ref="B7:C7"/>
    <mergeCell ref="B6:C6"/>
    <mergeCell ref="B2:C2"/>
    <mergeCell ref="B1:C1"/>
    <mergeCell ref="D1:E1"/>
    <mergeCell ref="D2:E2"/>
    <mergeCell ref="D3:E3"/>
  </mergeCells>
  <conditionalFormatting sqref="B14:I2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E335-971B-7742-8503-0E6908774862}">
  <dimension ref="A1:P28"/>
  <sheetViews>
    <sheetView tabSelected="1" topLeftCell="H1" zoomScale="250" zoomScaleNormal="250" workbookViewId="0">
      <selection activeCell="K3" sqref="K3"/>
    </sheetView>
  </sheetViews>
  <sheetFormatPr baseColWidth="10" defaultRowHeight="15" x14ac:dyDescent="0.2"/>
  <cols>
    <col min="1" max="1" width="13.83203125" style="11" bestFit="1" customWidth="1"/>
    <col min="2" max="4" width="10.83203125" style="1"/>
    <col min="5" max="5" width="5.33203125" customWidth="1"/>
  </cols>
  <sheetData>
    <row r="1" spans="1:16" x14ac:dyDescent="0.2">
      <c r="A1" s="12"/>
      <c r="B1" s="3" t="s">
        <v>64</v>
      </c>
      <c r="C1" s="3" t="s">
        <v>65</v>
      </c>
      <c r="D1" s="3" t="s">
        <v>66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">
      <c r="A2" s="12" t="s">
        <v>58</v>
      </c>
      <c r="B2" s="3"/>
      <c r="C2" s="3"/>
      <c r="D2" s="3"/>
      <c r="E2" s="2"/>
      <c r="F2" s="2"/>
      <c r="G2" s="210">
        <v>2.5000000000000001E-2</v>
      </c>
      <c r="H2" s="2"/>
      <c r="I2" s="2"/>
      <c r="J2" s="2"/>
      <c r="K2" s="2"/>
      <c r="L2" s="2"/>
      <c r="M2" s="2"/>
      <c r="N2" s="2"/>
      <c r="O2" s="2"/>
      <c r="P2" s="2"/>
    </row>
    <row r="3" spans="1:16" x14ac:dyDescent="0.2">
      <c r="A3" s="12" t="s">
        <v>59</v>
      </c>
      <c r="B3" s="3"/>
      <c r="C3" s="3"/>
      <c r="D3" s="3"/>
      <c r="E3" s="2"/>
      <c r="F3" s="2"/>
      <c r="G3" s="210">
        <v>5.0000000000000001E-3</v>
      </c>
      <c r="H3" s="2"/>
      <c r="I3" s="210">
        <v>2.5000000000000001E-2</v>
      </c>
      <c r="J3" s="2"/>
      <c r="K3" s="2"/>
      <c r="L3" s="2"/>
      <c r="M3" s="2"/>
      <c r="N3" s="2"/>
      <c r="O3" s="2"/>
      <c r="P3" s="2"/>
    </row>
    <row r="4" spans="1:16" x14ac:dyDescent="0.2">
      <c r="A4" s="12" t="s">
        <v>60</v>
      </c>
      <c r="B4" s="3"/>
      <c r="C4" s="3"/>
      <c r="D4" s="3"/>
      <c r="E4" s="2"/>
      <c r="F4" s="2"/>
      <c r="G4" s="210">
        <v>6.0000000000000001E-3</v>
      </c>
      <c r="H4" s="2"/>
      <c r="I4" s="210">
        <v>5.0000000000000001E-3</v>
      </c>
      <c r="J4" s="2"/>
      <c r="K4" s="2"/>
      <c r="L4" s="2"/>
      <c r="M4" s="2"/>
      <c r="N4" s="2"/>
      <c r="O4" s="2"/>
      <c r="P4" s="2"/>
    </row>
    <row r="5" spans="1:16" x14ac:dyDescent="0.2">
      <c r="A5" s="12" t="s">
        <v>61</v>
      </c>
      <c r="B5" s="3"/>
      <c r="C5" s="3"/>
      <c r="D5" s="3"/>
      <c r="E5" s="2"/>
      <c r="F5" s="2"/>
      <c r="G5" s="210">
        <v>2.5000000000000001E-3</v>
      </c>
      <c r="H5" s="2"/>
      <c r="I5" s="210">
        <v>6.0000000000000001E-3</v>
      </c>
      <c r="J5" s="2"/>
      <c r="K5" s="2"/>
      <c r="L5" s="2"/>
      <c r="M5" s="2"/>
      <c r="N5" s="2"/>
      <c r="O5" s="2"/>
      <c r="P5" s="2"/>
    </row>
    <row r="6" spans="1:16" x14ac:dyDescent="0.2">
      <c r="A6" s="12" t="s">
        <v>62</v>
      </c>
      <c r="B6" s="3"/>
      <c r="C6" s="3"/>
      <c r="D6" s="3"/>
      <c r="E6" s="2"/>
      <c r="F6" s="2"/>
      <c r="G6" s="210">
        <v>3.5000000000000001E-3</v>
      </c>
      <c r="H6" s="2"/>
      <c r="I6" s="210">
        <v>2.5000000000000001E-3</v>
      </c>
      <c r="J6" s="2"/>
      <c r="K6" s="2"/>
      <c r="L6" s="2"/>
      <c r="M6" s="2"/>
      <c r="N6" s="2"/>
      <c r="O6" s="2"/>
      <c r="P6" s="2"/>
    </row>
    <row r="7" spans="1:16" x14ac:dyDescent="0.2">
      <c r="A7" s="12" t="s">
        <v>63</v>
      </c>
      <c r="B7" s="3"/>
      <c r="C7" s="3"/>
      <c r="D7" s="3"/>
      <c r="E7" s="2"/>
      <c r="F7" s="2"/>
      <c r="G7" s="210">
        <v>4.0000000000000001E-3</v>
      </c>
      <c r="H7" s="2"/>
      <c r="I7" s="210">
        <v>3.5000000000000001E-3</v>
      </c>
      <c r="J7" s="2"/>
      <c r="K7" s="2"/>
      <c r="L7" s="2"/>
      <c r="M7" s="2"/>
      <c r="N7" s="2"/>
      <c r="O7" s="2"/>
      <c r="P7" s="2"/>
    </row>
    <row r="8" spans="1:16" x14ac:dyDescent="0.2">
      <c r="A8" s="12"/>
      <c r="B8" s="3"/>
      <c r="C8" s="3"/>
      <c r="D8" s="3"/>
      <c r="E8" s="2"/>
      <c r="F8" s="2"/>
      <c r="G8" s="2"/>
      <c r="H8" s="2"/>
      <c r="I8" s="210">
        <v>4.0000000000000001E-3</v>
      </c>
      <c r="J8" s="2"/>
      <c r="K8" s="2"/>
      <c r="L8" s="2"/>
      <c r="M8" s="2"/>
      <c r="N8" s="2"/>
      <c r="O8" s="2"/>
      <c r="P8" s="2"/>
    </row>
    <row r="9" spans="1:16" x14ac:dyDescent="0.2">
      <c r="A9" s="12"/>
      <c r="B9" s="3"/>
      <c r="C9" s="3"/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">
      <c r="A10" s="12"/>
      <c r="B10" s="3"/>
      <c r="C10" s="3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">
      <c r="A11" s="12"/>
      <c r="B11" s="3"/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">
      <c r="A12" s="12"/>
      <c r="B12" s="3"/>
      <c r="C12" s="3"/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">
      <c r="A13" s="12"/>
      <c r="B13" s="3"/>
      <c r="C13" s="3"/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">
      <c r="A14" s="12"/>
      <c r="B14" s="3"/>
      <c r="C14" s="3"/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">
      <c r="A15" s="12"/>
      <c r="B15" s="3"/>
      <c r="C15" s="3"/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">
      <c r="A16" s="12"/>
      <c r="B16" s="3"/>
      <c r="C16" s="3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">
      <c r="A17" s="12"/>
      <c r="B17" s="3"/>
      <c r="C17" s="3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">
      <c r="A18" s="12"/>
      <c r="B18" s="3"/>
      <c r="C18" s="3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">
      <c r="A19" s="12"/>
      <c r="B19" s="3"/>
      <c r="C19" s="3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">
      <c r="A20" s="12"/>
      <c r="B20" s="3"/>
      <c r="C20" s="3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">
      <c r="A21" s="12"/>
      <c r="B21" s="3"/>
      <c r="C21" s="3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">
      <c r="A22" s="12"/>
      <c r="B22" s="3"/>
      <c r="C22" s="3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">
      <c r="A23" s="12"/>
      <c r="B23" s="3"/>
      <c r="C23" s="3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">
      <c r="A24" s="12"/>
      <c r="B24" s="3"/>
      <c r="C24" s="3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">
      <c r="A25" s="12"/>
      <c r="B25" s="3"/>
      <c r="C25" s="3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">
      <c r="A26" s="12"/>
      <c r="B26" s="3"/>
      <c r="C26" s="3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">
      <c r="A27" s="12"/>
      <c r="B27" s="3"/>
      <c r="C27" s="3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">
      <c r="A28" s="12"/>
      <c r="B28" s="3"/>
      <c r="C28" s="3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5231-158B-564A-913A-4FDCB4EB68F4}">
  <dimension ref="A1:P37"/>
  <sheetViews>
    <sheetView workbookViewId="0">
      <selection activeCell="F12" sqref="F12"/>
    </sheetView>
  </sheetViews>
  <sheetFormatPr baseColWidth="10" defaultRowHeight="15" x14ac:dyDescent="0.2"/>
  <cols>
    <col min="1" max="1" width="38.1640625" bestFit="1" customWidth="1"/>
    <col min="2" max="2" width="16" style="14" customWidth="1"/>
    <col min="3" max="3" width="2.83203125" style="1" customWidth="1"/>
    <col min="4" max="4" width="9.33203125" style="1" customWidth="1"/>
    <col min="5" max="5" width="2.83203125" style="1" customWidth="1"/>
    <col min="6" max="6" width="16" style="5" customWidth="1"/>
    <col min="7" max="7" width="10.83203125" style="1"/>
    <col min="8" max="8" width="12.33203125" style="1" bestFit="1" customWidth="1"/>
    <col min="9" max="9" width="25" style="1" customWidth="1"/>
    <col min="10" max="10" width="15.83203125" style="1" customWidth="1"/>
    <col min="11" max="16" width="10.83203125" style="1"/>
  </cols>
  <sheetData>
    <row r="1" spans="1:16" ht="19" customHeight="1" x14ac:dyDescent="0.2">
      <c r="A1" s="15"/>
      <c r="B1" s="205" t="s">
        <v>96</v>
      </c>
      <c r="C1" s="205"/>
      <c r="D1" s="205"/>
      <c r="E1" s="205"/>
      <c r="F1" s="205"/>
      <c r="G1" s="205"/>
      <c r="H1" s="205"/>
      <c r="I1" s="205"/>
      <c r="J1" s="17"/>
      <c r="K1" s="3"/>
      <c r="L1" s="3"/>
      <c r="M1" s="3"/>
    </row>
    <row r="2" spans="1:16" ht="41" customHeight="1" x14ac:dyDescent="0.2">
      <c r="A2" s="18"/>
      <c r="B2" s="203" t="s">
        <v>73</v>
      </c>
      <c r="C2" s="203"/>
      <c r="D2" s="204"/>
      <c r="E2" s="204"/>
      <c r="F2" s="204"/>
      <c r="G2" s="20" t="s">
        <v>31</v>
      </c>
      <c r="H2" s="20" t="s">
        <v>30</v>
      </c>
      <c r="I2" s="19" t="s">
        <v>72</v>
      </c>
      <c r="J2" s="20" t="s">
        <v>67</v>
      </c>
      <c r="K2" s="3"/>
      <c r="L2" s="3"/>
      <c r="M2" s="3"/>
      <c r="N2" s="3"/>
      <c r="O2" s="3"/>
      <c r="P2" s="3"/>
    </row>
    <row r="3" spans="1:16" ht="17" x14ac:dyDescent="0.2">
      <c r="A3" s="21" t="s">
        <v>4</v>
      </c>
      <c r="B3" s="22"/>
      <c r="C3" s="23"/>
      <c r="D3" s="17"/>
      <c r="E3" s="17"/>
      <c r="F3" s="24"/>
      <c r="G3" s="17"/>
      <c r="H3" s="17"/>
      <c r="I3" s="17"/>
      <c r="J3" s="17"/>
      <c r="K3" s="3"/>
      <c r="L3" s="3"/>
      <c r="M3" s="3"/>
      <c r="N3" s="3"/>
      <c r="O3" s="3"/>
      <c r="P3" s="3"/>
    </row>
    <row r="4" spans="1:16" ht="17" x14ac:dyDescent="0.2">
      <c r="A4" s="25" t="s">
        <v>36</v>
      </c>
      <c r="B4" s="26">
        <v>6.0000000000000001E-3</v>
      </c>
      <c r="C4" s="27" t="s">
        <v>94</v>
      </c>
      <c r="D4" s="28">
        <v>1.0999999999999999E-2</v>
      </c>
      <c r="E4" s="29" t="s">
        <v>95</v>
      </c>
      <c r="F4" s="30" t="s">
        <v>74</v>
      </c>
      <c r="G4" s="28">
        <v>3.3000000000000002E-2</v>
      </c>
      <c r="H4" s="17">
        <v>0.35</v>
      </c>
      <c r="I4" s="28">
        <f>D4+2.5%</f>
        <v>3.6000000000000004E-2</v>
      </c>
      <c r="J4" s="31">
        <v>0</v>
      </c>
      <c r="K4" s="3"/>
      <c r="L4" s="3"/>
      <c r="M4" s="3"/>
      <c r="N4" s="3"/>
      <c r="O4" s="3"/>
      <c r="P4" s="3"/>
    </row>
    <row r="5" spans="1:16" ht="17" x14ac:dyDescent="0.2">
      <c r="A5" s="32" t="s">
        <v>5</v>
      </c>
      <c r="B5" s="33">
        <v>1E-3</v>
      </c>
      <c r="C5" s="34" t="s">
        <v>94</v>
      </c>
      <c r="D5" s="35">
        <v>4.0000000000000001E-3</v>
      </c>
      <c r="E5" s="36" t="s">
        <v>95</v>
      </c>
      <c r="F5" s="37" t="s">
        <v>75</v>
      </c>
      <c r="G5" s="35">
        <v>1.6E-2</v>
      </c>
      <c r="H5" s="38">
        <v>0.25</v>
      </c>
      <c r="I5" s="35">
        <f>D5+2.5%</f>
        <v>2.9000000000000001E-2</v>
      </c>
      <c r="J5" s="39">
        <v>0</v>
      </c>
      <c r="K5" s="3"/>
      <c r="L5" s="3"/>
      <c r="M5" s="3"/>
      <c r="N5" s="3"/>
      <c r="O5" s="3"/>
      <c r="P5" s="3"/>
    </row>
    <row r="6" spans="1:16" ht="17" x14ac:dyDescent="0.2">
      <c r="A6" s="21" t="s">
        <v>6</v>
      </c>
      <c r="B6" s="26"/>
      <c r="C6" s="23"/>
      <c r="D6" s="28"/>
      <c r="E6" s="40"/>
      <c r="F6" s="30"/>
      <c r="G6" s="28"/>
      <c r="H6" s="17"/>
      <c r="I6" s="28"/>
      <c r="J6" s="31"/>
      <c r="K6" s="3"/>
      <c r="L6" s="3"/>
      <c r="M6" s="3"/>
      <c r="N6" s="3"/>
      <c r="O6" s="3"/>
      <c r="P6" s="3"/>
    </row>
    <row r="7" spans="1:16" ht="17" x14ac:dyDescent="0.2">
      <c r="A7" s="32" t="s">
        <v>7</v>
      </c>
      <c r="B7" s="33">
        <v>1.6E-2</v>
      </c>
      <c r="C7" s="34" t="s">
        <v>94</v>
      </c>
      <c r="D7" s="35">
        <v>3.5000000000000003E-2</v>
      </c>
      <c r="E7" s="36" t="s">
        <v>95</v>
      </c>
      <c r="F7" s="37" t="s">
        <v>76</v>
      </c>
      <c r="G7" s="35">
        <v>0.11700000000000001</v>
      </c>
      <c r="H7" s="38">
        <v>0.3</v>
      </c>
      <c r="I7" s="35">
        <f>D7+2.5%</f>
        <v>6.0000000000000005E-2</v>
      </c>
      <c r="J7" s="39">
        <v>0</v>
      </c>
      <c r="K7" s="3"/>
      <c r="L7" s="3"/>
      <c r="M7" s="3"/>
      <c r="N7" s="3"/>
      <c r="O7" s="3"/>
      <c r="P7" s="3"/>
    </row>
    <row r="8" spans="1:16" ht="17" x14ac:dyDescent="0.2">
      <c r="A8" s="21" t="s">
        <v>8</v>
      </c>
      <c r="B8" s="26"/>
      <c r="C8" s="23"/>
      <c r="D8" s="28"/>
      <c r="E8" s="40"/>
      <c r="F8" s="30"/>
      <c r="G8" s="28"/>
      <c r="H8" s="17"/>
      <c r="I8" s="28"/>
      <c r="J8" s="31"/>
      <c r="K8" s="3"/>
      <c r="L8" s="3"/>
      <c r="M8" s="3"/>
      <c r="N8" s="3"/>
      <c r="O8" s="3"/>
      <c r="P8" s="3"/>
    </row>
    <row r="9" spans="1:16" ht="17" x14ac:dyDescent="0.2">
      <c r="A9" s="25" t="s">
        <v>9</v>
      </c>
      <c r="B9" s="26">
        <v>2.7E-2</v>
      </c>
      <c r="C9" s="27" t="s">
        <v>94</v>
      </c>
      <c r="D9" s="28">
        <v>5.3999999999999999E-2</v>
      </c>
      <c r="E9" s="29" t="s">
        <v>95</v>
      </c>
      <c r="F9" s="30" t="s">
        <v>77</v>
      </c>
      <c r="G9" s="28">
        <v>0.16800000000000001</v>
      </c>
      <c r="H9" s="17">
        <v>0.32</v>
      </c>
      <c r="I9" s="28">
        <f>D9+2.5%</f>
        <v>7.9000000000000001E-2</v>
      </c>
      <c r="J9" s="31">
        <v>0</v>
      </c>
      <c r="K9" s="3"/>
      <c r="L9" s="3"/>
      <c r="M9" s="3"/>
      <c r="N9" s="3"/>
      <c r="O9" s="3"/>
      <c r="P9" s="3"/>
    </row>
    <row r="10" spans="1:16" ht="17" x14ac:dyDescent="0.2">
      <c r="A10" s="25" t="s">
        <v>10</v>
      </c>
      <c r="B10" s="26">
        <v>3.6999999999999998E-2</v>
      </c>
      <c r="C10" s="27" t="s">
        <v>94</v>
      </c>
      <c r="D10" s="28">
        <v>0.06</v>
      </c>
      <c r="E10" s="29" t="s">
        <v>95</v>
      </c>
      <c r="F10" s="30" t="s">
        <v>78</v>
      </c>
      <c r="G10" s="28">
        <v>0.14499999999999999</v>
      </c>
      <c r="H10" s="17">
        <v>0.41</v>
      </c>
      <c r="I10" s="28">
        <f t="shared" ref="I10:I30" si="0">D10+2.5%</f>
        <v>8.4999999999999992E-2</v>
      </c>
      <c r="J10" s="31">
        <v>0</v>
      </c>
      <c r="K10" s="3"/>
      <c r="L10" s="3"/>
      <c r="M10" s="3"/>
      <c r="N10" s="3"/>
      <c r="O10" s="3"/>
      <c r="P10" s="3"/>
    </row>
    <row r="11" spans="1:16" ht="17" x14ac:dyDescent="0.2">
      <c r="A11" s="25" t="s">
        <v>11</v>
      </c>
      <c r="B11" s="26">
        <v>3.2000000000000001E-2</v>
      </c>
      <c r="C11" s="27" t="s">
        <v>94</v>
      </c>
      <c r="D11" s="28">
        <v>6.3E-2</v>
      </c>
      <c r="E11" s="29" t="s">
        <v>95</v>
      </c>
      <c r="F11" s="30" t="s">
        <v>79</v>
      </c>
      <c r="G11" s="28">
        <v>0.191</v>
      </c>
      <c r="H11" s="17">
        <v>0.33</v>
      </c>
      <c r="I11" s="28">
        <f t="shared" si="0"/>
        <v>8.7999999999999995E-2</v>
      </c>
      <c r="J11" s="31">
        <v>0</v>
      </c>
      <c r="K11" s="3"/>
      <c r="L11" s="3"/>
      <c r="M11" s="3"/>
      <c r="N11" s="3"/>
      <c r="O11" s="3"/>
      <c r="P11" s="3"/>
    </row>
    <row r="12" spans="1:16" ht="17" x14ac:dyDescent="0.2">
      <c r="A12" s="25" t="s">
        <v>12</v>
      </c>
      <c r="B12" s="26">
        <v>2.1000000000000001E-2</v>
      </c>
      <c r="C12" s="27" t="s">
        <v>94</v>
      </c>
      <c r="D12" s="28">
        <v>4.8000000000000001E-2</v>
      </c>
      <c r="E12" s="29" t="s">
        <v>95</v>
      </c>
      <c r="F12" s="30" t="s">
        <v>80</v>
      </c>
      <c r="G12" s="28">
        <v>0.16400000000000001</v>
      </c>
      <c r="H12" s="17">
        <v>0.28999999999999998</v>
      </c>
      <c r="I12" s="28">
        <f t="shared" si="0"/>
        <v>7.3000000000000009E-2</v>
      </c>
      <c r="J12" s="31">
        <v>0.7</v>
      </c>
      <c r="K12" s="3"/>
      <c r="L12" s="3"/>
      <c r="M12" s="3"/>
      <c r="N12" s="3"/>
      <c r="O12" s="3"/>
      <c r="P12" s="3"/>
    </row>
    <row r="13" spans="1:16" ht="17" x14ac:dyDescent="0.2">
      <c r="A13" s="25" t="s">
        <v>13</v>
      </c>
      <c r="B13" s="26">
        <v>2.5999999999999999E-2</v>
      </c>
      <c r="C13" s="27" t="s">
        <v>94</v>
      </c>
      <c r="D13" s="28">
        <v>5.0999999999999997E-2</v>
      </c>
      <c r="E13" s="29" t="s">
        <v>95</v>
      </c>
      <c r="F13" s="30" t="s">
        <v>81</v>
      </c>
      <c r="G13" s="28">
        <v>0.151</v>
      </c>
      <c r="H13" s="17">
        <v>0.34</v>
      </c>
      <c r="I13" s="28">
        <f t="shared" si="0"/>
        <v>7.5999999999999998E-2</v>
      </c>
      <c r="J13" s="31">
        <v>0.7</v>
      </c>
      <c r="K13" s="3"/>
      <c r="L13" s="3"/>
      <c r="M13" s="3"/>
      <c r="N13" s="3"/>
      <c r="O13" s="3"/>
      <c r="P13" s="3"/>
    </row>
    <row r="14" spans="1:16" ht="17" x14ac:dyDescent="0.2">
      <c r="A14" s="25" t="s">
        <v>14</v>
      </c>
      <c r="B14" s="26">
        <v>-6.0000000000000001E-3</v>
      </c>
      <c r="C14" s="27" t="s">
        <v>94</v>
      </c>
      <c r="D14" s="28">
        <v>2.5999999999999999E-2</v>
      </c>
      <c r="E14" s="29" t="s">
        <v>95</v>
      </c>
      <c r="F14" s="30" t="s">
        <v>82</v>
      </c>
      <c r="G14" s="28">
        <v>0.16400000000000001</v>
      </c>
      <c r="H14" s="17">
        <v>0.16</v>
      </c>
      <c r="I14" s="28">
        <f t="shared" si="0"/>
        <v>5.1000000000000004E-2</v>
      </c>
      <c r="J14" s="31">
        <v>0.7</v>
      </c>
      <c r="K14" s="3"/>
      <c r="L14" s="3"/>
      <c r="M14" s="3"/>
      <c r="N14" s="3"/>
      <c r="O14" s="3"/>
      <c r="P14" s="3"/>
    </row>
    <row r="15" spans="1:16" ht="17" x14ac:dyDescent="0.2">
      <c r="A15" s="25" t="s">
        <v>15</v>
      </c>
      <c r="B15" s="26">
        <v>0.04</v>
      </c>
      <c r="C15" s="27" t="s">
        <v>94</v>
      </c>
      <c r="D15" s="28">
        <v>6.9000000000000006E-2</v>
      </c>
      <c r="E15" s="29" t="s">
        <v>95</v>
      </c>
      <c r="F15" s="30" t="s">
        <v>83</v>
      </c>
      <c r="G15" s="28">
        <v>0.18099999999999999</v>
      </c>
      <c r="H15" s="17">
        <v>0.38</v>
      </c>
      <c r="I15" s="28">
        <f t="shared" si="0"/>
        <v>9.4E-2</v>
      </c>
      <c r="J15" s="31">
        <v>0.7</v>
      </c>
      <c r="K15" s="3"/>
      <c r="L15" s="3"/>
      <c r="M15" s="3"/>
      <c r="N15" s="3"/>
      <c r="O15" s="3"/>
      <c r="P15" s="3"/>
    </row>
    <row r="16" spans="1:16" ht="17" x14ac:dyDescent="0.2">
      <c r="A16" s="25" t="s">
        <v>16</v>
      </c>
      <c r="B16" s="26">
        <v>0.02</v>
      </c>
      <c r="C16" s="27" t="s">
        <v>94</v>
      </c>
      <c r="D16" s="28">
        <v>8.5999999999999993E-2</v>
      </c>
      <c r="E16" s="29" t="s">
        <v>95</v>
      </c>
      <c r="F16" s="30" t="s">
        <v>84</v>
      </c>
      <c r="G16" s="28">
        <v>0.22</v>
      </c>
      <c r="H16" s="17">
        <v>0.39</v>
      </c>
      <c r="I16" s="28">
        <f t="shared" si="0"/>
        <v>0.11099999999999999</v>
      </c>
      <c r="J16" s="31">
        <v>0</v>
      </c>
      <c r="K16" s="3"/>
      <c r="L16" s="3"/>
      <c r="M16" s="3"/>
      <c r="N16" s="3"/>
      <c r="O16" s="3"/>
      <c r="P16" s="3"/>
    </row>
    <row r="17" spans="1:16" ht="17" x14ac:dyDescent="0.2">
      <c r="A17" s="25" t="s">
        <v>68</v>
      </c>
      <c r="B17" s="26">
        <v>0.03</v>
      </c>
      <c r="C17" s="27" t="s">
        <v>94</v>
      </c>
      <c r="D17" s="28">
        <v>6.0999999999999999E-2</v>
      </c>
      <c r="E17" s="29" t="s">
        <v>95</v>
      </c>
      <c r="F17" s="30" t="s">
        <v>85</v>
      </c>
      <c r="G17" s="28">
        <v>0.16200000000000001</v>
      </c>
      <c r="H17" s="17">
        <v>0.38</v>
      </c>
      <c r="I17" s="28">
        <f t="shared" si="0"/>
        <v>8.5999999999999993E-2</v>
      </c>
      <c r="J17" s="41">
        <v>0.7</v>
      </c>
      <c r="K17" s="3"/>
      <c r="L17" s="3"/>
      <c r="M17" s="3"/>
      <c r="N17" s="3"/>
      <c r="O17" s="3"/>
      <c r="P17" s="3"/>
    </row>
    <row r="18" spans="1:16" ht="17" x14ac:dyDescent="0.2">
      <c r="A18" s="32" t="s">
        <v>69</v>
      </c>
      <c r="B18" s="33">
        <v>1.9E-2</v>
      </c>
      <c r="C18" s="34" t="s">
        <v>94</v>
      </c>
      <c r="D18" s="35">
        <v>4.8000000000000001E-2</v>
      </c>
      <c r="E18" s="36" t="s">
        <v>95</v>
      </c>
      <c r="F18" s="37" t="s">
        <v>86</v>
      </c>
      <c r="G18" s="35">
        <v>0.14000000000000001</v>
      </c>
      <c r="H18" s="38">
        <v>0.34</v>
      </c>
      <c r="I18" s="35">
        <f t="shared" si="0"/>
        <v>7.3000000000000009E-2</v>
      </c>
      <c r="J18" s="39">
        <v>0.7</v>
      </c>
      <c r="K18" s="3"/>
      <c r="L18" s="3"/>
      <c r="M18" s="3"/>
      <c r="N18" s="3"/>
      <c r="O18" s="3"/>
      <c r="P18" s="3"/>
    </row>
    <row r="19" spans="1:16" ht="17" x14ac:dyDescent="0.2">
      <c r="A19" s="21" t="s">
        <v>17</v>
      </c>
      <c r="B19" s="26"/>
      <c r="C19" s="27"/>
      <c r="D19" s="28"/>
      <c r="E19" s="29"/>
      <c r="F19" s="30"/>
      <c r="G19" s="28"/>
      <c r="H19" s="17"/>
      <c r="I19" s="28"/>
      <c r="J19" s="31"/>
      <c r="K19" s="3"/>
      <c r="L19" s="3"/>
      <c r="M19" s="3"/>
      <c r="N19" s="3"/>
      <c r="O19" s="3"/>
      <c r="P19" s="3"/>
    </row>
    <row r="20" spans="1:16" ht="17" x14ac:dyDescent="0.2">
      <c r="A20" s="25" t="s">
        <v>18</v>
      </c>
      <c r="B20" s="26">
        <v>-6.0000000000000001E-3</v>
      </c>
      <c r="C20" s="27" t="s">
        <v>94</v>
      </c>
      <c r="D20" s="28">
        <v>1.9E-2</v>
      </c>
      <c r="E20" s="29" t="s">
        <v>95</v>
      </c>
      <c r="F20" s="30" t="s">
        <v>87</v>
      </c>
      <c r="G20" s="28">
        <v>6.4000000000000001E-2</v>
      </c>
      <c r="H20" s="17">
        <v>0.28999999999999998</v>
      </c>
      <c r="I20" s="28">
        <f t="shared" si="0"/>
        <v>4.3999999999999997E-2</v>
      </c>
      <c r="J20" s="31">
        <v>1</v>
      </c>
      <c r="K20" s="3"/>
      <c r="L20" s="3"/>
      <c r="M20" s="3"/>
      <c r="N20" s="3"/>
      <c r="O20" s="3"/>
      <c r="P20" s="3"/>
    </row>
    <row r="21" spans="1:16" ht="17" x14ac:dyDescent="0.2">
      <c r="A21" s="25" t="s">
        <v>19</v>
      </c>
      <c r="B21" s="26">
        <v>-6.0000000000000001E-3</v>
      </c>
      <c r="C21" s="27" t="s">
        <v>94</v>
      </c>
      <c r="D21" s="28">
        <v>2.7E-2</v>
      </c>
      <c r="E21" s="29" t="s">
        <v>95</v>
      </c>
      <c r="F21" s="30" t="s">
        <v>88</v>
      </c>
      <c r="G21" s="28">
        <v>8.7999999999999995E-2</v>
      </c>
      <c r="H21" s="17">
        <v>0.31</v>
      </c>
      <c r="I21" s="28">
        <f t="shared" si="0"/>
        <v>5.2000000000000005E-2</v>
      </c>
      <c r="J21" s="31">
        <v>1</v>
      </c>
      <c r="K21" s="3"/>
      <c r="L21" s="3"/>
      <c r="M21" s="3"/>
      <c r="N21" s="3"/>
      <c r="O21" s="3"/>
      <c r="P21" s="3"/>
    </row>
    <row r="22" spans="1:16" ht="17" x14ac:dyDescent="0.2">
      <c r="A22" s="32" t="s">
        <v>20</v>
      </c>
      <c r="B22" s="33">
        <v>-2E-3</v>
      </c>
      <c r="C22" s="34" t="s">
        <v>94</v>
      </c>
      <c r="D22" s="35">
        <v>2.9000000000000001E-2</v>
      </c>
      <c r="E22" s="36" t="s">
        <v>95</v>
      </c>
      <c r="F22" s="37" t="s">
        <v>89</v>
      </c>
      <c r="G22" s="35">
        <v>8.1000000000000003E-2</v>
      </c>
      <c r="H22" s="38">
        <v>0.35</v>
      </c>
      <c r="I22" s="35">
        <f t="shared" si="0"/>
        <v>5.4000000000000006E-2</v>
      </c>
      <c r="J22" s="39">
        <v>1</v>
      </c>
      <c r="K22" s="3"/>
      <c r="L22" s="3"/>
      <c r="M22" s="3"/>
      <c r="N22" s="3"/>
      <c r="O22" s="3"/>
      <c r="P22" s="3"/>
    </row>
    <row r="23" spans="1:16" ht="17" x14ac:dyDescent="0.2">
      <c r="A23" s="21" t="s">
        <v>21</v>
      </c>
      <c r="B23" s="26"/>
      <c r="C23" s="27"/>
      <c r="D23" s="28"/>
      <c r="E23" s="29"/>
      <c r="F23" s="30"/>
      <c r="G23" s="28"/>
      <c r="H23" s="17"/>
      <c r="I23" s="28"/>
      <c r="J23" s="31"/>
      <c r="K23" s="3"/>
      <c r="L23" s="3"/>
      <c r="M23" s="3"/>
      <c r="N23" s="3"/>
      <c r="O23" s="3"/>
      <c r="P23" s="3"/>
    </row>
    <row r="24" spans="1:16" ht="17" x14ac:dyDescent="0.2">
      <c r="A24" s="25" t="s">
        <v>22</v>
      </c>
      <c r="B24" s="26">
        <v>4.8000000000000001E-2</v>
      </c>
      <c r="C24" s="27" t="s">
        <v>94</v>
      </c>
      <c r="D24" s="28">
        <v>0.08</v>
      </c>
      <c r="E24" s="29" t="s">
        <v>95</v>
      </c>
      <c r="F24" s="30">
        <v>0.113</v>
      </c>
      <c r="G24" s="28">
        <v>0.16200000000000001</v>
      </c>
      <c r="H24" s="17">
        <v>0.51</v>
      </c>
      <c r="I24" s="28">
        <f t="shared" si="0"/>
        <v>0.10500000000000001</v>
      </c>
      <c r="J24" s="31">
        <v>0</v>
      </c>
      <c r="K24" s="3"/>
      <c r="L24" s="3"/>
      <c r="M24" s="3"/>
      <c r="N24" s="3"/>
      <c r="O24" s="3"/>
      <c r="P24" s="3"/>
    </row>
    <row r="25" spans="1:16" ht="17" x14ac:dyDescent="0.2">
      <c r="A25" s="25" t="s">
        <v>23</v>
      </c>
      <c r="B25" s="26">
        <v>4.9000000000000002E-2</v>
      </c>
      <c r="C25" s="27" t="s">
        <v>94</v>
      </c>
      <c r="D25" s="28">
        <v>8.2000000000000003E-2</v>
      </c>
      <c r="E25" s="29" t="s">
        <v>95</v>
      </c>
      <c r="F25" s="30">
        <v>0.115</v>
      </c>
      <c r="G25" s="28">
        <v>0.22800000000000001</v>
      </c>
      <c r="H25" s="17">
        <v>0.51</v>
      </c>
      <c r="I25" s="28">
        <f t="shared" si="0"/>
        <v>0.10700000000000001</v>
      </c>
      <c r="J25" s="31">
        <v>0</v>
      </c>
      <c r="K25" s="3"/>
      <c r="L25" s="3"/>
      <c r="M25" s="3"/>
      <c r="N25" s="3"/>
      <c r="O25" s="3"/>
      <c r="P25" s="3"/>
    </row>
    <row r="26" spans="1:16" ht="17" x14ac:dyDescent="0.2">
      <c r="A26" s="32" t="s">
        <v>24</v>
      </c>
      <c r="B26" s="33">
        <v>2.5999999999999999E-2</v>
      </c>
      <c r="C26" s="34" t="s">
        <v>94</v>
      </c>
      <c r="D26" s="35">
        <v>7.2999999999999995E-2</v>
      </c>
      <c r="E26" s="36" t="s">
        <v>95</v>
      </c>
      <c r="F26" s="37" t="s">
        <v>90</v>
      </c>
      <c r="G26" s="35">
        <v>0.22800000000000001</v>
      </c>
      <c r="H26" s="38">
        <v>0.32</v>
      </c>
      <c r="I26" s="35">
        <f t="shared" si="0"/>
        <v>9.8000000000000004E-2</v>
      </c>
      <c r="J26" s="39">
        <v>0</v>
      </c>
      <c r="K26" s="3"/>
      <c r="L26" s="3"/>
      <c r="M26" s="3"/>
      <c r="N26" s="3"/>
      <c r="O26" s="3"/>
      <c r="P26" s="3"/>
    </row>
    <row r="27" spans="1:16" ht="17" x14ac:dyDescent="0.2">
      <c r="A27" s="147" t="s">
        <v>25</v>
      </c>
      <c r="B27" s="26"/>
      <c r="C27" s="27"/>
      <c r="D27" s="28"/>
      <c r="E27" s="29"/>
      <c r="F27" s="30"/>
      <c r="G27" s="28"/>
      <c r="H27" s="17"/>
      <c r="I27" s="28"/>
      <c r="J27" s="31"/>
      <c r="K27" s="3"/>
      <c r="L27" s="3"/>
      <c r="M27" s="3"/>
      <c r="N27" s="3"/>
      <c r="O27" s="3"/>
      <c r="P27" s="3"/>
    </row>
    <row r="28" spans="1:16" ht="17" x14ac:dyDescent="0.2">
      <c r="A28" s="25" t="s">
        <v>26</v>
      </c>
      <c r="B28" s="26">
        <v>2.1999999999999999E-2</v>
      </c>
      <c r="C28" s="27" t="s">
        <v>94</v>
      </c>
      <c r="D28" s="28">
        <v>4.3999999999999997E-2</v>
      </c>
      <c r="E28" s="29" t="s">
        <v>95</v>
      </c>
      <c r="F28" s="30" t="s">
        <v>91</v>
      </c>
      <c r="G28" s="28">
        <v>0.11</v>
      </c>
      <c r="H28" s="17">
        <v>0.4</v>
      </c>
      <c r="I28" s="28">
        <f t="shared" si="0"/>
        <v>6.9000000000000006E-2</v>
      </c>
      <c r="J28" s="31">
        <v>0</v>
      </c>
      <c r="K28" s="3"/>
      <c r="L28" s="3"/>
      <c r="M28" s="3"/>
      <c r="N28" s="3"/>
      <c r="O28" s="3"/>
      <c r="P28" s="3"/>
    </row>
    <row r="29" spans="1:16" ht="17" x14ac:dyDescent="0.2">
      <c r="A29" s="25" t="s">
        <v>70</v>
      </c>
      <c r="B29" s="26">
        <v>2.3E-2</v>
      </c>
      <c r="C29" s="27" t="s">
        <v>94</v>
      </c>
      <c r="D29" s="28">
        <v>3.7999999999999999E-2</v>
      </c>
      <c r="E29" s="29" t="s">
        <v>95</v>
      </c>
      <c r="F29" s="30" t="s">
        <v>92</v>
      </c>
      <c r="G29" s="28">
        <v>7.1999999999999995E-2</v>
      </c>
      <c r="H29" s="17">
        <v>0.53</v>
      </c>
      <c r="I29" s="28">
        <f t="shared" si="0"/>
        <v>6.3E-2</v>
      </c>
      <c r="J29" s="31">
        <v>0</v>
      </c>
      <c r="K29" s="3"/>
      <c r="L29" s="3"/>
      <c r="M29" s="3"/>
      <c r="N29" s="3"/>
      <c r="O29" s="3"/>
      <c r="P29" s="3"/>
    </row>
    <row r="30" spans="1:16" ht="17" x14ac:dyDescent="0.2">
      <c r="A30" s="42" t="s">
        <v>71</v>
      </c>
      <c r="B30" s="43">
        <v>2.5999999999999999E-2</v>
      </c>
      <c r="C30" s="44" t="s">
        <v>94</v>
      </c>
      <c r="D30" s="45">
        <v>4.2999999999999997E-2</v>
      </c>
      <c r="E30" s="46" t="s">
        <v>95</v>
      </c>
      <c r="F30" s="47" t="s">
        <v>93</v>
      </c>
      <c r="G30" s="45">
        <v>8.4000000000000005E-2</v>
      </c>
      <c r="H30" s="16">
        <v>0.51</v>
      </c>
      <c r="I30" s="45">
        <f t="shared" si="0"/>
        <v>6.8000000000000005E-2</v>
      </c>
      <c r="J30" s="48">
        <v>0</v>
      </c>
      <c r="K30" s="3"/>
      <c r="L30" s="3"/>
      <c r="M30" s="3"/>
      <c r="N30" s="3"/>
      <c r="O30" s="3"/>
      <c r="P30" s="3"/>
    </row>
    <row r="31" spans="1:16" x14ac:dyDescent="0.2">
      <c r="A31" s="2"/>
      <c r="B31" s="13"/>
      <c r="C31" s="3"/>
      <c r="D31" s="3"/>
      <c r="E31" s="3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2"/>
      <c r="B32" s="13"/>
      <c r="C32" s="3"/>
      <c r="D32" s="3"/>
      <c r="E32" s="3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2"/>
      <c r="B33" s="13"/>
      <c r="C33" s="3"/>
      <c r="D33" s="3"/>
      <c r="E33" s="3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2"/>
      <c r="B34" s="13"/>
      <c r="C34" s="3"/>
      <c r="D34" s="3"/>
      <c r="E34" s="3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2"/>
      <c r="B35" s="13"/>
      <c r="C35" s="3"/>
      <c r="D35" s="3"/>
      <c r="E35" s="3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2"/>
      <c r="B36" s="13"/>
      <c r="C36" s="3"/>
      <c r="D36" s="3"/>
      <c r="E36" s="3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2"/>
      <c r="B37" s="13"/>
      <c r="C37" s="3"/>
      <c r="D37" s="3"/>
      <c r="E37" s="3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</row>
  </sheetData>
  <mergeCells count="2">
    <mergeCell ref="B2:F2"/>
    <mergeCell ref="B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11B21-CC94-7A44-AC2F-C349BD7AA16C}">
  <dimension ref="A1:J30"/>
  <sheetViews>
    <sheetView zoomScale="130" zoomScaleNormal="130" workbookViewId="0">
      <selection activeCell="A24" sqref="A24"/>
    </sheetView>
  </sheetViews>
  <sheetFormatPr baseColWidth="10" defaultRowHeight="15" x14ac:dyDescent="0.2"/>
  <cols>
    <col min="1" max="1" width="40.1640625" customWidth="1"/>
    <col min="2" max="4" width="7.33203125" style="1" customWidth="1"/>
    <col min="5" max="5" width="12.1640625" style="1" customWidth="1"/>
    <col min="6" max="6" width="14.5" style="1" customWidth="1"/>
    <col min="7" max="7" width="26.1640625" style="1" customWidth="1"/>
    <col min="8" max="8" width="16.6640625" style="1" customWidth="1"/>
    <col min="9" max="10" width="11.6640625" style="1" customWidth="1"/>
  </cols>
  <sheetData>
    <row r="1" spans="1:10" x14ac:dyDescent="0.2">
      <c r="A1" s="149"/>
      <c r="B1" s="206" t="s">
        <v>96</v>
      </c>
      <c r="C1" s="206"/>
      <c r="D1" s="206"/>
      <c r="E1" s="206"/>
      <c r="F1" s="206"/>
      <c r="G1" s="206"/>
      <c r="H1" s="150"/>
      <c r="I1" s="206" t="s">
        <v>154</v>
      </c>
      <c r="J1" s="206"/>
    </row>
    <row r="2" spans="1:10" s="8" customFormat="1" ht="46" customHeight="1" x14ac:dyDescent="0.2">
      <c r="A2" s="151"/>
      <c r="B2" s="207" t="s">
        <v>170</v>
      </c>
      <c r="C2" s="207"/>
      <c r="D2" s="207"/>
      <c r="E2" s="153" t="s">
        <v>31</v>
      </c>
      <c r="F2" s="153" t="s">
        <v>30</v>
      </c>
      <c r="G2" s="152" t="s">
        <v>151</v>
      </c>
      <c r="H2" s="153" t="s">
        <v>67</v>
      </c>
      <c r="I2" s="153" t="s">
        <v>152</v>
      </c>
      <c r="J2" s="153" t="s">
        <v>153</v>
      </c>
    </row>
    <row r="3" spans="1:10" s="148" customFormat="1" x14ac:dyDescent="0.2">
      <c r="A3" s="154" t="s">
        <v>4</v>
      </c>
      <c r="B3" s="155"/>
      <c r="C3" s="155"/>
      <c r="D3" s="155"/>
      <c r="E3" s="155"/>
      <c r="F3" s="155"/>
      <c r="G3" s="155"/>
      <c r="H3" s="155"/>
      <c r="I3" s="155"/>
      <c r="J3" s="155"/>
    </row>
    <row r="4" spans="1:10" x14ac:dyDescent="0.2">
      <c r="A4" s="149" t="s">
        <v>171</v>
      </c>
      <c r="B4" s="156">
        <v>5.7241236937856403E-3</v>
      </c>
      <c r="C4" s="157">
        <v>1.08524678406041E-2</v>
      </c>
      <c r="D4" s="158">
        <v>1.59808119874227E-2</v>
      </c>
      <c r="E4" s="157">
        <v>3.2071468696963902E-2</v>
      </c>
      <c r="F4" s="159">
        <v>0.33838387456298602</v>
      </c>
      <c r="G4" s="157">
        <v>3.5852467840604099E-2</v>
      </c>
      <c r="H4" s="160">
        <v>0</v>
      </c>
      <c r="I4" s="161">
        <v>26723</v>
      </c>
      <c r="J4" s="161">
        <v>45777</v>
      </c>
    </row>
    <row r="5" spans="1:10" x14ac:dyDescent="0.2">
      <c r="A5" s="177" t="s">
        <v>172</v>
      </c>
      <c r="B5" s="178">
        <v>4.32971260588862E-4</v>
      </c>
      <c r="C5" s="179">
        <v>3.0821903711752401E-3</v>
      </c>
      <c r="D5" s="180">
        <v>5.73140948176162E-3</v>
      </c>
      <c r="E5" s="179">
        <v>1.4716286970652999E-2</v>
      </c>
      <c r="F5" s="181">
        <v>0.20944076296702299</v>
      </c>
      <c r="G5" s="179">
        <v>2.8082190371175202E-2</v>
      </c>
      <c r="H5" s="182">
        <v>0</v>
      </c>
      <c r="I5" s="183">
        <v>33662</v>
      </c>
      <c r="J5" s="183">
        <v>45777</v>
      </c>
    </row>
    <row r="6" spans="1:10" s="148" customFormat="1" x14ac:dyDescent="0.2">
      <c r="A6" s="170" t="s">
        <v>6</v>
      </c>
      <c r="B6" s="171"/>
      <c r="C6" s="172"/>
      <c r="D6" s="173"/>
      <c r="E6" s="172"/>
      <c r="F6" s="174"/>
      <c r="G6" s="172"/>
      <c r="H6" s="175"/>
      <c r="I6" s="176"/>
      <c r="J6" s="176"/>
    </row>
    <row r="7" spans="1:10" x14ac:dyDescent="0.2">
      <c r="A7" s="177" t="s">
        <v>173</v>
      </c>
      <c r="B7" s="178">
        <v>2.64039774019777E-2</v>
      </c>
      <c r="C7" s="179">
        <v>4.3364015406650899E-2</v>
      </c>
      <c r="D7" s="180">
        <v>6.0324053411324102E-2</v>
      </c>
      <c r="E7" s="179">
        <v>0.106064123700363</v>
      </c>
      <c r="F7" s="181">
        <v>0.40884715673658401</v>
      </c>
      <c r="G7" s="179">
        <v>6.8364015406650894E-2</v>
      </c>
      <c r="H7" s="182">
        <v>0</v>
      </c>
      <c r="I7" s="183">
        <v>30589</v>
      </c>
      <c r="J7" s="183">
        <v>45777</v>
      </c>
    </row>
    <row r="8" spans="1:10" s="148" customFormat="1" x14ac:dyDescent="0.2">
      <c r="A8" s="170" t="s">
        <v>8</v>
      </c>
      <c r="B8" s="171"/>
      <c r="C8" s="172"/>
      <c r="D8" s="173"/>
      <c r="E8" s="172"/>
      <c r="F8" s="174"/>
      <c r="G8" s="172"/>
      <c r="H8" s="175"/>
      <c r="I8" s="176"/>
      <c r="J8" s="176"/>
    </row>
    <row r="9" spans="1:10" x14ac:dyDescent="0.2">
      <c r="A9" s="149" t="s">
        <v>174</v>
      </c>
      <c r="B9" s="156">
        <v>1.7523010713942501E-2</v>
      </c>
      <c r="C9" s="157">
        <v>4.4567317353041203E-2</v>
      </c>
      <c r="D9" s="158">
        <v>7.1611623992139897E-2</v>
      </c>
      <c r="E9" s="157">
        <v>0.16912878874266299</v>
      </c>
      <c r="F9" s="159">
        <v>0.26351112477280397</v>
      </c>
      <c r="G9" s="157">
        <v>6.9567317353041197E-2</v>
      </c>
      <c r="H9" s="160">
        <v>0</v>
      </c>
      <c r="I9" s="161">
        <v>28886</v>
      </c>
      <c r="J9" s="161">
        <v>45777</v>
      </c>
    </row>
    <row r="10" spans="1:10" x14ac:dyDescent="0.2">
      <c r="A10" s="149" t="s">
        <v>175</v>
      </c>
      <c r="B10" s="156">
        <v>3.7739774522967298E-2</v>
      </c>
      <c r="C10" s="157">
        <v>6.09896272276437E-2</v>
      </c>
      <c r="D10" s="158">
        <v>8.4239479932320005E-2</v>
      </c>
      <c r="E10" s="157">
        <v>0.145399158457341</v>
      </c>
      <c r="F10" s="159">
        <v>0.41946341281980098</v>
      </c>
      <c r="G10" s="157">
        <v>8.5989627227643695E-2</v>
      </c>
      <c r="H10" s="160">
        <v>0</v>
      </c>
      <c r="I10" s="161">
        <v>28886</v>
      </c>
      <c r="J10" s="161">
        <v>45777</v>
      </c>
    </row>
    <row r="11" spans="1:10" x14ac:dyDescent="0.2">
      <c r="A11" s="149" t="s">
        <v>176</v>
      </c>
      <c r="B11" s="156">
        <v>3.9116118459153602E-2</v>
      </c>
      <c r="C11" s="157">
        <v>6.9881103642633002E-2</v>
      </c>
      <c r="D11" s="158">
        <v>0.10064608882611201</v>
      </c>
      <c r="E11" s="157">
        <v>0.19239704493830101</v>
      </c>
      <c r="F11" s="159">
        <v>0.36321297795942198</v>
      </c>
      <c r="G11" s="157">
        <v>9.4881103642632997E-2</v>
      </c>
      <c r="H11" s="160">
        <v>0</v>
      </c>
      <c r="I11" s="161">
        <v>28886</v>
      </c>
      <c r="J11" s="161">
        <v>45777</v>
      </c>
    </row>
    <row r="12" spans="1:10" x14ac:dyDescent="0.2">
      <c r="A12" s="149" t="s">
        <v>177</v>
      </c>
      <c r="B12" s="156">
        <v>2.0982633206710101E-2</v>
      </c>
      <c r="C12" s="157">
        <v>4.7043208728656999E-2</v>
      </c>
      <c r="D12" s="158">
        <v>7.3103784250604098E-2</v>
      </c>
      <c r="E12" s="157">
        <v>0.16297676367829</v>
      </c>
      <c r="F12" s="159">
        <v>0.288649790724268</v>
      </c>
      <c r="G12" s="157">
        <v>7.2043208728657104E-2</v>
      </c>
      <c r="H12" s="160">
        <v>0.7</v>
      </c>
      <c r="I12" s="161">
        <v>25626</v>
      </c>
      <c r="J12" s="161">
        <v>45777</v>
      </c>
    </row>
    <row r="13" spans="1:10" x14ac:dyDescent="0.2">
      <c r="A13" s="149" t="s">
        <v>178</v>
      </c>
      <c r="B13" s="156">
        <v>2.5237430201924101E-2</v>
      </c>
      <c r="C13" s="157">
        <v>4.8975926757622301E-2</v>
      </c>
      <c r="D13" s="158">
        <v>7.2714423313320495E-2</v>
      </c>
      <c r="E13" s="157">
        <v>0.14845502318157899</v>
      </c>
      <c r="F13" s="159">
        <v>0.32990414004192098</v>
      </c>
      <c r="G13" s="157">
        <v>7.3975926757622296E-2</v>
      </c>
      <c r="H13" s="160">
        <v>0.7</v>
      </c>
      <c r="I13" s="161">
        <v>25598</v>
      </c>
      <c r="J13" s="161">
        <v>45777</v>
      </c>
    </row>
    <row r="14" spans="1:10" x14ac:dyDescent="0.2">
      <c r="A14" s="149" t="s">
        <v>179</v>
      </c>
      <c r="B14" s="156">
        <v>-1.15459534877681E-3</v>
      </c>
      <c r="C14" s="157">
        <v>2.82523559089745E-2</v>
      </c>
      <c r="D14" s="158">
        <v>5.76593071667258E-2</v>
      </c>
      <c r="E14" s="157">
        <v>0.18390421737222901</v>
      </c>
      <c r="F14" s="159">
        <v>0.15362538343419599</v>
      </c>
      <c r="G14" s="157">
        <v>5.3252355908974501E-2</v>
      </c>
      <c r="H14" s="160">
        <v>0.7</v>
      </c>
      <c r="I14" s="161">
        <v>25598</v>
      </c>
      <c r="J14" s="161">
        <v>45777</v>
      </c>
    </row>
    <row r="15" spans="1:10" x14ac:dyDescent="0.2">
      <c r="A15" s="149" t="s">
        <v>180</v>
      </c>
      <c r="B15" s="156">
        <v>2.74370548378081E-2</v>
      </c>
      <c r="C15" s="157">
        <v>5.6359980577740498E-2</v>
      </c>
      <c r="D15" s="158">
        <v>8.5282906317672894E-2</v>
      </c>
      <c r="E15" s="157">
        <v>0.17096972354367099</v>
      </c>
      <c r="F15" s="159">
        <v>0.32964889577857998</v>
      </c>
      <c r="G15" s="157">
        <v>8.1359980577740507E-2</v>
      </c>
      <c r="H15" s="160">
        <v>0.7</v>
      </c>
      <c r="I15" s="161">
        <v>25626</v>
      </c>
      <c r="J15" s="161">
        <v>45777</v>
      </c>
    </row>
    <row r="16" spans="1:10" x14ac:dyDescent="0.2">
      <c r="A16" s="149" t="s">
        <v>181</v>
      </c>
      <c r="B16" s="156">
        <v>3.5865028766390701E-2</v>
      </c>
      <c r="C16" s="157">
        <v>7.5241692772873098E-2</v>
      </c>
      <c r="D16" s="158">
        <v>0.114618356779355</v>
      </c>
      <c r="E16" s="157">
        <v>0.23276405090531699</v>
      </c>
      <c r="F16" s="159">
        <v>0.32325306455282199</v>
      </c>
      <c r="G16" s="157">
        <v>0.100241692772873</v>
      </c>
      <c r="H16" s="160">
        <v>0</v>
      </c>
      <c r="I16" s="161">
        <v>32171</v>
      </c>
      <c r="J16" s="161">
        <v>45777</v>
      </c>
    </row>
    <row r="17" spans="1:10" x14ac:dyDescent="0.2">
      <c r="A17" s="149" t="s">
        <v>182</v>
      </c>
      <c r="B17" s="156">
        <v>3.9211523567242897E-2</v>
      </c>
      <c r="C17" s="157">
        <v>6.4800724140040705E-2</v>
      </c>
      <c r="D17" s="158">
        <v>9.0389924712838396E-2</v>
      </c>
      <c r="E17" s="157">
        <v>0.14797197236920701</v>
      </c>
      <c r="F17" s="159">
        <v>0.43792566323543602</v>
      </c>
      <c r="G17" s="157">
        <v>8.98007241400407E-2</v>
      </c>
      <c r="H17" s="160">
        <v>0.7</v>
      </c>
      <c r="I17" s="161">
        <v>32720</v>
      </c>
      <c r="J17" s="161">
        <v>45777</v>
      </c>
    </row>
    <row r="18" spans="1:10" x14ac:dyDescent="0.2">
      <c r="A18" s="177" t="s">
        <v>147</v>
      </c>
      <c r="B18" s="178">
        <v>1.6403181443203799E-2</v>
      </c>
      <c r="C18" s="179">
        <v>4.4976836696510598E-2</v>
      </c>
      <c r="D18" s="180">
        <v>7.3550491949817401E-2</v>
      </c>
      <c r="E18" s="179">
        <v>0.139789727557039</v>
      </c>
      <c r="F18" s="181">
        <v>0.32174636493341902</v>
      </c>
      <c r="G18" s="179">
        <v>6.99768366965106E-2</v>
      </c>
      <c r="H18" s="182">
        <v>0.7</v>
      </c>
      <c r="I18" s="183">
        <v>36189</v>
      </c>
      <c r="J18" s="183">
        <v>45777</v>
      </c>
    </row>
    <row r="19" spans="1:10" s="148" customFormat="1" x14ac:dyDescent="0.2">
      <c r="A19" s="170" t="s">
        <v>17</v>
      </c>
      <c r="B19" s="171"/>
      <c r="C19" s="172"/>
      <c r="D19" s="173"/>
      <c r="E19" s="172"/>
      <c r="F19" s="174"/>
      <c r="G19" s="172"/>
      <c r="H19" s="175"/>
      <c r="I19" s="176"/>
      <c r="J19" s="176"/>
    </row>
    <row r="20" spans="1:10" x14ac:dyDescent="0.2">
      <c r="A20" s="149" t="s">
        <v>183</v>
      </c>
      <c r="B20" s="156">
        <v>7.6750631221554899E-3</v>
      </c>
      <c r="C20" s="157">
        <v>1.9169505465816701E-2</v>
      </c>
      <c r="D20" s="158">
        <v>3.0663947809477999E-2</v>
      </c>
      <c r="E20" s="157">
        <v>6.1826317761391997E-2</v>
      </c>
      <c r="F20" s="169">
        <v>0.31005413487178901</v>
      </c>
      <c r="G20" s="157">
        <v>4.41695054658168E-2</v>
      </c>
      <c r="H20" s="160">
        <v>1</v>
      </c>
      <c r="I20" s="161">
        <v>34365</v>
      </c>
      <c r="J20" s="161">
        <v>45777</v>
      </c>
    </row>
    <row r="21" spans="1:10" x14ac:dyDescent="0.2">
      <c r="A21" s="149" t="s">
        <v>184</v>
      </c>
      <c r="B21" s="156">
        <v>4.3657888915111303E-3</v>
      </c>
      <c r="C21" s="157">
        <v>2.0771382280796301E-2</v>
      </c>
      <c r="D21" s="158">
        <v>3.7176975670081602E-2</v>
      </c>
      <c r="E21" s="157">
        <v>8.8242421826534606E-2</v>
      </c>
      <c r="F21" s="159">
        <v>0.23538998421449001</v>
      </c>
      <c r="G21" s="157">
        <v>4.5771382280796302E-2</v>
      </c>
      <c r="H21" s="160">
        <v>1</v>
      </c>
      <c r="I21" s="161">
        <v>34365</v>
      </c>
      <c r="J21" s="161">
        <v>45777</v>
      </c>
    </row>
    <row r="22" spans="1:10" x14ac:dyDescent="0.2">
      <c r="A22" s="177" t="s">
        <v>139</v>
      </c>
      <c r="B22" s="178">
        <v>3.4812134452342201E-3</v>
      </c>
      <c r="C22" s="179">
        <v>1.8658048030354601E-2</v>
      </c>
      <c r="D22" s="180">
        <v>3.3834882615475001E-2</v>
      </c>
      <c r="E22" s="179">
        <v>8.1633172764504602E-2</v>
      </c>
      <c r="F22" s="181">
        <v>0.228559633277753</v>
      </c>
      <c r="G22" s="179">
        <v>4.3658048030354599E-2</v>
      </c>
      <c r="H22" s="182">
        <v>1</v>
      </c>
      <c r="I22" s="183">
        <v>34365</v>
      </c>
      <c r="J22" s="183">
        <v>45777</v>
      </c>
    </row>
    <row r="23" spans="1:10" s="148" customFormat="1" x14ac:dyDescent="0.2">
      <c r="A23" s="170" t="s">
        <v>21</v>
      </c>
      <c r="B23" s="171"/>
      <c r="C23" s="172"/>
      <c r="D23" s="173"/>
      <c r="E23" s="172"/>
      <c r="F23" s="174"/>
      <c r="G23" s="172"/>
      <c r="H23" s="175"/>
      <c r="I23" s="176"/>
      <c r="J23" s="176"/>
    </row>
    <row r="24" spans="1:10" x14ac:dyDescent="0.2">
      <c r="A24" s="149" t="s">
        <v>144</v>
      </c>
      <c r="B24" s="156">
        <v>2.6608812004023499E-2</v>
      </c>
      <c r="C24" s="157">
        <v>5.0216749358222103E-2</v>
      </c>
      <c r="D24" s="158">
        <v>7.3824686712420803E-2</v>
      </c>
      <c r="E24" s="157">
        <v>0.14763853637333799</v>
      </c>
      <c r="F24" s="159">
        <v>0.340133074952987</v>
      </c>
      <c r="G24" s="157">
        <v>7.5216749358222104E-2</v>
      </c>
      <c r="H24" s="160">
        <v>0</v>
      </c>
      <c r="I24" s="161">
        <v>25598</v>
      </c>
      <c r="J24" s="161">
        <v>45777</v>
      </c>
    </row>
    <row r="25" spans="1:10" x14ac:dyDescent="0.2">
      <c r="A25" s="149" t="s">
        <v>185</v>
      </c>
      <c r="B25" s="156">
        <v>1.78707608365977E-2</v>
      </c>
      <c r="C25" s="157">
        <v>3.5944264317563202E-2</v>
      </c>
      <c r="D25" s="158">
        <v>5.40177677985288E-2</v>
      </c>
      <c r="E25" s="157">
        <v>9.7213778264937697E-2</v>
      </c>
      <c r="F25" s="159">
        <v>0.369744546082799</v>
      </c>
      <c r="G25" s="157">
        <v>6.0944264317563203E-2</v>
      </c>
      <c r="H25" s="160">
        <v>0</v>
      </c>
      <c r="I25" s="161">
        <v>34365</v>
      </c>
      <c r="J25" s="161">
        <v>45777</v>
      </c>
    </row>
    <row r="26" spans="1:10" x14ac:dyDescent="0.2">
      <c r="A26" s="177" t="s">
        <v>146</v>
      </c>
      <c r="B26" s="178">
        <v>1.3852677823030299E-2</v>
      </c>
      <c r="C26" s="179">
        <v>4.7598983442139302E-2</v>
      </c>
      <c r="D26" s="180">
        <v>8.1345289061248299E-2</v>
      </c>
      <c r="E26" s="179">
        <v>0.21081962919687999</v>
      </c>
      <c r="F26" s="181">
        <v>0.225780605076804</v>
      </c>
      <c r="G26" s="179">
        <v>7.2598983442139303E-2</v>
      </c>
      <c r="H26" s="182">
        <v>0</v>
      </c>
      <c r="I26" s="183">
        <v>30680</v>
      </c>
      <c r="J26" s="183">
        <v>44925</v>
      </c>
    </row>
    <row r="27" spans="1:10" s="148" customFormat="1" x14ac:dyDescent="0.2">
      <c r="A27" s="170" t="s">
        <v>25</v>
      </c>
      <c r="B27" s="171"/>
      <c r="C27" s="172"/>
      <c r="D27" s="173"/>
      <c r="E27" s="172"/>
      <c r="F27" s="174"/>
      <c r="G27" s="172"/>
      <c r="H27" s="175"/>
      <c r="I27" s="176"/>
      <c r="J27" s="176"/>
    </row>
    <row r="28" spans="1:10" x14ac:dyDescent="0.2">
      <c r="A28" s="149" t="s">
        <v>141</v>
      </c>
      <c r="B28" s="156">
        <v>2.64039774019777E-2</v>
      </c>
      <c r="C28" s="157">
        <v>4.3364015406650899E-2</v>
      </c>
      <c r="D28" s="158">
        <v>6.0324053411324102E-2</v>
      </c>
      <c r="E28" s="157">
        <v>0.106064123700363</v>
      </c>
      <c r="F28" s="159">
        <v>0.40884715673658401</v>
      </c>
      <c r="G28" s="157">
        <v>6.8364015406650894E-2</v>
      </c>
      <c r="H28" s="160">
        <v>0</v>
      </c>
      <c r="I28" s="161">
        <v>30589</v>
      </c>
      <c r="J28" s="161">
        <v>45777</v>
      </c>
    </row>
    <row r="29" spans="1:10" x14ac:dyDescent="0.2">
      <c r="A29" s="149" t="s">
        <v>186</v>
      </c>
      <c r="B29" s="156">
        <v>3.9132178171297799E-2</v>
      </c>
      <c r="C29" s="157">
        <v>6.2011235623535797E-2</v>
      </c>
      <c r="D29" s="158">
        <v>8.4890293075773796E-2</v>
      </c>
      <c r="E29" s="157">
        <v>0.143080291393996</v>
      </c>
      <c r="F29" s="159">
        <v>0.43340165874262299</v>
      </c>
      <c r="G29" s="157">
        <v>8.7011235623535799E-2</v>
      </c>
      <c r="H29" s="160">
        <v>0</v>
      </c>
      <c r="I29" s="161">
        <v>30650</v>
      </c>
      <c r="J29" s="161">
        <v>44925</v>
      </c>
    </row>
    <row r="30" spans="1:10" x14ac:dyDescent="0.2">
      <c r="A30" s="162" t="s">
        <v>143</v>
      </c>
      <c r="B30" s="163">
        <v>1.3852677823030299E-2</v>
      </c>
      <c r="C30" s="164">
        <v>4.7598983442139302E-2</v>
      </c>
      <c r="D30" s="165">
        <v>8.1345289061248299E-2</v>
      </c>
      <c r="E30" s="164">
        <v>0.21081962919687999</v>
      </c>
      <c r="F30" s="166">
        <v>0.225780605076804</v>
      </c>
      <c r="G30" s="164">
        <v>7.2598983442139303E-2</v>
      </c>
      <c r="H30" s="167">
        <v>0</v>
      </c>
      <c r="I30" s="168">
        <v>30680</v>
      </c>
      <c r="J30" s="168">
        <v>44925</v>
      </c>
    </row>
  </sheetData>
  <mergeCells count="3">
    <mergeCell ref="B1:G1"/>
    <mergeCell ref="I1:J1"/>
    <mergeCell ref="B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0093-E6C6-A248-AF2A-CA21312ABEE8}">
  <dimension ref="A1:H24"/>
  <sheetViews>
    <sheetView workbookViewId="0">
      <selection activeCell="B23" sqref="B23"/>
    </sheetView>
  </sheetViews>
  <sheetFormatPr baseColWidth="10" defaultRowHeight="15" x14ac:dyDescent="0.2"/>
  <cols>
    <col min="1" max="1" width="13.6640625" style="11" bestFit="1" customWidth="1"/>
    <col min="2" max="2" width="28.6640625" bestFit="1" customWidth="1"/>
    <col min="3" max="3" width="30" bestFit="1" customWidth="1"/>
    <col min="4" max="4" width="17.83203125" style="1" bestFit="1" customWidth="1"/>
    <col min="5" max="5" width="19.33203125" style="1" bestFit="1" customWidth="1"/>
    <col min="6" max="7" width="17.83203125" style="1" bestFit="1" customWidth="1"/>
    <col min="8" max="8" width="12.5" style="1" bestFit="1" customWidth="1"/>
  </cols>
  <sheetData>
    <row r="1" spans="1:8" ht="17" x14ac:dyDescent="0.2">
      <c r="A1" s="81" t="s">
        <v>117</v>
      </c>
      <c r="B1" s="82" t="s">
        <v>158</v>
      </c>
      <c r="C1" s="82" t="s">
        <v>159</v>
      </c>
      <c r="D1" s="83" t="s">
        <v>0</v>
      </c>
      <c r="E1" s="83" t="s">
        <v>1</v>
      </c>
      <c r="F1" s="83" t="s">
        <v>2</v>
      </c>
      <c r="G1" s="83" t="s">
        <v>3</v>
      </c>
      <c r="H1" s="84" t="s">
        <v>99</v>
      </c>
    </row>
    <row r="2" spans="1:8" ht="17" x14ac:dyDescent="0.2">
      <c r="A2" s="12" t="s">
        <v>100</v>
      </c>
      <c r="B2" s="70" t="s">
        <v>36</v>
      </c>
      <c r="C2" s="70" t="s">
        <v>4</v>
      </c>
      <c r="D2" s="52">
        <v>0.245</v>
      </c>
      <c r="E2" s="52">
        <v>0.58499999999999996</v>
      </c>
      <c r="F2" s="52">
        <v>0.36</v>
      </c>
      <c r="G2" s="52">
        <v>0.15</v>
      </c>
      <c r="H2" s="31">
        <v>0</v>
      </c>
    </row>
    <row r="3" spans="1:8" ht="17" x14ac:dyDescent="0.2">
      <c r="A3" s="12" t="s">
        <v>124</v>
      </c>
      <c r="B3" s="70" t="s">
        <v>160</v>
      </c>
      <c r="C3" s="70" t="s">
        <v>4</v>
      </c>
      <c r="D3" s="52">
        <v>0.5</v>
      </c>
      <c r="E3" s="52" t="s">
        <v>37</v>
      </c>
      <c r="F3" s="52" t="s">
        <v>37</v>
      </c>
      <c r="G3" s="52" t="s">
        <v>37</v>
      </c>
      <c r="H3" s="31">
        <v>0</v>
      </c>
    </row>
    <row r="4" spans="1:8" ht="17" x14ac:dyDescent="0.2">
      <c r="A4" s="12" t="s">
        <v>101</v>
      </c>
      <c r="B4" s="70" t="s">
        <v>123</v>
      </c>
      <c r="C4" s="70" t="s">
        <v>6</v>
      </c>
      <c r="D4" s="52">
        <v>0.02</v>
      </c>
      <c r="E4" s="52">
        <v>0.03</v>
      </c>
      <c r="F4" s="52">
        <v>4.4999999999999998E-2</v>
      </c>
      <c r="G4" s="52">
        <v>5.5E-2</v>
      </c>
      <c r="H4" s="31">
        <v>0</v>
      </c>
    </row>
    <row r="5" spans="1:8" ht="17" x14ac:dyDescent="0.2">
      <c r="A5" s="12" t="s">
        <v>102</v>
      </c>
      <c r="B5" s="70" t="s">
        <v>9</v>
      </c>
      <c r="C5" s="70" t="s">
        <v>8</v>
      </c>
      <c r="D5" s="52">
        <v>3.9E-2</v>
      </c>
      <c r="E5" s="52">
        <v>6.3E-2</v>
      </c>
      <c r="F5" s="52">
        <v>0.1</v>
      </c>
      <c r="G5" s="52">
        <v>0.14199999999999999</v>
      </c>
      <c r="H5" s="31">
        <v>0</v>
      </c>
    </row>
    <row r="6" spans="1:8" ht="17" x14ac:dyDescent="0.2">
      <c r="A6" s="12" t="s">
        <v>103</v>
      </c>
      <c r="B6" s="70" t="s">
        <v>10</v>
      </c>
      <c r="C6" s="70" t="s">
        <v>8</v>
      </c>
      <c r="D6" s="52">
        <v>4.4000000000000004E-2</v>
      </c>
      <c r="E6" s="52">
        <v>7.0999999999999994E-2</v>
      </c>
      <c r="F6" s="52">
        <v>0.11199999999999999</v>
      </c>
      <c r="G6" s="52">
        <v>0.159</v>
      </c>
      <c r="H6" s="31">
        <v>0</v>
      </c>
    </row>
    <row r="7" spans="1:8" ht="17" x14ac:dyDescent="0.2">
      <c r="A7" s="12" t="s">
        <v>104</v>
      </c>
      <c r="B7" s="70" t="s">
        <v>11</v>
      </c>
      <c r="C7" s="70" t="s">
        <v>8</v>
      </c>
      <c r="D7" s="52">
        <v>1.3999999999999999E-2</v>
      </c>
      <c r="E7" s="52">
        <v>2.2000000000000002E-2</v>
      </c>
      <c r="F7" s="52">
        <v>3.5000000000000003E-2</v>
      </c>
      <c r="G7" s="52">
        <v>0.05</v>
      </c>
      <c r="H7" s="31">
        <v>0</v>
      </c>
    </row>
    <row r="8" spans="1:8" ht="17" x14ac:dyDescent="0.2">
      <c r="A8" s="12" t="s">
        <v>105</v>
      </c>
      <c r="B8" s="70" t="s">
        <v>12</v>
      </c>
      <c r="C8" s="70" t="s">
        <v>8</v>
      </c>
      <c r="D8" s="52">
        <v>1.6E-2</v>
      </c>
      <c r="E8" s="52">
        <v>2.5000000000000001E-2</v>
      </c>
      <c r="F8" s="52">
        <v>0.04</v>
      </c>
      <c r="G8" s="52">
        <v>5.7000000000000002E-2</v>
      </c>
      <c r="H8" s="31">
        <v>0.7</v>
      </c>
    </row>
    <row r="9" spans="1:8" ht="17" x14ac:dyDescent="0.2">
      <c r="A9" s="12" t="s">
        <v>106</v>
      </c>
      <c r="B9" s="70" t="s">
        <v>13</v>
      </c>
      <c r="C9" s="70" t="s">
        <v>8</v>
      </c>
      <c r="D9" s="52">
        <v>5.0000000000000001E-3</v>
      </c>
      <c r="E9" s="52">
        <v>8.0000000000000002E-3</v>
      </c>
      <c r="F9" s="52">
        <v>1.2E-2</v>
      </c>
      <c r="G9" s="52">
        <v>1.7000000000000001E-2</v>
      </c>
      <c r="H9" s="31">
        <v>0.7</v>
      </c>
    </row>
    <row r="10" spans="1:8" ht="17" x14ac:dyDescent="0.2">
      <c r="A10" s="12" t="s">
        <v>107</v>
      </c>
      <c r="B10" s="70" t="s">
        <v>14</v>
      </c>
      <c r="C10" s="70" t="s">
        <v>8</v>
      </c>
      <c r="D10" s="52">
        <v>6.9999999999999993E-3</v>
      </c>
      <c r="E10" s="52">
        <v>1.1000000000000001E-2</v>
      </c>
      <c r="F10" s="52">
        <v>1.8000000000000002E-2</v>
      </c>
      <c r="G10" s="52">
        <v>2.6000000000000002E-2</v>
      </c>
      <c r="H10" s="31">
        <v>0.7</v>
      </c>
    </row>
    <row r="11" spans="1:8" ht="17" x14ac:dyDescent="0.2">
      <c r="A11" s="12" t="s">
        <v>108</v>
      </c>
      <c r="B11" s="70" t="s">
        <v>15</v>
      </c>
      <c r="C11" s="70" t="s">
        <v>8</v>
      </c>
      <c r="D11" s="52">
        <v>4.0000000000000001E-3</v>
      </c>
      <c r="E11" s="52">
        <v>6.0000000000000001E-3</v>
      </c>
      <c r="F11" s="52">
        <v>9.0000000000000011E-3</v>
      </c>
      <c r="G11" s="52">
        <v>1.3000000000000001E-2</v>
      </c>
      <c r="H11" s="31">
        <v>0.7</v>
      </c>
    </row>
    <row r="12" spans="1:8" ht="17" x14ac:dyDescent="0.2">
      <c r="A12" s="12" t="s">
        <v>109</v>
      </c>
      <c r="B12" s="70" t="s">
        <v>16</v>
      </c>
      <c r="C12" s="70" t="s">
        <v>8</v>
      </c>
      <c r="D12" s="52">
        <v>4.0000000000000001E-3</v>
      </c>
      <c r="E12" s="52">
        <v>6.0000000000000001E-3</v>
      </c>
      <c r="F12" s="52">
        <v>9.0000000000000011E-3</v>
      </c>
      <c r="G12" s="52">
        <v>1.3000000000000001E-2</v>
      </c>
      <c r="H12" s="31">
        <v>0</v>
      </c>
    </row>
    <row r="13" spans="1:8" ht="17" x14ac:dyDescent="0.2">
      <c r="A13" s="12" t="s">
        <v>110</v>
      </c>
      <c r="B13" s="70" t="s">
        <v>111</v>
      </c>
      <c r="C13" s="70" t="s">
        <v>8</v>
      </c>
      <c r="D13" s="52">
        <v>4.0000000000000001E-3</v>
      </c>
      <c r="E13" s="52">
        <v>6.5000000000000006E-3</v>
      </c>
      <c r="F13" s="52">
        <v>0.01</v>
      </c>
      <c r="G13" s="52">
        <v>1.3999999999999999E-2</v>
      </c>
      <c r="H13" s="85">
        <v>0.7</v>
      </c>
    </row>
    <row r="14" spans="1:8" ht="17" x14ac:dyDescent="0.2">
      <c r="A14" s="12" t="s">
        <v>113</v>
      </c>
      <c r="B14" s="70" t="s">
        <v>112</v>
      </c>
      <c r="C14" s="70" t="s">
        <v>8</v>
      </c>
      <c r="D14" s="52">
        <v>4.0000000000000001E-3</v>
      </c>
      <c r="E14" s="52">
        <v>6.5000000000000006E-3</v>
      </c>
      <c r="F14" s="52">
        <v>0.01</v>
      </c>
      <c r="G14" s="52">
        <v>1.3999999999999999E-2</v>
      </c>
      <c r="H14" s="85">
        <v>0.7</v>
      </c>
    </row>
    <row r="15" spans="1:8" ht="17" x14ac:dyDescent="0.2">
      <c r="A15" s="12" t="s">
        <v>114</v>
      </c>
      <c r="B15" s="70" t="s">
        <v>18</v>
      </c>
      <c r="C15" s="70" t="s">
        <v>17</v>
      </c>
      <c r="D15" s="52">
        <v>3.0000000000000001E-3</v>
      </c>
      <c r="E15" s="52">
        <v>6.9999999999999993E-3</v>
      </c>
      <c r="F15" s="52">
        <v>9.0000000000000011E-3</v>
      </c>
      <c r="G15" s="52">
        <v>6.0000000000000001E-3</v>
      </c>
      <c r="H15" s="31">
        <v>1</v>
      </c>
    </row>
    <row r="16" spans="1:8" ht="17" x14ac:dyDescent="0.2">
      <c r="A16" s="12" t="s">
        <v>115</v>
      </c>
      <c r="B16" s="70" t="s">
        <v>19</v>
      </c>
      <c r="C16" s="70" t="s">
        <v>17</v>
      </c>
      <c r="D16" s="52">
        <v>6.0000000000000001E-3</v>
      </c>
      <c r="E16" s="52">
        <v>1.3999999999999999E-2</v>
      </c>
      <c r="F16" s="52">
        <v>1.8000000000000002E-2</v>
      </c>
      <c r="G16" s="52">
        <v>1.2E-2</v>
      </c>
      <c r="H16" s="31">
        <v>1</v>
      </c>
    </row>
    <row r="17" spans="1:8" ht="17" x14ac:dyDescent="0.2">
      <c r="A17" s="12" t="s">
        <v>116</v>
      </c>
      <c r="B17" s="70" t="s">
        <v>20</v>
      </c>
      <c r="C17" s="70" t="s">
        <v>17</v>
      </c>
      <c r="D17" s="52">
        <v>6.0000000000000001E-3</v>
      </c>
      <c r="E17" s="52">
        <v>1.3999999999999999E-2</v>
      </c>
      <c r="F17" s="52">
        <v>1.8000000000000002E-2</v>
      </c>
      <c r="G17" s="52">
        <v>1.2E-2</v>
      </c>
      <c r="H17" s="31">
        <v>1</v>
      </c>
    </row>
    <row r="18" spans="1:8" ht="17" x14ac:dyDescent="0.2">
      <c r="A18" s="12" t="s">
        <v>118</v>
      </c>
      <c r="B18" s="70" t="s">
        <v>22</v>
      </c>
      <c r="C18" s="70" t="s">
        <v>21</v>
      </c>
      <c r="D18" s="52">
        <v>0.03</v>
      </c>
      <c r="E18" s="52">
        <v>4.0999999999999995E-2</v>
      </c>
      <c r="F18" s="52">
        <v>8.4000000000000005E-2</v>
      </c>
      <c r="G18" s="52">
        <v>0.13</v>
      </c>
      <c r="H18" s="31">
        <v>0</v>
      </c>
    </row>
    <row r="19" spans="1:8" ht="17" x14ac:dyDescent="0.2">
      <c r="A19" s="12" t="s">
        <v>187</v>
      </c>
      <c r="B19" s="70" t="s">
        <v>23</v>
      </c>
      <c r="C19" s="70" t="s">
        <v>21</v>
      </c>
      <c r="D19" s="52">
        <v>0.01</v>
      </c>
      <c r="E19" s="52">
        <v>1.3999999999999999E-2</v>
      </c>
      <c r="F19" s="52">
        <v>2.7999999999999997E-2</v>
      </c>
      <c r="G19" s="52">
        <v>4.2999999999999997E-2</v>
      </c>
      <c r="H19" s="31">
        <v>0</v>
      </c>
    </row>
    <row r="20" spans="1:8" ht="17" x14ac:dyDescent="0.2">
      <c r="A20" s="12" t="s">
        <v>119</v>
      </c>
      <c r="B20" s="70" t="s">
        <v>24</v>
      </c>
      <c r="C20" s="70" t="s">
        <v>21</v>
      </c>
      <c r="D20" s="52">
        <v>0</v>
      </c>
      <c r="E20" s="52">
        <v>0</v>
      </c>
      <c r="F20" s="52">
        <v>8.0000000000000002E-3</v>
      </c>
      <c r="G20" s="52">
        <v>1.2E-2</v>
      </c>
      <c r="H20" s="31">
        <v>0</v>
      </c>
    </row>
    <row r="21" spans="1:8" ht="17" x14ac:dyDescent="0.2">
      <c r="A21" s="12" t="s">
        <v>120</v>
      </c>
      <c r="B21" s="70" t="s">
        <v>26</v>
      </c>
      <c r="C21" s="70" t="s">
        <v>25</v>
      </c>
      <c r="D21" s="52">
        <v>1.3000000000000001E-2</v>
      </c>
      <c r="E21" s="52">
        <v>2.3E-2</v>
      </c>
      <c r="F21" s="52">
        <v>3.5000000000000003E-2</v>
      </c>
      <c r="G21" s="52">
        <v>3.5000000000000003E-2</v>
      </c>
      <c r="H21" s="31">
        <v>0</v>
      </c>
    </row>
    <row r="22" spans="1:8" ht="17" x14ac:dyDescent="0.2">
      <c r="A22" s="12" t="s">
        <v>121</v>
      </c>
      <c r="B22" s="70" t="s">
        <v>97</v>
      </c>
      <c r="C22" s="70" t="s">
        <v>25</v>
      </c>
      <c r="D22" s="52">
        <v>1.3500000000000002E-2</v>
      </c>
      <c r="E22" s="52">
        <v>2.35E-2</v>
      </c>
      <c r="F22" s="52">
        <v>0.02</v>
      </c>
      <c r="G22" s="52">
        <v>0.02</v>
      </c>
      <c r="H22" s="31">
        <v>0</v>
      </c>
    </row>
    <row r="23" spans="1:8" ht="17" x14ac:dyDescent="0.2">
      <c r="A23" s="12" t="s">
        <v>122</v>
      </c>
      <c r="B23" s="70" t="s">
        <v>27</v>
      </c>
      <c r="C23" s="70" t="s">
        <v>25</v>
      </c>
      <c r="D23" s="52">
        <v>1.3500000000000002E-2</v>
      </c>
      <c r="E23" s="52">
        <v>2.35E-2</v>
      </c>
      <c r="F23" s="52">
        <v>0.02</v>
      </c>
      <c r="G23" s="52">
        <v>0.02</v>
      </c>
      <c r="H23" s="31">
        <v>0</v>
      </c>
    </row>
    <row r="24" spans="1:8" ht="17" x14ac:dyDescent="0.2">
      <c r="A24" s="80"/>
      <c r="B24" s="78" t="s">
        <v>98</v>
      </c>
      <c r="C24" s="78"/>
      <c r="D24" s="86">
        <f>SUM(D2:D23)</f>
        <v>1.0010000000000001</v>
      </c>
      <c r="E24" s="86">
        <f t="shared" ref="E24:G24" si="0">SUM(E2:E23)</f>
        <v>0.99999999999999989</v>
      </c>
      <c r="F24" s="86">
        <f t="shared" si="0"/>
        <v>1.0000000000000002</v>
      </c>
      <c r="G24" s="86">
        <f t="shared" si="0"/>
        <v>1.0000000000000002</v>
      </c>
      <c r="H24" s="7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9EEE7-EF43-8949-BD56-DAE13E7B9E91}">
  <dimension ref="A1:M39"/>
  <sheetViews>
    <sheetView topLeftCell="A2" zoomScale="130" zoomScaleNormal="130" workbookViewId="0">
      <selection activeCell="I22" sqref="I22:J22"/>
    </sheetView>
  </sheetViews>
  <sheetFormatPr baseColWidth="10" defaultRowHeight="15" x14ac:dyDescent="0.2"/>
  <cols>
    <col min="1" max="1" width="51.33203125" bestFit="1" customWidth="1"/>
    <col min="2" max="2" width="10.1640625" style="1" customWidth="1"/>
    <col min="3" max="3" width="13.1640625" style="1" customWidth="1"/>
    <col min="4" max="6" width="10.83203125" style="1"/>
    <col min="7" max="7" width="12.1640625" style="1" bestFit="1" customWidth="1"/>
    <col min="8" max="13" width="10.83203125" style="1"/>
  </cols>
  <sheetData>
    <row r="1" spans="1:13" ht="32" customHeight="1" x14ac:dyDescent="0.2">
      <c r="A1" s="2"/>
      <c r="B1" s="208" t="s">
        <v>96</v>
      </c>
      <c r="C1" s="208"/>
      <c r="D1" s="208"/>
      <c r="E1" s="208"/>
      <c r="F1" s="208"/>
      <c r="G1" s="208"/>
      <c r="H1" s="87"/>
      <c r="I1" s="208" t="s">
        <v>154</v>
      </c>
      <c r="J1" s="208"/>
      <c r="K1" s="3"/>
      <c r="L1" s="3"/>
      <c r="M1" s="3"/>
    </row>
    <row r="2" spans="1:13" s="8" customFormat="1" ht="64" x14ac:dyDescent="0.2">
      <c r="A2" s="91"/>
      <c r="B2" s="92" t="s">
        <v>148</v>
      </c>
      <c r="C2" s="93" t="s">
        <v>149</v>
      </c>
      <c r="D2" s="92" t="s">
        <v>150</v>
      </c>
      <c r="E2" s="92" t="s">
        <v>31</v>
      </c>
      <c r="F2" s="92" t="s">
        <v>30</v>
      </c>
      <c r="G2" s="93" t="s">
        <v>151</v>
      </c>
      <c r="H2" s="92" t="s">
        <v>67</v>
      </c>
      <c r="I2" s="92" t="s">
        <v>152</v>
      </c>
      <c r="J2" s="92" t="s">
        <v>153</v>
      </c>
      <c r="K2" s="116" t="s">
        <v>155</v>
      </c>
      <c r="L2" s="92" t="s">
        <v>156</v>
      </c>
      <c r="M2" s="108" t="s">
        <v>157</v>
      </c>
    </row>
    <row r="3" spans="1:13" x14ac:dyDescent="0.2">
      <c r="A3" s="2" t="s">
        <v>125</v>
      </c>
      <c r="B3" s="88"/>
      <c r="C3" s="88"/>
      <c r="D3" s="88"/>
      <c r="E3" s="88"/>
      <c r="F3" s="89"/>
      <c r="G3" s="88"/>
      <c r="H3" s="88"/>
      <c r="I3" s="94"/>
      <c r="J3" s="94"/>
      <c r="K3" s="117"/>
      <c r="L3" s="109"/>
      <c r="M3" s="110"/>
    </row>
    <row r="4" spans="1:13" x14ac:dyDescent="0.2">
      <c r="A4" s="2" t="s">
        <v>135</v>
      </c>
      <c r="B4" s="88">
        <v>5.7241236937856403E-3</v>
      </c>
      <c r="C4" s="88">
        <v>1.08524678406041E-2</v>
      </c>
      <c r="D4" s="88">
        <v>1.59808119874227E-2</v>
      </c>
      <c r="E4" s="88">
        <v>3.2071468696963902E-2</v>
      </c>
      <c r="F4" s="89">
        <v>0.33838387456298602</v>
      </c>
      <c r="G4" s="88">
        <v>3.5852467840604099E-2</v>
      </c>
      <c r="H4" s="88">
        <v>0</v>
      </c>
      <c r="I4" s="95">
        <v>26723</v>
      </c>
      <c r="J4" s="95">
        <v>45777</v>
      </c>
      <c r="K4" s="118">
        <f>Assumptions!D4</f>
        <v>1.0999999999999999E-2</v>
      </c>
      <c r="L4" s="111">
        <f>C4</f>
        <v>1.08524678406041E-2</v>
      </c>
      <c r="M4" s="112">
        <f>L4-K4</f>
        <v>-1.4753215939589982E-4</v>
      </c>
    </row>
    <row r="5" spans="1:13" x14ac:dyDescent="0.2">
      <c r="A5" s="2" t="s">
        <v>136</v>
      </c>
      <c r="B5" s="88">
        <v>4.32971260588862E-4</v>
      </c>
      <c r="C5" s="88">
        <v>3.0821903711752401E-3</v>
      </c>
      <c r="D5" s="88">
        <v>5.73140948176162E-3</v>
      </c>
      <c r="E5" s="88">
        <v>1.4716286970652999E-2</v>
      </c>
      <c r="F5" s="89">
        <v>0.20944076296702299</v>
      </c>
      <c r="G5" s="88">
        <v>2.8082190371175202E-2</v>
      </c>
      <c r="H5" s="88">
        <v>0</v>
      </c>
      <c r="I5" s="95">
        <v>33662</v>
      </c>
      <c r="J5" s="95">
        <v>45777</v>
      </c>
      <c r="K5" s="118">
        <f>Assumptions!D5</f>
        <v>4.0000000000000001E-3</v>
      </c>
      <c r="L5" s="111">
        <f t="shared" ref="L5:L30" si="0">C5</f>
        <v>3.0821903711752401E-3</v>
      </c>
      <c r="M5" s="112">
        <f t="shared" ref="M5:M30" si="1">L5-K5</f>
        <v>-9.1780962882475996E-4</v>
      </c>
    </row>
    <row r="6" spans="1:13" x14ac:dyDescent="0.2">
      <c r="A6" s="2" t="s">
        <v>6</v>
      </c>
      <c r="B6" s="88"/>
      <c r="C6" s="88"/>
      <c r="D6" s="88"/>
      <c r="E6" s="88"/>
      <c r="F6" s="89"/>
      <c r="G6" s="88"/>
      <c r="H6" s="88"/>
      <c r="I6" s="95"/>
      <c r="J6" s="95"/>
      <c r="K6" s="118"/>
      <c r="L6" s="111"/>
      <c r="M6" s="112"/>
    </row>
    <row r="7" spans="1:13" x14ac:dyDescent="0.2">
      <c r="A7" s="104" t="s">
        <v>140</v>
      </c>
      <c r="B7" s="105">
        <v>2.64039774019777E-2</v>
      </c>
      <c r="C7" s="105">
        <v>4.3364015406650899E-2</v>
      </c>
      <c r="D7" s="105">
        <v>6.0324053411324102E-2</v>
      </c>
      <c r="E7" s="105">
        <v>0.106064123700363</v>
      </c>
      <c r="F7" s="106">
        <v>0.40884715673658401</v>
      </c>
      <c r="G7" s="105">
        <v>6.8364015406650894E-2</v>
      </c>
      <c r="H7" s="105">
        <v>0</v>
      </c>
      <c r="I7" s="107">
        <v>30589</v>
      </c>
      <c r="J7" s="107">
        <v>45777</v>
      </c>
      <c r="K7" s="119">
        <f>Assumptions!D7</f>
        <v>3.5000000000000003E-2</v>
      </c>
      <c r="L7" s="113">
        <f t="shared" si="0"/>
        <v>4.3364015406650899E-2</v>
      </c>
      <c r="M7" s="114">
        <f t="shared" si="1"/>
        <v>8.3640154066508959E-3</v>
      </c>
    </row>
    <row r="8" spans="1:13" x14ac:dyDescent="0.2">
      <c r="A8" s="2" t="s">
        <v>8</v>
      </c>
      <c r="B8" s="88"/>
      <c r="C8" s="88"/>
      <c r="D8" s="88"/>
      <c r="E8" s="88"/>
      <c r="F8" s="89"/>
      <c r="G8" s="88"/>
      <c r="H8" s="88"/>
      <c r="I8" s="95"/>
      <c r="J8" s="95"/>
      <c r="K8" s="118"/>
      <c r="L8" s="111"/>
      <c r="M8" s="112"/>
    </row>
    <row r="9" spans="1:13" x14ac:dyDescent="0.2">
      <c r="A9" s="104" t="s">
        <v>126</v>
      </c>
      <c r="B9" s="105">
        <v>1.7523010713942501E-2</v>
      </c>
      <c r="C9" s="105">
        <v>4.4567317353041203E-2</v>
      </c>
      <c r="D9" s="105">
        <v>7.1611623992139897E-2</v>
      </c>
      <c r="E9" s="105">
        <v>0.16912878874266299</v>
      </c>
      <c r="F9" s="106">
        <v>0.26351112477280397</v>
      </c>
      <c r="G9" s="105">
        <v>6.9567317353041197E-2</v>
      </c>
      <c r="H9" s="105">
        <v>0</v>
      </c>
      <c r="I9" s="107">
        <v>28886</v>
      </c>
      <c r="J9" s="107">
        <v>45777</v>
      </c>
      <c r="K9" s="119">
        <f>Assumptions!D9</f>
        <v>5.3999999999999999E-2</v>
      </c>
      <c r="L9" s="113">
        <f t="shared" si="0"/>
        <v>4.4567317353041203E-2</v>
      </c>
      <c r="M9" s="114">
        <f t="shared" si="1"/>
        <v>-9.4326826469587968E-3</v>
      </c>
    </row>
    <row r="10" spans="1:13" x14ac:dyDescent="0.2">
      <c r="A10" s="2" t="s">
        <v>127</v>
      </c>
      <c r="B10" s="88">
        <v>3.7739774522967298E-2</v>
      </c>
      <c r="C10" s="88">
        <v>6.09896272276437E-2</v>
      </c>
      <c r="D10" s="88">
        <v>8.4239479932320005E-2</v>
      </c>
      <c r="E10" s="88">
        <v>0.145399158457341</v>
      </c>
      <c r="F10" s="89">
        <v>0.41946341281980098</v>
      </c>
      <c r="G10" s="88">
        <v>8.5989627227643695E-2</v>
      </c>
      <c r="H10" s="88">
        <v>0</v>
      </c>
      <c r="I10" s="95">
        <v>28886</v>
      </c>
      <c r="J10" s="95">
        <v>45777</v>
      </c>
      <c r="K10" s="118">
        <f>Assumptions!D10</f>
        <v>0.06</v>
      </c>
      <c r="L10" s="111">
        <f t="shared" si="0"/>
        <v>6.09896272276437E-2</v>
      </c>
      <c r="M10" s="112">
        <f t="shared" si="1"/>
        <v>9.8962722764370237E-4</v>
      </c>
    </row>
    <row r="11" spans="1:13" x14ac:dyDescent="0.2">
      <c r="A11" s="104" t="s">
        <v>128</v>
      </c>
      <c r="B11" s="105">
        <v>3.9116118459153602E-2</v>
      </c>
      <c r="C11" s="105">
        <v>6.9881103642633002E-2</v>
      </c>
      <c r="D11" s="105">
        <v>0.10064608882611201</v>
      </c>
      <c r="E11" s="105">
        <v>0.19239704493830101</v>
      </c>
      <c r="F11" s="106">
        <v>0.36321297795942198</v>
      </c>
      <c r="G11" s="105">
        <v>9.4881103642632997E-2</v>
      </c>
      <c r="H11" s="105">
        <v>0</v>
      </c>
      <c r="I11" s="107">
        <v>28886</v>
      </c>
      <c r="J11" s="107">
        <v>45777</v>
      </c>
      <c r="K11" s="119">
        <f>Assumptions!D11</f>
        <v>6.3E-2</v>
      </c>
      <c r="L11" s="113">
        <f t="shared" si="0"/>
        <v>6.9881103642633002E-2</v>
      </c>
      <c r="M11" s="114">
        <f t="shared" si="1"/>
        <v>6.8811036426330019E-3</v>
      </c>
    </row>
    <row r="12" spans="1:13" x14ac:dyDescent="0.2">
      <c r="A12" s="2" t="s">
        <v>129</v>
      </c>
      <c r="B12" s="88">
        <v>2.0982633206710101E-2</v>
      </c>
      <c r="C12" s="88">
        <v>4.7043208728656999E-2</v>
      </c>
      <c r="D12" s="88">
        <v>7.3103784250604098E-2</v>
      </c>
      <c r="E12" s="88">
        <v>0.16297676367829</v>
      </c>
      <c r="F12" s="89">
        <v>0.288649790724268</v>
      </c>
      <c r="G12" s="88">
        <v>7.2043208728657104E-2</v>
      </c>
      <c r="H12" s="88">
        <v>0.7</v>
      </c>
      <c r="I12" s="95">
        <v>25626</v>
      </c>
      <c r="J12" s="95">
        <v>45777</v>
      </c>
      <c r="K12" s="118">
        <f>Assumptions!D12</f>
        <v>4.8000000000000001E-2</v>
      </c>
      <c r="L12" s="111">
        <f t="shared" si="0"/>
        <v>4.7043208728656999E-2</v>
      </c>
      <c r="M12" s="112">
        <f t="shared" si="1"/>
        <v>-9.5679127134300213E-4</v>
      </c>
    </row>
    <row r="13" spans="1:13" x14ac:dyDescent="0.2">
      <c r="A13" s="2" t="s">
        <v>130</v>
      </c>
      <c r="B13" s="88">
        <v>2.5237430201924101E-2</v>
      </c>
      <c r="C13" s="88">
        <v>4.8975926757622301E-2</v>
      </c>
      <c r="D13" s="88">
        <v>7.2714423313320495E-2</v>
      </c>
      <c r="E13" s="88">
        <v>0.14845502318157899</v>
      </c>
      <c r="F13" s="89">
        <v>0.32990414004192098</v>
      </c>
      <c r="G13" s="88">
        <v>7.3975926757622296E-2</v>
      </c>
      <c r="H13" s="88">
        <v>0.7</v>
      </c>
      <c r="I13" s="95">
        <v>25598</v>
      </c>
      <c r="J13" s="95">
        <v>45777</v>
      </c>
      <c r="K13" s="118">
        <f>Assumptions!D13</f>
        <v>5.0999999999999997E-2</v>
      </c>
      <c r="L13" s="111">
        <f t="shared" si="0"/>
        <v>4.8975926757622301E-2</v>
      </c>
      <c r="M13" s="112">
        <f t="shared" si="1"/>
        <v>-2.0240732423776955E-3</v>
      </c>
    </row>
    <row r="14" spans="1:13" x14ac:dyDescent="0.2">
      <c r="A14" s="2" t="s">
        <v>131</v>
      </c>
      <c r="B14" s="88">
        <v>-1.15459534877681E-3</v>
      </c>
      <c r="C14" s="88">
        <v>2.82523559089745E-2</v>
      </c>
      <c r="D14" s="88">
        <v>5.76593071667258E-2</v>
      </c>
      <c r="E14" s="88">
        <v>0.18390421737222901</v>
      </c>
      <c r="F14" s="89">
        <v>0.15362538343419599</v>
      </c>
      <c r="G14" s="88">
        <v>5.3252355908974501E-2</v>
      </c>
      <c r="H14" s="88">
        <v>0.7</v>
      </c>
      <c r="I14" s="95">
        <v>25598</v>
      </c>
      <c r="J14" s="95">
        <v>45777</v>
      </c>
      <c r="K14" s="118">
        <f>Assumptions!D14</f>
        <v>2.5999999999999999E-2</v>
      </c>
      <c r="L14" s="111">
        <f t="shared" si="0"/>
        <v>2.82523559089745E-2</v>
      </c>
      <c r="M14" s="112">
        <f t="shared" si="1"/>
        <v>2.2523559089745009E-3</v>
      </c>
    </row>
    <row r="15" spans="1:13" x14ac:dyDescent="0.2">
      <c r="A15" s="104" t="s">
        <v>132</v>
      </c>
      <c r="B15" s="105">
        <v>2.74370548378081E-2</v>
      </c>
      <c r="C15" s="105">
        <v>5.6359980577740498E-2</v>
      </c>
      <c r="D15" s="105">
        <v>8.5282906317672894E-2</v>
      </c>
      <c r="E15" s="105">
        <v>0.17096972354367099</v>
      </c>
      <c r="F15" s="106">
        <v>0.32964889577857998</v>
      </c>
      <c r="G15" s="105">
        <v>8.1359980577740507E-2</v>
      </c>
      <c r="H15" s="105">
        <v>0.7</v>
      </c>
      <c r="I15" s="107">
        <v>25626</v>
      </c>
      <c r="J15" s="107">
        <v>45777</v>
      </c>
      <c r="K15" s="119">
        <f>Assumptions!D15</f>
        <v>6.9000000000000006E-2</v>
      </c>
      <c r="L15" s="113">
        <f t="shared" si="0"/>
        <v>5.6359980577740498E-2</v>
      </c>
      <c r="M15" s="114">
        <f t="shared" si="1"/>
        <v>-1.2640019422259507E-2</v>
      </c>
    </row>
    <row r="16" spans="1:13" x14ac:dyDescent="0.2">
      <c r="A16" s="104" t="s">
        <v>133</v>
      </c>
      <c r="B16" s="105">
        <v>3.5865028766390701E-2</v>
      </c>
      <c r="C16" s="105">
        <v>7.5241692772873098E-2</v>
      </c>
      <c r="D16" s="105">
        <v>0.114618356779355</v>
      </c>
      <c r="E16" s="105">
        <v>0.23276405090531699</v>
      </c>
      <c r="F16" s="106">
        <v>0.32325306455282199</v>
      </c>
      <c r="G16" s="105">
        <v>0.100241692772873</v>
      </c>
      <c r="H16" s="105">
        <v>0</v>
      </c>
      <c r="I16" s="107">
        <v>32171</v>
      </c>
      <c r="J16" s="107">
        <v>45777</v>
      </c>
      <c r="K16" s="119">
        <f>Assumptions!D16</f>
        <v>8.5999999999999993E-2</v>
      </c>
      <c r="L16" s="113">
        <f t="shared" si="0"/>
        <v>7.5241692772873098E-2</v>
      </c>
      <c r="M16" s="114">
        <f t="shared" si="1"/>
        <v>-1.0758307227126895E-2</v>
      </c>
    </row>
    <row r="17" spans="1:13" x14ac:dyDescent="0.2">
      <c r="A17" s="2" t="s">
        <v>134</v>
      </c>
      <c r="B17" s="88">
        <v>3.9211523567242897E-2</v>
      </c>
      <c r="C17" s="88">
        <v>6.4800724140040705E-2</v>
      </c>
      <c r="D17" s="88">
        <v>9.0389924712838396E-2</v>
      </c>
      <c r="E17" s="88">
        <v>0.14797197236920701</v>
      </c>
      <c r="F17" s="89">
        <v>0.43792566323543602</v>
      </c>
      <c r="G17" s="88">
        <v>8.98007241400407E-2</v>
      </c>
      <c r="H17" s="88">
        <v>0.7</v>
      </c>
      <c r="I17" s="95">
        <v>32720</v>
      </c>
      <c r="J17" s="95">
        <v>45777</v>
      </c>
      <c r="K17" s="118">
        <f>Assumptions!D17</f>
        <v>6.0999999999999999E-2</v>
      </c>
      <c r="L17" s="111">
        <f t="shared" si="0"/>
        <v>6.4800724140040705E-2</v>
      </c>
      <c r="M17" s="112">
        <f t="shared" si="1"/>
        <v>3.8007241400407066E-3</v>
      </c>
    </row>
    <row r="18" spans="1:13" x14ac:dyDescent="0.2">
      <c r="A18" s="2" t="s">
        <v>147</v>
      </c>
      <c r="B18" s="88">
        <v>1.6403181443203799E-2</v>
      </c>
      <c r="C18" s="88">
        <v>4.4976836696510598E-2</v>
      </c>
      <c r="D18" s="88">
        <v>7.3550491949817401E-2</v>
      </c>
      <c r="E18" s="88">
        <v>0.139789727557039</v>
      </c>
      <c r="F18" s="89">
        <v>0.32174636493341902</v>
      </c>
      <c r="G18" s="88">
        <v>6.99768366965106E-2</v>
      </c>
      <c r="H18" s="88">
        <v>0.7</v>
      </c>
      <c r="I18" s="95">
        <v>36189</v>
      </c>
      <c r="J18" s="95">
        <v>45777</v>
      </c>
      <c r="K18" s="118">
        <f>Assumptions!D18</f>
        <v>4.8000000000000001E-2</v>
      </c>
      <c r="L18" s="111">
        <f t="shared" si="0"/>
        <v>4.4976836696510598E-2</v>
      </c>
      <c r="M18" s="112">
        <f t="shared" si="1"/>
        <v>-3.0231633034894026E-3</v>
      </c>
    </row>
    <row r="19" spans="1:13" x14ac:dyDescent="0.2">
      <c r="A19" s="2" t="s">
        <v>17</v>
      </c>
      <c r="B19" s="88"/>
      <c r="C19" s="88"/>
      <c r="D19" s="88"/>
      <c r="E19" s="88"/>
      <c r="F19" s="89"/>
      <c r="G19" s="88"/>
      <c r="H19" s="88"/>
      <c r="I19" s="95"/>
      <c r="J19" s="95"/>
      <c r="K19" s="118"/>
      <c r="L19" s="111"/>
      <c r="M19" s="112"/>
    </row>
    <row r="20" spans="1:13" x14ac:dyDescent="0.2">
      <c r="A20" s="2" t="s">
        <v>137</v>
      </c>
      <c r="B20" s="88">
        <v>7.6750631221554899E-3</v>
      </c>
      <c r="C20" s="88">
        <v>1.9169505465816701E-2</v>
      </c>
      <c r="D20" s="88">
        <v>3.0663947809477999E-2</v>
      </c>
      <c r="E20" s="88">
        <v>6.1826317761391997E-2</v>
      </c>
      <c r="F20" s="89">
        <v>0.31005413487178901</v>
      </c>
      <c r="G20" s="88">
        <v>4.41695054658168E-2</v>
      </c>
      <c r="H20" s="88">
        <v>1</v>
      </c>
      <c r="I20" s="95">
        <v>34365</v>
      </c>
      <c r="J20" s="95">
        <v>45777</v>
      </c>
      <c r="K20" s="118">
        <f>Assumptions!D20</f>
        <v>1.9E-2</v>
      </c>
      <c r="L20" s="111">
        <f t="shared" si="0"/>
        <v>1.9169505465816701E-2</v>
      </c>
      <c r="M20" s="112">
        <f t="shared" si="1"/>
        <v>1.6950546581670153E-4</v>
      </c>
    </row>
    <row r="21" spans="1:13" x14ac:dyDescent="0.2">
      <c r="A21" s="104" t="s">
        <v>138</v>
      </c>
      <c r="B21" s="105">
        <v>4.3657888915111303E-3</v>
      </c>
      <c r="C21" s="105">
        <v>2.0771382280796301E-2</v>
      </c>
      <c r="D21" s="105">
        <v>3.7176975670081602E-2</v>
      </c>
      <c r="E21" s="105">
        <v>8.8242421826534606E-2</v>
      </c>
      <c r="F21" s="106">
        <v>0.23538998421449001</v>
      </c>
      <c r="G21" s="105">
        <v>4.5771382280796302E-2</v>
      </c>
      <c r="H21" s="105">
        <v>1</v>
      </c>
      <c r="I21" s="107">
        <v>34365</v>
      </c>
      <c r="J21" s="107">
        <v>45777</v>
      </c>
      <c r="K21" s="119">
        <f>Assumptions!D21</f>
        <v>2.7E-2</v>
      </c>
      <c r="L21" s="113">
        <f t="shared" si="0"/>
        <v>2.0771382280796301E-2</v>
      </c>
      <c r="M21" s="114">
        <f t="shared" si="1"/>
        <v>-6.2286177192036989E-3</v>
      </c>
    </row>
    <row r="22" spans="1:13" x14ac:dyDescent="0.2">
      <c r="A22" s="104" t="s">
        <v>139</v>
      </c>
      <c r="B22" s="105">
        <v>3.4812134452342201E-3</v>
      </c>
      <c r="C22" s="105">
        <v>1.8658048030354601E-2</v>
      </c>
      <c r="D22" s="105">
        <v>3.3834882615475001E-2</v>
      </c>
      <c r="E22" s="105">
        <v>8.1633172764504602E-2</v>
      </c>
      <c r="F22" s="106">
        <v>0.228559633277753</v>
      </c>
      <c r="G22" s="105">
        <v>4.3658048030354599E-2</v>
      </c>
      <c r="H22" s="105">
        <v>1</v>
      </c>
      <c r="I22" s="107">
        <v>34365</v>
      </c>
      <c r="J22" s="107">
        <v>45777</v>
      </c>
      <c r="K22" s="119">
        <f>Assumptions!D22</f>
        <v>2.9000000000000001E-2</v>
      </c>
      <c r="L22" s="113">
        <f t="shared" si="0"/>
        <v>1.8658048030354601E-2</v>
      </c>
      <c r="M22" s="114">
        <f t="shared" si="1"/>
        <v>-1.0341951969645401E-2</v>
      </c>
    </row>
    <row r="23" spans="1:13" x14ac:dyDescent="0.2">
      <c r="A23" s="2" t="s">
        <v>21</v>
      </c>
      <c r="B23" s="88"/>
      <c r="C23" s="88"/>
      <c r="D23" s="88"/>
      <c r="E23" s="88"/>
      <c r="F23" s="89"/>
      <c r="G23" s="88"/>
      <c r="H23" s="88"/>
      <c r="I23" s="95"/>
      <c r="J23" s="95"/>
      <c r="K23" s="118"/>
      <c r="L23" s="111"/>
      <c r="M23" s="112"/>
    </row>
    <row r="24" spans="1:13" x14ac:dyDescent="0.2">
      <c r="A24" s="2" t="s">
        <v>144</v>
      </c>
      <c r="B24" s="88">
        <v>2.6608812004023499E-2</v>
      </c>
      <c r="C24" s="88">
        <v>5.0216749358222103E-2</v>
      </c>
      <c r="D24" s="88">
        <v>7.3824686712420803E-2</v>
      </c>
      <c r="E24" s="88">
        <v>0.14763853637333799</v>
      </c>
      <c r="F24" s="89">
        <v>0.340133074952987</v>
      </c>
      <c r="G24" s="88">
        <v>7.5216749358222104E-2</v>
      </c>
      <c r="H24" s="88">
        <v>0</v>
      </c>
      <c r="I24" s="95">
        <v>25598</v>
      </c>
      <c r="J24" s="95">
        <v>45777</v>
      </c>
      <c r="K24" s="118">
        <f>Assumptions!D24</f>
        <v>0.08</v>
      </c>
      <c r="L24" s="111">
        <f t="shared" si="0"/>
        <v>5.0216749358222103E-2</v>
      </c>
      <c r="M24" s="112">
        <f t="shared" si="1"/>
        <v>-2.9783250641777899E-2</v>
      </c>
    </row>
    <row r="25" spans="1:13" x14ac:dyDescent="0.2">
      <c r="A25" s="2" t="s">
        <v>145</v>
      </c>
      <c r="B25" s="88">
        <v>1.78707608365977E-2</v>
      </c>
      <c r="C25" s="88">
        <v>3.5944264317563202E-2</v>
      </c>
      <c r="D25" s="88">
        <v>5.40177677985288E-2</v>
      </c>
      <c r="E25" s="88">
        <v>9.7213778264937697E-2</v>
      </c>
      <c r="F25" s="89">
        <v>0.369744546082799</v>
      </c>
      <c r="G25" s="88">
        <v>6.0944264317563203E-2</v>
      </c>
      <c r="H25" s="88">
        <v>0</v>
      </c>
      <c r="I25" s="95">
        <v>34365</v>
      </c>
      <c r="J25" s="95">
        <v>45777</v>
      </c>
      <c r="K25" s="118">
        <f>Assumptions!D25</f>
        <v>8.2000000000000003E-2</v>
      </c>
      <c r="L25" s="111">
        <f t="shared" si="0"/>
        <v>3.5944264317563202E-2</v>
      </c>
      <c r="M25" s="112">
        <f t="shared" si="1"/>
        <v>-4.6055735682436802E-2</v>
      </c>
    </row>
    <row r="26" spans="1:13" x14ac:dyDescent="0.2">
      <c r="A26" s="2" t="s">
        <v>146</v>
      </c>
      <c r="B26" s="88">
        <v>1.3852677823030299E-2</v>
      </c>
      <c r="C26" s="88">
        <v>4.7598983442139302E-2</v>
      </c>
      <c r="D26" s="88">
        <v>8.1345289061248299E-2</v>
      </c>
      <c r="E26" s="88">
        <v>0.21081962919687999</v>
      </c>
      <c r="F26" s="89">
        <v>0.225780605076804</v>
      </c>
      <c r="G26" s="88">
        <v>7.2598983442139303E-2</v>
      </c>
      <c r="H26" s="88">
        <v>0</v>
      </c>
      <c r="I26" s="95">
        <v>30680</v>
      </c>
      <c r="J26" s="95">
        <v>44925</v>
      </c>
      <c r="K26" s="118">
        <f>Assumptions!D26</f>
        <v>7.2999999999999995E-2</v>
      </c>
      <c r="L26" s="111">
        <f t="shared" si="0"/>
        <v>4.7598983442139302E-2</v>
      </c>
      <c r="M26" s="112">
        <f t="shared" si="1"/>
        <v>-2.5401016557860694E-2</v>
      </c>
    </row>
    <row r="27" spans="1:13" x14ac:dyDescent="0.2">
      <c r="A27" s="2" t="s">
        <v>25</v>
      </c>
      <c r="B27" s="88"/>
      <c r="C27" s="88"/>
      <c r="D27" s="88"/>
      <c r="E27" s="88"/>
      <c r="F27" s="89"/>
      <c r="G27" s="88"/>
      <c r="H27" s="88"/>
      <c r="I27" s="95"/>
      <c r="J27" s="95"/>
      <c r="K27" s="118"/>
      <c r="L27" s="111"/>
      <c r="M27" s="112"/>
    </row>
    <row r="28" spans="1:13" x14ac:dyDescent="0.2">
      <c r="A28" s="2" t="s">
        <v>141</v>
      </c>
      <c r="B28" s="88">
        <v>2.64039774019777E-2</v>
      </c>
      <c r="C28" s="88">
        <v>4.3364015406650899E-2</v>
      </c>
      <c r="D28" s="88">
        <v>6.0324053411324102E-2</v>
      </c>
      <c r="E28" s="88">
        <v>0.106064123700363</v>
      </c>
      <c r="F28" s="89">
        <v>0.40884715673658401</v>
      </c>
      <c r="G28" s="88">
        <v>6.8364015406650894E-2</v>
      </c>
      <c r="H28" s="88">
        <v>0</v>
      </c>
      <c r="I28" s="95">
        <v>30589</v>
      </c>
      <c r="J28" s="95">
        <v>45777</v>
      </c>
      <c r="K28" s="118">
        <f>Assumptions!D28</f>
        <v>4.3999999999999997E-2</v>
      </c>
      <c r="L28" s="111">
        <f t="shared" si="0"/>
        <v>4.3364015406650899E-2</v>
      </c>
      <c r="M28" s="112">
        <f t="shared" si="1"/>
        <v>-6.3598459334909818E-4</v>
      </c>
    </row>
    <row r="29" spans="1:13" x14ac:dyDescent="0.2">
      <c r="A29" s="96" t="s">
        <v>142</v>
      </c>
      <c r="B29" s="97">
        <v>3.9132178171297799E-2</v>
      </c>
      <c r="C29" s="97">
        <v>6.2011235623535797E-2</v>
      </c>
      <c r="D29" s="97">
        <v>8.4890293075773796E-2</v>
      </c>
      <c r="E29" s="97">
        <v>0.143080291393996</v>
      </c>
      <c r="F29" s="98">
        <v>0.43340165874262299</v>
      </c>
      <c r="G29" s="97">
        <v>8.7011235623535799E-2</v>
      </c>
      <c r="H29" s="97">
        <v>0</v>
      </c>
      <c r="I29" s="99">
        <v>30650</v>
      </c>
      <c r="J29" s="99">
        <v>44925</v>
      </c>
      <c r="K29" s="118">
        <f>Assumptions!D29</f>
        <v>3.7999999999999999E-2</v>
      </c>
      <c r="L29" s="111">
        <f t="shared" si="0"/>
        <v>6.2011235623535797E-2</v>
      </c>
      <c r="M29" s="112">
        <f t="shared" si="1"/>
        <v>2.4011235623535798E-2</v>
      </c>
    </row>
    <row r="30" spans="1:13" x14ac:dyDescent="0.2">
      <c r="A30" s="90" t="s">
        <v>143</v>
      </c>
      <c r="B30" s="100">
        <v>1.3852677823030299E-2</v>
      </c>
      <c r="C30" s="100">
        <v>4.7598983442139302E-2</v>
      </c>
      <c r="D30" s="100">
        <v>8.1345289061248299E-2</v>
      </c>
      <c r="E30" s="100">
        <v>0.21081962919687999</v>
      </c>
      <c r="F30" s="101">
        <v>0.225780605076804</v>
      </c>
      <c r="G30" s="100">
        <v>7.2598983442139303E-2</v>
      </c>
      <c r="H30" s="100">
        <v>0</v>
      </c>
      <c r="I30" s="102">
        <v>30680</v>
      </c>
      <c r="J30" s="102">
        <v>44925</v>
      </c>
      <c r="K30" s="120">
        <f>Assumptions!D30</f>
        <v>4.2999999999999997E-2</v>
      </c>
      <c r="L30" s="103">
        <f t="shared" si="0"/>
        <v>4.7598983442139302E-2</v>
      </c>
      <c r="M30" s="115">
        <f t="shared" si="1"/>
        <v>4.5989834421393053E-3</v>
      </c>
    </row>
    <row r="31" spans="1:13" x14ac:dyDescent="0.2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2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2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2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2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mergeCells count="2">
    <mergeCell ref="B1:G1"/>
    <mergeCell ref="I1:J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2377E-81A2-C645-8844-431474AF4F1F}">
  <dimension ref="A1:B11"/>
  <sheetViews>
    <sheetView workbookViewId="0">
      <selection activeCell="B1" sqref="B1:B11"/>
    </sheetView>
  </sheetViews>
  <sheetFormatPr baseColWidth="10" defaultRowHeight="15" x14ac:dyDescent="0.2"/>
  <cols>
    <col min="1" max="2" width="20.5" customWidth="1"/>
  </cols>
  <sheetData>
    <row r="1" spans="1:2" ht="17" x14ac:dyDescent="0.2">
      <c r="A1" s="139" t="s">
        <v>161</v>
      </c>
      <c r="B1" s="139" t="s">
        <v>166</v>
      </c>
    </row>
    <row r="2" spans="1:2" ht="17" x14ac:dyDescent="0.2">
      <c r="A2" s="140" t="s">
        <v>163</v>
      </c>
      <c r="B2" s="124" t="s">
        <v>167</v>
      </c>
    </row>
    <row r="3" spans="1:2" ht="17" x14ac:dyDescent="0.2">
      <c r="A3" s="141" t="s">
        <v>165</v>
      </c>
      <c r="B3" s="141" t="s">
        <v>168</v>
      </c>
    </row>
    <row r="4" spans="1:2" ht="17" x14ac:dyDescent="0.2">
      <c r="A4" s="142" t="s">
        <v>164</v>
      </c>
      <c r="B4" s="143" t="s">
        <v>169</v>
      </c>
    </row>
    <row r="5" spans="1:2" ht="16" x14ac:dyDescent="0.2">
      <c r="A5" s="125"/>
      <c r="B5" s="125"/>
    </row>
    <row r="6" spans="1:2" ht="16" x14ac:dyDescent="0.2">
      <c r="A6" s="129" t="s">
        <v>162</v>
      </c>
      <c r="B6" s="129" t="s">
        <v>162</v>
      </c>
    </row>
    <row r="7" spans="1:2" ht="16" x14ac:dyDescent="0.2">
      <c r="A7" s="129" t="s">
        <v>162</v>
      </c>
      <c r="B7" s="129" t="s">
        <v>162</v>
      </c>
    </row>
    <row r="8" spans="1:2" ht="16" x14ac:dyDescent="0.2">
      <c r="A8" s="126"/>
      <c r="B8" s="127"/>
    </row>
    <row r="9" spans="1:2" ht="16" x14ac:dyDescent="0.2">
      <c r="A9" s="129" t="s">
        <v>162</v>
      </c>
      <c r="B9" s="129" t="s">
        <v>162</v>
      </c>
    </row>
    <row r="10" spans="1:2" ht="16" x14ac:dyDescent="0.2">
      <c r="A10" s="126"/>
      <c r="B10" s="128"/>
    </row>
    <row r="11" spans="1:2" ht="16" x14ac:dyDescent="0.2">
      <c r="A11" s="129" t="s">
        <v>162</v>
      </c>
      <c r="B11" s="129" t="s">
        <v>162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F2E3F-ABF9-1849-8DFB-59E09FC4A4FD}">
  <dimension ref="A1:J5"/>
  <sheetViews>
    <sheetView zoomScale="130" zoomScaleNormal="130" workbookViewId="0">
      <selection activeCell="A9" sqref="A9"/>
    </sheetView>
  </sheetViews>
  <sheetFormatPr baseColWidth="10" defaultRowHeight="15" x14ac:dyDescent="0.2"/>
  <cols>
    <col min="1" max="1" width="40.1640625" customWidth="1"/>
    <col min="2" max="4" width="7.33203125" style="1" customWidth="1"/>
    <col min="5" max="5" width="12.1640625" style="1" customWidth="1"/>
    <col min="6" max="6" width="14.5" style="1" customWidth="1"/>
    <col min="7" max="7" width="26.1640625" style="1" customWidth="1"/>
    <col min="8" max="8" width="16.6640625" style="1" customWidth="1"/>
    <col min="9" max="10" width="11.6640625" style="1" customWidth="1"/>
  </cols>
  <sheetData>
    <row r="1" spans="1:10" s="8" customFormat="1" ht="20" customHeight="1" x14ac:dyDescent="0.2">
      <c r="A1" s="191"/>
      <c r="B1" s="209" t="s">
        <v>96</v>
      </c>
      <c r="C1" s="209"/>
      <c r="D1" s="209"/>
      <c r="E1" s="209"/>
      <c r="F1" s="209"/>
      <c r="G1" s="209"/>
      <c r="H1" s="192"/>
      <c r="I1" s="209" t="s">
        <v>154</v>
      </c>
      <c r="J1" s="209"/>
    </row>
    <row r="2" spans="1:10" s="8" customFormat="1" ht="49" customHeight="1" x14ac:dyDescent="0.2">
      <c r="A2" s="151"/>
      <c r="B2" s="207" t="s">
        <v>170</v>
      </c>
      <c r="C2" s="207"/>
      <c r="D2" s="207"/>
      <c r="E2" s="153" t="s">
        <v>31</v>
      </c>
      <c r="F2" s="153" t="s">
        <v>30</v>
      </c>
      <c r="G2" s="152" t="s">
        <v>151</v>
      </c>
      <c r="H2" s="153" t="s">
        <v>67</v>
      </c>
      <c r="I2" s="153" t="s">
        <v>152</v>
      </c>
      <c r="J2" s="153" t="s">
        <v>153</v>
      </c>
    </row>
    <row r="3" spans="1:10" s="148" customFormat="1" ht="17" customHeight="1" x14ac:dyDescent="0.2">
      <c r="A3" s="154" t="s">
        <v>4</v>
      </c>
      <c r="B3" s="155"/>
      <c r="C3" s="155"/>
      <c r="D3" s="155"/>
      <c r="E3" s="155"/>
      <c r="F3" s="155"/>
      <c r="G3" s="155"/>
      <c r="H3" s="155"/>
      <c r="I3" s="155"/>
      <c r="J3" s="155"/>
    </row>
    <row r="4" spans="1:10" ht="17" customHeight="1" x14ac:dyDescent="0.2">
      <c r="A4" s="149" t="s">
        <v>171</v>
      </c>
      <c r="B4" s="156">
        <v>5.7241236937856403E-3</v>
      </c>
      <c r="C4" s="157">
        <v>1.08524678406041E-2</v>
      </c>
      <c r="D4" s="158">
        <v>1.59808119874227E-2</v>
      </c>
      <c r="E4" s="157">
        <v>3.2071468696963902E-2</v>
      </c>
      <c r="F4" s="159">
        <v>0.33838387456298602</v>
      </c>
      <c r="G4" s="157">
        <v>3.5852467840604099E-2</v>
      </c>
      <c r="H4" s="160">
        <v>0</v>
      </c>
      <c r="I4" s="161">
        <v>26723</v>
      </c>
      <c r="J4" s="161">
        <v>45777</v>
      </c>
    </row>
    <row r="5" spans="1:10" s="148" customFormat="1" ht="17" customHeight="1" x14ac:dyDescent="0.2">
      <c r="A5" s="184" t="s">
        <v>6</v>
      </c>
      <c r="B5" s="185"/>
      <c r="C5" s="186"/>
      <c r="D5" s="187"/>
      <c r="E5" s="186"/>
      <c r="F5" s="188"/>
      <c r="G5" s="186"/>
      <c r="H5" s="189"/>
      <c r="I5" s="190"/>
      <c r="J5" s="190"/>
    </row>
  </sheetData>
  <mergeCells count="3">
    <mergeCell ref="B1:G1"/>
    <mergeCell ref="I1:J1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Portfolios</vt:lpstr>
      <vt:lpstr>Sheet1</vt:lpstr>
      <vt:lpstr>Risk-Metrics</vt:lpstr>
      <vt:lpstr>Factor Charts</vt:lpstr>
      <vt:lpstr>Assumptions</vt:lpstr>
      <vt:lpstr>Sheet4</vt:lpstr>
      <vt:lpstr>RAW WEIGHTS</vt:lpstr>
      <vt:lpstr>Sheet3</vt:lpstr>
      <vt:lpstr>Sheet2</vt:lpstr>
      <vt:lpstr>Sheet4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2025-06-21T09:00:34Z</dcterms:created>
  <dcterms:modified xsi:type="dcterms:W3CDTF">2025-06-28T16:43:05Z</dcterms:modified>
</cp:coreProperties>
</file>