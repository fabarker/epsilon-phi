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/epsilon-psi/epsilon-phi-core/src/python/epsilonPhi/core/reporting/"/>
    </mc:Choice>
  </mc:AlternateContent>
  <xr:revisionPtr revIDLastSave="0" documentId="13_ncr:1_{86582B5F-B302-1F41-8EA7-2F5FF1A2D7BD}" xr6:coauthVersionLast="47" xr6:coauthVersionMax="47" xr10:uidLastSave="{00000000-0000-0000-0000-000000000000}"/>
  <bookViews>
    <workbookView xWindow="3100" yWindow="500" windowWidth="33600" windowHeight="19040" activeTab="4" xr2:uid="{00000000-000D-0000-FFFF-FFFF00000000}"/>
  </bookViews>
  <sheets>
    <sheet name="Sheet" sheetId="1" r:id="rId1"/>
    <sheet name="Portfolios" sheetId="2" state="hidden" r:id="rId2"/>
    <sheet name="Risk-Metrics" sheetId="3" state="hidden" r:id="rId3"/>
    <sheet name="Factor Charts" sheetId="4" state="hidden" r:id="rId4"/>
    <sheet name="Assumptions" sheetId="5" r:id="rId5"/>
    <sheet name="RAW WEIGHTS" sheetId="6" r:id="rId6"/>
    <sheet name="Sheet5" sheetId="11" r:id="rId7"/>
    <sheet name="Sheet3" sheetId="9" r:id="rId8"/>
    <sheet name="Sheet4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M5" i="9"/>
  <c r="M7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24" i="9"/>
  <c r="M25" i="9"/>
  <c r="M26" i="9"/>
  <c r="M28" i="9"/>
  <c r="M29" i="9"/>
  <c r="M30" i="9"/>
  <c r="M4" i="9"/>
  <c r="L5" i="9"/>
  <c r="L7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24" i="9"/>
  <c r="L25" i="9"/>
  <c r="L26" i="9"/>
  <c r="L28" i="9"/>
  <c r="L29" i="9"/>
  <c r="L30" i="9"/>
  <c r="L4" i="9"/>
  <c r="K5" i="9"/>
  <c r="K9" i="9"/>
  <c r="K10" i="9"/>
  <c r="K11" i="9"/>
  <c r="K12" i="9"/>
  <c r="K13" i="9"/>
  <c r="K14" i="9"/>
  <c r="K15" i="9"/>
  <c r="K16" i="9"/>
  <c r="K17" i="9"/>
  <c r="K18" i="9"/>
  <c r="K20" i="9"/>
  <c r="K21" i="9"/>
  <c r="K22" i="9"/>
  <c r="K24" i="9"/>
  <c r="K25" i="9"/>
  <c r="K26" i="9"/>
  <c r="K28" i="9"/>
  <c r="K29" i="9"/>
  <c r="K30" i="9"/>
  <c r="K4" i="9"/>
  <c r="E24" i="6"/>
  <c r="F24" i="6"/>
  <c r="G24" i="6"/>
  <c r="D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<sst xmlns="http://schemas.openxmlformats.org/spreadsheetml/2006/main" count="4509" uniqueCount="1318">
  <si>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</si>
  <si>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</si>
  <si>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</si>
  <si>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</si>
  <si>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</si>
  <si>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</si>
  <si>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</si>
  <si>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</si>
  <si>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</si>
  <si>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</si>
  <si>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</si>
  <si>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</si>
  <si>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</si>
  <si>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</si>
  <si>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</si>
  <si>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</si>
  <si>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</si>
  <si>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Income-Oriented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</si>
  <si>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</si>
  <si>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</si>
  <si>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</si>
  <si>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</si>
  <si>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</si>
  <si>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</si>
  <si>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</si>
  <si>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</si>
  <si>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</si>
  <si>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</si>
  <si>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</si>
  <si>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</si>
  <si>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</si>
  <si>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</si>
  <si>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</si>
  <si>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</si>
  <si>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</si>
  <si>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</si>
  <si>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</si>
  <si>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</si>
  <si>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</si>
  <si>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Core Real Estate and Infrastructure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</si>
  <si>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</si>
  <si>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</si>
  <si>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</si>
  <si>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</si>
  <si>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</si>
  <si>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</si>
  <si>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</si>
  <si>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</si>
  <si>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</si>
  <si>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</si>
  <si>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</si>
  <si>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</si>
  <si>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</si>
  <si>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</si>
  <si>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</si>
  <si>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</si>
  <si>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</si>
  <si>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</si>
  <si>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</si>
  <si>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</si>
  <si>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</si>
  <si>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</si>
  <si>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</si>
  <si>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</si>
  <si>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</si>
  <si>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</si>
  <si>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</si>
  <si>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</si>
  <si>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</si>
  <si>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</si>
  <si>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</si>
  <si>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</si>
  <si>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</si>
  <si>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</si>
  <si>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</si>
  <si>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</si>
  <si>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</si>
  <si>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</si>
  <si>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</si>
  <si>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</si>
  <si>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</si>
  <si>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</si>
  <si>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</si>
  <si>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</si>
  <si>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</si>
  <si>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</si>
  <si>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</si>
  <si>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</si>
  <si>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</si>
  <si>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</si>
  <si>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</si>
  <si>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</si>
  <si>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</si>
  <si>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</si>
  <si>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</si>
  <si>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</si>
  <si>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</si>
  <si>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</si>
  <si>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</si>
  <si>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</si>
  <si>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</si>
  <si>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</si>
  <si>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</si>
  <si>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</si>
  <si>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</si>
  <si>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</si>
  <si>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</si>
  <si>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</si>
  <si>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</si>
  <si>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</si>
  <si>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</si>
  <si>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</si>
  <si>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</si>
  <si>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</si>
  <si>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</si>
  <si>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</si>
  <si>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</si>
  <si>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</si>
  <si>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</si>
  <si>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</si>
  <si>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</si>
  <si>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PE_DISTRESSED</t>
  </si>
  <si>
    <t>PE_VENTURE</t>
  </si>
  <si>
    <t>PRIVATE_CREDIT</t>
  </si>
  <si>
    <t>PA_REAL_ESTATE</t>
  </si>
  <si>
    <t>PA_INFRA</t>
  </si>
  <si>
    <t>US High Yield Bonds</t>
  </si>
  <si>
    <t>LHUT1T3</t>
  </si>
  <si>
    <t>category</t>
  </si>
  <si>
    <t>Equity Index</t>
  </si>
  <si>
    <t>Russell 1000 (EOD) Growth</t>
  </si>
  <si>
    <t>Russell 1000 (EOD) Value</t>
  </si>
  <si>
    <t xml:space="preserve">Russell 2000 (EOD) </t>
  </si>
  <si>
    <t>MSCI Europe Excluding United Kingdom</t>
  </si>
  <si>
    <t>MSCI United Kingdom</t>
  </si>
  <si>
    <t>MSCI Japan</t>
  </si>
  <si>
    <t>MSCI Pacific Excluding Japan</t>
  </si>
  <si>
    <t>MSCI Emerging Markets United States Dollar</t>
  </si>
  <si>
    <t>Standard and Poor's Global Real Estate Investment Trusts (REITS)</t>
  </si>
  <si>
    <t>Fixed Income</t>
  </si>
  <si>
    <t xml:space="preserve">    Russell 1000 (EOD) Growth</t>
  </si>
  <si>
    <t xml:space="preserve">    Russell 1000 (EOD) Value</t>
  </si>
  <si>
    <t xml:space="preserve">    Russell 2000 (EOD) </t>
  </si>
  <si>
    <t xml:space="preserve">    MSCI Europe Excluding United Kingdom</t>
  </si>
  <si>
    <t xml:space="preserve">    MSCI United Kingdom</t>
  </si>
  <si>
    <t xml:space="preserve">    MSCI Japan</t>
  </si>
  <si>
    <t xml:space="preserve">    MSCI Pacific Excluding Japan</t>
  </si>
  <si>
    <t xml:space="preserve">    MSCI Emerging Markets United States Dollar</t>
  </si>
  <si>
    <t xml:space="preserve">    Standard and Poor's Global Real Estate Investment Trusts (REITS)</t>
  </si>
  <si>
    <t xml:space="preserve">    Bloomberg U.S. Treasury: Intermediate USD</t>
  </si>
  <si>
    <t xml:space="preserve">    Bloomberg U.S. Treasury: 1-3 Year USD</t>
  </si>
  <si>
    <t xml:space="preserve">    CREDIT SUISSE HEDGE EVENT DRIVEN $	</t>
  </si>
  <si>
    <t xml:space="preserve">    CREDIT SUISSE HEDGE LONG/SHORT EQTY$	</t>
  </si>
  <si>
    <t xml:space="preserve">    Tactical Trading</t>
  </si>
  <si>
    <t xml:space="preserve">    US High Yield</t>
  </si>
  <si>
    <t xml:space="preserve">    Private Credit</t>
  </si>
  <si>
    <t xml:space="preserve">    Private Real Estate</t>
  </si>
  <si>
    <t xml:space="preserve">    Infrastructure</t>
  </si>
  <si>
    <t xml:space="preserve">    Buyout</t>
  </si>
  <si>
    <t xml:space="preserve">    Distressed</t>
  </si>
  <si>
    <t xml:space="preserve">    Venture</t>
  </si>
  <si>
    <t xml:space="preserve">    Infrastructure Equity</t>
  </si>
  <si>
    <t>Lower Range</t>
  </si>
  <si>
    <t>Risk Premia
with Estimated Range</t>
  </si>
  <si>
    <t>Upper Range</t>
  </si>
  <si>
    <t>Estimated Mean Return
(2.5% Risk Free Rate)</t>
  </si>
  <si>
    <t>From</t>
  </si>
  <si>
    <t>To</t>
  </si>
  <si>
    <t>Modelling Dates</t>
  </si>
  <si>
    <t>ISG</t>
  </si>
  <si>
    <t>FB</t>
  </si>
  <si>
    <t>Diff</t>
  </si>
  <si>
    <t># uid</t>
  </si>
  <si>
    <t>ticker</t>
  </si>
  <si>
    <t>name</t>
  </si>
  <si>
    <t>region</t>
  </si>
  <si>
    <t>provider</t>
  </si>
  <si>
    <t>datasource</t>
  </si>
  <si>
    <t>symbol</t>
  </si>
  <si>
    <t>frequency</t>
  </si>
  <si>
    <t>AEROSWD</t>
  </si>
  <si>
    <t>World-Datastream Aerospace</t>
  </si>
  <si>
    <t>World</t>
  </si>
  <si>
    <t>Datastream</t>
  </si>
  <si>
    <t>AERSPWD</t>
  </si>
  <si>
    <t>World-Datastream Aerospace and Defence</t>
  </si>
  <si>
    <t>AIRLNWD</t>
  </si>
  <si>
    <t>World-Datastream Airlines</t>
  </si>
  <si>
    <t>ALTELWD</t>
  </si>
  <si>
    <t>World-Datastream Alternative Electricity</t>
  </si>
  <si>
    <t>ALTENWD</t>
  </si>
  <si>
    <t>World-Datastream Alternative Energy</t>
  </si>
  <si>
    <t>ALTFLWD</t>
  </si>
  <si>
    <t>World-Datastream Alternative Fuels</t>
  </si>
  <si>
    <t>ALUMNWD</t>
  </si>
  <si>
    <t>World-Datastream Aluminum</t>
  </si>
  <si>
    <t>APRETWD</t>
  </si>
  <si>
    <t>World-Datastream Apparel Retailer</t>
  </si>
  <si>
    <t>ASSETWD</t>
  </si>
  <si>
    <t>World-Datastream Asset Managers and Custodians</t>
  </si>
  <si>
    <t>AUPRTWD</t>
  </si>
  <si>
    <t>World-Datastream Auto Parts</t>
  </si>
  <si>
    <t>AUSVSWD</t>
  </si>
  <si>
    <t>World-Datastream Auto Services</t>
  </si>
  <si>
    <t>AUTMBWD</t>
  </si>
  <si>
    <t>World-Datastream Automobiles and Parts</t>
  </si>
  <si>
    <t>AUTOSWD</t>
  </si>
  <si>
    <t>World-Datastream Automobiles</t>
  </si>
  <si>
    <t>BANKSWD</t>
  </si>
  <si>
    <t>World-Datastream Banks</t>
  </si>
  <si>
    <t>BEVESWD</t>
  </si>
  <si>
    <t>World-Datastream Beverages</t>
  </si>
  <si>
    <t>BIOTCWD</t>
  </si>
  <si>
    <t>World-Datastream Biotechnology</t>
  </si>
  <si>
    <t>BLDCCWD</t>
  </si>
  <si>
    <t>World-Datastream Building: Climate Control</t>
  </si>
  <si>
    <t>BLDRPWD</t>
  </si>
  <si>
    <t>World-Datastream Building, Roofing/Wallboard and Plumbing</t>
  </si>
  <si>
    <t>BMATRWD</t>
  </si>
  <si>
    <t>World-Datastream Basic Materials</t>
  </si>
  <si>
    <t>BMATSWD</t>
  </si>
  <si>
    <t>World-Datastream Building Materials : Other</t>
  </si>
  <si>
    <t>BRESRWD</t>
  </si>
  <si>
    <t>World-Datastream Basic Resources</t>
  </si>
  <si>
    <t>BREWSWD</t>
  </si>
  <si>
    <t>World-Datastream Brewers</t>
  </si>
  <si>
    <t>BUSTEWD</t>
  </si>
  <si>
    <t>World-Datastream Business Training and Employment Agencies</t>
  </si>
  <si>
    <t>CABTVWD</t>
  </si>
  <si>
    <t>World-Datastream Cable Television Services</t>
  </si>
  <si>
    <t>CEINVWD</t>
  </si>
  <si>
    <t xml:space="preserve">World-Datastream Closed End Investment </t>
  </si>
  <si>
    <t>CEMNTWD</t>
  </si>
  <si>
    <t>World-Datastream Cement</t>
  </si>
  <si>
    <t>CHEMSWD</t>
  </si>
  <si>
    <t>World-Datastream Chemicals : Diversified</t>
  </si>
  <si>
    <t>CHMCLWD</t>
  </si>
  <si>
    <t>World-Datastream Chemicals</t>
  </si>
  <si>
    <t>CHMSFWD</t>
  </si>
  <si>
    <t>World-Datastream Chemicals and Synthetic Fibers</t>
  </si>
  <si>
    <t>CHMSPWD</t>
  </si>
  <si>
    <t>World-Datastream Specialty Chemicals</t>
  </si>
  <si>
    <t>CLTHGWD</t>
  </si>
  <si>
    <t>World-Datastream Clothing, Accessories</t>
  </si>
  <si>
    <t>CMPSVWD</t>
  </si>
  <si>
    <t>World-Datastream Computer Services</t>
  </si>
  <si>
    <t>CMTICWD</t>
  </si>
  <si>
    <t>World-Datastream Cosmetics</t>
  </si>
  <si>
    <t>CNELEWD</t>
  </si>
  <si>
    <t>World-Datastream Consumer Electronics</t>
  </si>
  <si>
    <t>CNSTMWD</t>
  </si>
  <si>
    <t>World-Datastream Construction and Materials</t>
  </si>
  <si>
    <t>CNSVSWD</t>
  </si>
  <si>
    <t>World-Datastream Consumer Services</t>
  </si>
  <si>
    <t>CNVELWD</t>
  </si>
  <si>
    <t>World-Datastream Conventional Electricity</t>
  </si>
  <si>
    <t>COALMWD</t>
  </si>
  <si>
    <t>World-Datastream Coal</t>
  </si>
  <si>
    <t>CODGTWD</t>
  </si>
  <si>
    <t>World-Datastream Consumer Digital Services</t>
  </si>
  <si>
    <t>CODISWD</t>
  </si>
  <si>
    <t>World-Datastream Consumer Discretionary</t>
  </si>
  <si>
    <t>COLNDWD</t>
  </si>
  <si>
    <t>World-Datastream Consumer Lending</t>
  </si>
  <si>
    <t>COMMVWD</t>
  </si>
  <si>
    <t>World-Datastream Commercial Vehicles and Parts</t>
  </si>
  <si>
    <t>COMPHWD</t>
  </si>
  <si>
    <t>World-Datastream Computer Hardware</t>
  </si>
  <si>
    <t>COMVLWD</t>
  </si>
  <si>
    <t>World-Datastream Commercial Vehicle-Equipment Leasing</t>
  </si>
  <si>
    <t>CONPKWD</t>
  </si>
  <si>
    <t>World-Datastream Container and Packaging</t>
  </si>
  <si>
    <t>CONPSWD</t>
  </si>
  <si>
    <t>World-Datastream Consumer Products, Services</t>
  </si>
  <si>
    <t>CONSTWD</t>
  </si>
  <si>
    <t>World-Datastream Construction</t>
  </si>
  <si>
    <t>COPERWD</t>
  </si>
  <si>
    <t>World-Datastream Copper</t>
  </si>
  <si>
    <t>COSTPWD</t>
  </si>
  <si>
    <t>World-Datastream Consumer Staples</t>
  </si>
  <si>
    <t>COSVMWD</t>
  </si>
  <si>
    <t>World-Datastream Consumer Services: Misc.</t>
  </si>
  <si>
    <t>DEFENWD</t>
  </si>
  <si>
    <t>World-Datastream Defense</t>
  </si>
  <si>
    <t>DELSVWD</t>
  </si>
  <si>
    <t>World-Datastream Delivery Service</t>
  </si>
  <si>
    <t>DGRETWD</t>
  </si>
  <si>
    <t>World-Datastream Drug Retailers</t>
  </si>
  <si>
    <t>DIAMDWD</t>
  </si>
  <si>
    <t>World-Datastream Diamonds and Gemstones</t>
  </si>
  <si>
    <t>DISTVWD</t>
  </si>
  <si>
    <t>World-Datastream Distillers and Vintners</t>
  </si>
  <si>
    <t>DIVFSWD</t>
  </si>
  <si>
    <t>World-Datastream Diversified Financial Services</t>
  </si>
  <si>
    <t>DIVINWD</t>
  </si>
  <si>
    <t>World-Datastream Diversified Industrials</t>
  </si>
  <si>
    <t>DVMATWD</t>
  </si>
  <si>
    <t>World-Datastream Diversified Materials</t>
  </si>
  <si>
    <t>DVRETWD</t>
  </si>
  <si>
    <t>World-Datastream Diversified Retailers</t>
  </si>
  <si>
    <t>EDSVSWD</t>
  </si>
  <si>
    <t>World-Datastream Education Services</t>
  </si>
  <si>
    <t>ELCLCWD</t>
  </si>
  <si>
    <t>World-Datastream Electrical Components</t>
  </si>
  <si>
    <t>ELECFWD</t>
  </si>
  <si>
    <t>World-Datastream Electronic Equipment: Control and Filter</t>
  </si>
  <si>
    <t>ELECTWD</t>
  </si>
  <si>
    <t>World-Datastream Electricity</t>
  </si>
  <si>
    <t>ELEGMWD</t>
  </si>
  <si>
    <t>World-Datastream Electronic Equipment: Gauges and Meters</t>
  </si>
  <si>
    <t>ELENTWD</t>
  </si>
  <si>
    <t>World-Datastream Electronic Entertainment</t>
  </si>
  <si>
    <t>ELEOTWD</t>
  </si>
  <si>
    <t>World-Datastream Electronic Equipment: Other</t>
  </si>
  <si>
    <t>ELEPCWD</t>
  </si>
  <si>
    <t>World-Datastream Electronic Equipment: Pollution Control</t>
  </si>
  <si>
    <t>ELTCCWD</t>
  </si>
  <si>
    <t>World-Datastream Electronic Components</t>
  </si>
  <si>
    <t>ELTNCWD</t>
  </si>
  <si>
    <t>World-Datastream Electronic and Electrical Equipment</t>
  </si>
  <si>
    <t>ENEGYWD</t>
  </si>
  <si>
    <t>World-Datastream Energy</t>
  </si>
  <si>
    <t>ENGCSWD</t>
  </si>
  <si>
    <t>World-Datastream Engineering and Contracting Services</t>
  </si>
  <si>
    <t>ENTMTWD</t>
  </si>
  <si>
    <t>World-Datastream Entertainment</t>
  </si>
  <si>
    <t>FDBEVWD</t>
  </si>
  <si>
    <t>World-Datastream Food, Beverage and Tobacco</t>
  </si>
  <si>
    <t>FDPRDWD</t>
  </si>
  <si>
    <t>World-Datastream Food Products</t>
  </si>
  <si>
    <t>FDRETWD</t>
  </si>
  <si>
    <t>World-Datastream Food Retailers and Wholesalers</t>
  </si>
  <si>
    <t>FGPRCWD</t>
  </si>
  <si>
    <t>World-Datastream Fruit and Grain Processing</t>
  </si>
  <si>
    <t>FINANWD</t>
  </si>
  <si>
    <t>World-Datastream Financials</t>
  </si>
  <si>
    <t>FINCSWD</t>
  </si>
  <si>
    <t>World-Datastream Finance and Credit Services</t>
  </si>
  <si>
    <t>FINDPWD</t>
  </si>
  <si>
    <t>World-Datastream Financial Data Providers</t>
  </si>
  <si>
    <t>FINSVWD</t>
  </si>
  <si>
    <t>World-Datastream Financial Services</t>
  </si>
  <si>
    <t>FLINSWD</t>
  </si>
  <si>
    <t>World-Datastream Full Line Insurance</t>
  </si>
  <si>
    <t>FMFSHWD</t>
  </si>
  <si>
    <t>World-Datastream Farming, Fishing, Ranching and Plantations</t>
  </si>
  <si>
    <t>FOODSWD</t>
  </si>
  <si>
    <t>World-Datastream Food Producers</t>
  </si>
  <si>
    <t>FOOTWWD</t>
  </si>
  <si>
    <t>World-Datastream Footwear</t>
  </si>
  <si>
    <t>FORMSWD</t>
  </si>
  <si>
    <t>World-Datastream Forms and Bulk Printing Services</t>
  </si>
  <si>
    <t>FORSTWD</t>
  </si>
  <si>
    <t>World-Datastream Forestry</t>
  </si>
  <si>
    <t>FRTLZWD</t>
  </si>
  <si>
    <t>World-Datastream Fertilizers</t>
  </si>
  <si>
    <t>FUNRLWD</t>
  </si>
  <si>
    <t>World-Datastream Funeral Parlors and Cemetery</t>
  </si>
  <si>
    <t>FURNSWD</t>
  </si>
  <si>
    <t>World-Datastream Household Furnishing</t>
  </si>
  <si>
    <t>GAMNGWD</t>
  </si>
  <si>
    <t>World-Datastream Casinos / Gambling</t>
  </si>
  <si>
    <t>GASDSWD</t>
  </si>
  <si>
    <t>World-Datastream Gas Distribution</t>
  </si>
  <si>
    <t>GLASSWD</t>
  </si>
  <si>
    <t>World-Datastream Glass</t>
  </si>
  <si>
    <t>GNINDWD</t>
  </si>
  <si>
    <t>World-Datastream General Industrials</t>
  </si>
  <si>
    <t>GOLDSWD</t>
  </si>
  <si>
    <t>World-Datastream Gold Mining</t>
  </si>
  <si>
    <t>GPRR50E</t>
  </si>
  <si>
    <t>GPR 250 Real Estate Investment Trusts (REITS) Europe United States Dollar</t>
  </si>
  <si>
    <t>Europe</t>
  </si>
  <si>
    <t>Global Property Research</t>
  </si>
  <si>
    <t>GPRR50G</t>
  </si>
  <si>
    <t>GPR 250 Real Estate Investment Trusts (REITS) World United States Dollar</t>
  </si>
  <si>
    <t>GPRR50U</t>
  </si>
  <si>
    <t>GPR 250 Real Estate Investment Trusts (REITS) Americas United States Dollar</t>
  </si>
  <si>
    <t>Americas</t>
  </si>
  <si>
    <t>GPRRAL$</t>
  </si>
  <si>
    <t>GPR 250 Real Estate Investment Trusts (REITS) Australia (United States Dollar)</t>
  </si>
  <si>
    <t>Australia</t>
  </si>
  <si>
    <t>GPRRALE</t>
  </si>
  <si>
    <t>GPR 250 Real Estate Investment Trusts (REITS) Australia (Euro)</t>
  </si>
  <si>
    <t>GPRRALL</t>
  </si>
  <si>
    <t>GPR 250 Real Estate Investment Trusts (REITS) Australia</t>
  </si>
  <si>
    <t>GPRRAME</t>
  </si>
  <si>
    <t>GPR 250 Real Estate Investment Trusts (REITS) Americas Euro</t>
  </si>
  <si>
    <t>GPRRAML</t>
  </si>
  <si>
    <t>GPR 250 Real Estate Investment Trusts (REITS) Americas</t>
  </si>
  <si>
    <t>GPRRCNL</t>
  </si>
  <si>
    <t>GPR 250 Real Estate Investment Trusts (REITS) Canada</t>
  </si>
  <si>
    <t>Canada</t>
  </si>
  <si>
    <t>GPRREUE</t>
  </si>
  <si>
    <t>GPR 250 Real Estate Investment Trusts (REITS) Europe Euro</t>
  </si>
  <si>
    <t>GPRREUL</t>
  </si>
  <si>
    <t>GPR 250 Real Estate Investment Trusts (REITS) Europe</t>
  </si>
  <si>
    <t>GPRRGLE</t>
  </si>
  <si>
    <t>GPR 250 Real Estate Investment Trusts (REITS) World (Euro)</t>
  </si>
  <si>
    <t>GPRRGLL</t>
  </si>
  <si>
    <t>GPR 250 Real Estate Investment Trusts (REITS) World</t>
  </si>
  <si>
    <t>GPRRGY$</t>
  </si>
  <si>
    <t>GPR 250 Real Estate Investment Trusts (REITS) Germany United States Dollar</t>
  </si>
  <si>
    <t>Germany</t>
  </si>
  <si>
    <t>GPRRGYE</t>
  </si>
  <si>
    <t>GPR 250 Real Estate Investment Trusts (REITS) Germany Euro</t>
  </si>
  <si>
    <t>GPRRGYL</t>
  </si>
  <si>
    <t>GPR 250 Real Estate Investment Trusts (REITS) Germany</t>
  </si>
  <si>
    <t>GPRRNTE</t>
  </si>
  <si>
    <t>GPR 250 Real Estate Investment Trusts (REITS) Netherlands (Euro)</t>
  </si>
  <si>
    <t>Netherlands</t>
  </si>
  <si>
    <t>GPRRNTL</t>
  </si>
  <si>
    <t>GPR 250 Real Estate Investment Trusts (REITS) Netherlands</t>
  </si>
  <si>
    <t>GPRRNZ$</t>
  </si>
  <si>
    <t>GPR 250 Real Estate Investment Trusts (REITS) New Zealand (United States Dollar)</t>
  </si>
  <si>
    <t>New Zealand</t>
  </si>
  <si>
    <t>GPRRNZE</t>
  </si>
  <si>
    <t>GPR 250 Real Estate Investment Trusts (REITS) New Zealand (Euro)</t>
  </si>
  <si>
    <t>GPRRNZL</t>
  </si>
  <si>
    <t>GPR 250 Real Estate Investment Trusts (REITS) New Zealand</t>
  </si>
  <si>
    <t>GPRROCE</t>
  </si>
  <si>
    <t>GPR 250 Real Estate Investment Trusts (REITS) Oceania Euro</t>
  </si>
  <si>
    <t>Oceania</t>
  </si>
  <si>
    <t>GPRROCL</t>
  </si>
  <si>
    <t>GPR 250 Real Estate Investment Trusts (REITS) Oceania</t>
  </si>
  <si>
    <t>GPRRUS$</t>
  </si>
  <si>
    <t>GPR 250 Real Estate Investment Trusts (REITS) United States (United States Dollar)</t>
  </si>
  <si>
    <t>United States</t>
  </si>
  <si>
    <t>GPRRUSE</t>
  </si>
  <si>
    <t>GPR 250 Real Estate Investment Trusts (REITS) United States (Euro)</t>
  </si>
  <si>
    <t>GPRRUSL</t>
  </si>
  <si>
    <t>GPR 250 Real Estate Investment Trusts (REITS) United States</t>
  </si>
  <si>
    <t>GWMUTWD</t>
  </si>
  <si>
    <t>World-Datastream Gas, Water, Multi</t>
  </si>
  <si>
    <t>HCFACWD</t>
  </si>
  <si>
    <t>World-Datastream Health Care Facilities</t>
  </si>
  <si>
    <t>HHAPLWD</t>
  </si>
  <si>
    <t>World-Datastream Household Appliance</t>
  </si>
  <si>
    <t>HHEQPWD</t>
  </si>
  <si>
    <t>World-Datastream Household Equipment and Products</t>
  </si>
  <si>
    <t>HHOLDWD</t>
  </si>
  <si>
    <t>World-Datastream Household Goods, Home Construction</t>
  </si>
  <si>
    <t>HIMPRWD</t>
  </si>
  <si>
    <t>World-Datastream Home Improvements Retail</t>
  </si>
  <si>
    <t>HLTHCWD</t>
  </si>
  <si>
    <t>World-Datastream Health Care</t>
  </si>
  <si>
    <t>HLTMCWD</t>
  </si>
  <si>
    <t>World-Datastream Health Care: Misc.</t>
  </si>
  <si>
    <t>HLTMSWD</t>
  </si>
  <si>
    <t>World-Datastream Health Care Management Services</t>
  </si>
  <si>
    <t>HLTPRWD</t>
  </si>
  <si>
    <t>World-Datastream Health Care Providers</t>
  </si>
  <si>
    <t>HLTSVWD</t>
  </si>
  <si>
    <t>World-Datastream Health Care Services</t>
  </si>
  <si>
    <t>HOMESWD</t>
  </si>
  <si>
    <t>World-Datastream Home Construction</t>
  </si>
  <si>
    <t>HOTELWD</t>
  </si>
  <si>
    <t>World-Datastream Hotels and Motels</t>
  </si>
  <si>
    <t>IMACHWD</t>
  </si>
  <si>
    <t>World-Datastream Machinery: Industrial</t>
  </si>
  <si>
    <t>INDENWD</t>
  </si>
  <si>
    <t>World-Datastream Industrial Engineering</t>
  </si>
  <si>
    <t>INDGSWD</t>
  </si>
  <si>
    <t>World-Datastream Industrial Goods and Services</t>
  </si>
  <si>
    <t>INDMTWD</t>
  </si>
  <si>
    <t>World-Datastream Industrial Metals and Mining</t>
  </si>
  <si>
    <t>INDTRWD</t>
  </si>
  <si>
    <t>World-Datastream Industrial Transportation</t>
  </si>
  <si>
    <t>INDUSWD</t>
  </si>
  <si>
    <t>World-Datastream Industrials</t>
  </si>
  <si>
    <t>INMATWD</t>
  </si>
  <si>
    <t>World-Datastream Industrial Materials</t>
  </si>
  <si>
    <t>INSBRWD</t>
  </si>
  <si>
    <t>World-Datastream Insurance Brokers</t>
  </si>
  <si>
    <t>INSUPWD</t>
  </si>
  <si>
    <t>World-Datastream Industrial Suppliers</t>
  </si>
  <si>
    <t>INSURWD</t>
  </si>
  <si>
    <t>World-Datastream Insurance</t>
  </si>
  <si>
    <t>INVBBWD</t>
  </si>
  <si>
    <t>World-Datastream Investment Banking and Brokerage Services</t>
  </si>
  <si>
    <t>INVNKWD</t>
  </si>
  <si>
    <t xml:space="preserve">World-Datastream Investment Companies </t>
  </si>
  <si>
    <t>INVSVWD</t>
  </si>
  <si>
    <t>World-Datastream Investment Services</t>
  </si>
  <si>
    <t>ITINTWD</t>
  </si>
  <si>
    <t>World-Datastream Investment Trust</t>
  </si>
  <si>
    <t>LEISGWD</t>
  </si>
  <si>
    <t>World-Datastream Leisure Goods</t>
  </si>
  <si>
    <t>LFINSWD</t>
  </si>
  <si>
    <t>World-Datastream Life Insurance</t>
  </si>
  <si>
    <t>LUXITWD</t>
  </si>
  <si>
    <t>World-Datastream Luxury Items</t>
  </si>
  <si>
    <t>MARINWD</t>
  </si>
  <si>
    <t>World-Datastream Marine Transportation</t>
  </si>
  <si>
    <t>MCHAGWD</t>
  </si>
  <si>
    <t xml:space="preserve">World-Datastream Machinery : Agricultural </t>
  </si>
  <si>
    <t>MCHCHWD</t>
  </si>
  <si>
    <t>World-Datastream Machinery: Construction and Handling</t>
  </si>
  <si>
    <t>MCHENWD</t>
  </si>
  <si>
    <t>World-Datastream Machinery: Engines</t>
  </si>
  <si>
    <t>MCHSPWD</t>
  </si>
  <si>
    <t>World-Datastream Machinery: Specialty</t>
  </si>
  <si>
    <t>MCHTLWD</t>
  </si>
  <si>
    <t>World-Datastream Machinery : Tools</t>
  </si>
  <si>
    <t>MEDAGWD</t>
  </si>
  <si>
    <t>World-Datastream Media Agencies</t>
  </si>
  <si>
    <t>MEDEQWD</t>
  </si>
  <si>
    <t>World-Datastream Medical Equipment</t>
  </si>
  <si>
    <t>MEDESWD</t>
  </si>
  <si>
    <t>World-Datastream Medical Equipment and Services</t>
  </si>
  <si>
    <t>MEDIAWD</t>
  </si>
  <si>
    <t>World-Datastream Media</t>
  </si>
  <si>
    <t>MEDSPWD</t>
  </si>
  <si>
    <t>World-Datastream Medical Supplies</t>
  </si>
  <si>
    <t>MEDSVWD</t>
  </si>
  <si>
    <t>World-Datastream Medical Services</t>
  </si>
  <si>
    <t>METFBWD</t>
  </si>
  <si>
    <t>World-Datastream Metal Fabricating</t>
  </si>
  <si>
    <t>MINESWD</t>
  </si>
  <si>
    <t>World-Datastream General Mining</t>
  </si>
  <si>
    <t>MJPRDWD</t>
  </si>
  <si>
    <t>World-Datastream Cannabis Products</t>
  </si>
  <si>
    <t>MORTFWD</t>
  </si>
  <si>
    <t>World-Datastream Mortgage Finance</t>
  </si>
  <si>
    <t>MSAAPF$</t>
  </si>
  <si>
    <t>MSCI All Country Asia Pacific United States Dollar</t>
  </si>
  <si>
    <t>AC Asia Pacific</t>
  </si>
  <si>
    <t>MSCI</t>
  </si>
  <si>
    <t>MSAAPFL</t>
  </si>
  <si>
    <t>MSCI All Country Asia Pacific</t>
  </si>
  <si>
    <t>MSAASF$</t>
  </si>
  <si>
    <t>MSCI All Country Asia United States Dollar</t>
  </si>
  <si>
    <t>AC Asia</t>
  </si>
  <si>
    <t>MSAASFL</t>
  </si>
  <si>
    <t>MSCI All Country Asia</t>
  </si>
  <si>
    <t>MSACWF$</t>
  </si>
  <si>
    <t>MSCI All Country World United States Dollar</t>
  </si>
  <si>
    <t>AC World</t>
  </si>
  <si>
    <t>MSACWFL</t>
  </si>
  <si>
    <t>MSCI All Country World</t>
  </si>
  <si>
    <t>MSAEME$</t>
  </si>
  <si>
    <t>MSCI All Country Europe + Middle East United States Dollar</t>
  </si>
  <si>
    <t>AC Europe and Middle East</t>
  </si>
  <si>
    <t>MSAEMEL</t>
  </si>
  <si>
    <t>MSCI All Country Europe and Middle East</t>
  </si>
  <si>
    <t>MSAFXJ$</t>
  </si>
  <si>
    <t>MSCI All Country Asia Pacific Excluding Japan United States Dollar</t>
  </si>
  <si>
    <t>AC Asia Pacific ex-Japan</t>
  </si>
  <si>
    <t>MSAFXJL</t>
  </si>
  <si>
    <t>MSCI All Country Asia Pacific Excluding Japan</t>
  </si>
  <si>
    <t>MSASTR$</t>
  </si>
  <si>
    <t>MSCI Austria United States Dollar</t>
  </si>
  <si>
    <t>Austria</t>
  </si>
  <si>
    <t>MSASTRL</t>
  </si>
  <si>
    <t>MSCI Austria</t>
  </si>
  <si>
    <t>MSASXJ$</t>
  </si>
  <si>
    <t>MSCI All Country Asia Excluding Japan United States Dollar</t>
  </si>
  <si>
    <t>AC Asia ex-Japan</t>
  </si>
  <si>
    <t>MSASXJL</t>
  </si>
  <si>
    <t>MSCI All Country Asia Excluding Japan</t>
  </si>
  <si>
    <t>AC Asia ex Japan</t>
  </si>
  <si>
    <t>MSAUST$</t>
  </si>
  <si>
    <t>MSCI Australia United States Dollar</t>
  </si>
  <si>
    <t>MSAUSTL</t>
  </si>
  <si>
    <t>MSCI Australia</t>
  </si>
  <si>
    <t>MSBELG$</t>
  </si>
  <si>
    <t>MSCI Belgium United States Dollar</t>
  </si>
  <si>
    <t>Belgium</t>
  </si>
  <si>
    <t>MSBELGL</t>
  </si>
  <si>
    <t>MSCI Belgium</t>
  </si>
  <si>
    <t>MSBRAZ$</t>
  </si>
  <si>
    <t>MSCI Brazil United States Dollar</t>
  </si>
  <si>
    <t>Brazil</t>
  </si>
  <si>
    <t>MSBRAZL</t>
  </si>
  <si>
    <t>MSCI Brazil</t>
  </si>
  <si>
    <t>MSCFEF$</t>
  </si>
  <si>
    <t>MSCI All Country Far East United States Dollar</t>
  </si>
  <si>
    <t>AC Far East</t>
  </si>
  <si>
    <t>MSCFEFL</t>
  </si>
  <si>
    <t>MSCI All Country Far East</t>
  </si>
  <si>
    <t>MSCHIL$</t>
  </si>
  <si>
    <t>MSCI Chile United States Dollar</t>
  </si>
  <si>
    <t>Chile</t>
  </si>
  <si>
    <t>MSCHILL</t>
  </si>
  <si>
    <t>MSCI Chile</t>
  </si>
  <si>
    <t>MSCHIN$</t>
  </si>
  <si>
    <t>MSCI China United States Dollar</t>
  </si>
  <si>
    <t>China</t>
  </si>
  <si>
    <t>MSCHINL</t>
  </si>
  <si>
    <t>MSCI China</t>
  </si>
  <si>
    <t>MSCMAF$</t>
  </si>
  <si>
    <t>MSCI All Country Americas United States Dollar</t>
  </si>
  <si>
    <t>AC Americas</t>
  </si>
  <si>
    <t>MSCMAFL</t>
  </si>
  <si>
    <t>MSCI All Country Americas</t>
  </si>
  <si>
    <t>MSCNDA$</t>
  </si>
  <si>
    <t>MSCI Canada United States Dollar</t>
  </si>
  <si>
    <t>MSCNDAL</t>
  </si>
  <si>
    <t>MSCI Canada</t>
  </si>
  <si>
    <t>MSCOLM$</t>
  </si>
  <si>
    <t>MSCI Colombia United States Dollar</t>
  </si>
  <si>
    <t>Colombia</t>
  </si>
  <si>
    <t>MSCOLML</t>
  </si>
  <si>
    <t>MSCI Colombia</t>
  </si>
  <si>
    <t>MSCPAF$</t>
  </si>
  <si>
    <t>MSCI All Country Pacific United States Dollar</t>
  </si>
  <si>
    <t>AC Pacific</t>
  </si>
  <si>
    <t>MSCPAFL</t>
  </si>
  <si>
    <t>MSCI All Country Pacific</t>
  </si>
  <si>
    <t>MSCSGWD</t>
  </si>
  <si>
    <t>World-Datastream Miscellaneous Consumer Staple Goods</t>
  </si>
  <si>
    <t>MSCZCH$</t>
  </si>
  <si>
    <t>MSCI Czech Republic Republic United States Dollar</t>
  </si>
  <si>
    <t>Czech Republic</t>
  </si>
  <si>
    <t>MSCZCHL</t>
  </si>
  <si>
    <t>MSCI Czech Republic Republic</t>
  </si>
  <si>
    <t>MSDNMK$</t>
  </si>
  <si>
    <t>MSCI Denmark United States Dollar</t>
  </si>
  <si>
    <t>Denmark</t>
  </si>
  <si>
    <t>MSDNMKL</t>
  </si>
  <si>
    <t>MSCI Denmark</t>
  </si>
  <si>
    <t>MSEAFE$</t>
  </si>
  <si>
    <t>MSCI EAFE United States Dollar</t>
  </si>
  <si>
    <t>EAFE</t>
  </si>
  <si>
    <t>MSEAFEL</t>
  </si>
  <si>
    <t>MSCI EAFE</t>
  </si>
  <si>
    <t>MSECOM$</t>
  </si>
  <si>
    <t>MSCI European Union United States Dollar</t>
  </si>
  <si>
    <t>European Union</t>
  </si>
  <si>
    <t>MSECOML</t>
  </si>
  <si>
    <t>MSCI European Union</t>
  </si>
  <si>
    <t>MSEEUR$</t>
  </si>
  <si>
    <t>MSCI Emerging Markets Europe United States Dollar</t>
  </si>
  <si>
    <t>EM Europe</t>
  </si>
  <si>
    <t>MSEEURL</t>
  </si>
  <si>
    <t>MSCI Emerging Markets Europe</t>
  </si>
  <si>
    <t>MSEFLA$</t>
  </si>
  <si>
    <t>MSCI Emerging Markets Latin America United States Dollar</t>
  </si>
  <si>
    <t>EM Latin America</t>
  </si>
  <si>
    <t>MSEFLAL</t>
  </si>
  <si>
    <t>MSCI Emerging Markets Latin America</t>
  </si>
  <si>
    <t>MSEGYT$</t>
  </si>
  <si>
    <t>MSCI Egypt United States Dollar</t>
  </si>
  <si>
    <t>Egypt</t>
  </si>
  <si>
    <t>MSEGYTL</t>
  </si>
  <si>
    <t>MSCI Egypt</t>
  </si>
  <si>
    <t>MSEIRE$</t>
  </si>
  <si>
    <t>MSCI Ireland United States Dollar</t>
  </si>
  <si>
    <t>Ireland</t>
  </si>
  <si>
    <t>MSEIREL</t>
  </si>
  <si>
    <t>MSCI Ireland</t>
  </si>
  <si>
    <t>MSEMEA$</t>
  </si>
  <si>
    <t>MSCI Emerging Markets Europe + Middle East United States Dollar</t>
  </si>
  <si>
    <t>EM Europe and Middle East</t>
  </si>
  <si>
    <t>MSEMEAL</t>
  </si>
  <si>
    <t>MSCI Emerging Markets Europe and Middle East</t>
  </si>
  <si>
    <t>MSEMFA$</t>
  </si>
  <si>
    <t>MSCI Emerging Markets Asia United States Dollar</t>
  </si>
  <si>
    <t>EM Asia</t>
  </si>
  <si>
    <t>MSEMFAL</t>
  </si>
  <si>
    <t>MSCI Emerging Markets Asia</t>
  </si>
  <si>
    <t>Emerging Markets</t>
  </si>
  <si>
    <t>MSEMKFL</t>
  </si>
  <si>
    <t>MSCI Emerging Markets</t>
  </si>
  <si>
    <t>MSEMUI$</t>
  </si>
  <si>
    <t>MSCI Economic and Monetary Union (EMU) United States Dollar</t>
  </si>
  <si>
    <t>Eurozone</t>
  </si>
  <si>
    <t>MSEMUIL</t>
  </si>
  <si>
    <t>MSCI Economic and Monetary Union (EMU)</t>
  </si>
  <si>
    <t>MSEROP$</t>
  </si>
  <si>
    <t>MSCI Europe United States Dollar</t>
  </si>
  <si>
    <t>MSEROPL</t>
  </si>
  <si>
    <t>MSCI Europe</t>
  </si>
  <si>
    <t>MSEURO$</t>
  </si>
  <si>
    <t>MSCI All Country Europe United States Dollar</t>
  </si>
  <si>
    <t>AC Europe</t>
  </si>
  <si>
    <t>MSEUROL</t>
  </si>
  <si>
    <t>MSCI All Country Europe</t>
  </si>
  <si>
    <t>MSEXUK$</t>
  </si>
  <si>
    <t>MSCI Europe Excluding United Kingdom United States Dollar</t>
  </si>
  <si>
    <t>Europe ex-UK</t>
  </si>
  <si>
    <t>MSFIND$</t>
  </si>
  <si>
    <t>MSCI Finland United States Dollar</t>
  </si>
  <si>
    <t>Finland</t>
  </si>
  <si>
    <t>MSFINDL</t>
  </si>
  <si>
    <t>MSCI Finland</t>
  </si>
  <si>
    <t>MSFRNC$</t>
  </si>
  <si>
    <t>MSCI France United States Dollar</t>
  </si>
  <si>
    <t>France</t>
  </si>
  <si>
    <t>MSFRNCL</t>
  </si>
  <si>
    <t>MSCI France</t>
  </si>
  <si>
    <t>MSFXEA$</t>
  </si>
  <si>
    <t>MSCI EAFE FX Hedge United States Dollar</t>
  </si>
  <si>
    <t>MSFXPC$</t>
  </si>
  <si>
    <t>MSCI Pacific FX Hedge United States Dollar</t>
  </si>
  <si>
    <t>Pacific</t>
  </si>
  <si>
    <t>MSFXUR$</t>
  </si>
  <si>
    <t>MSCI Europe FX Hedge United States Dollar</t>
  </si>
  <si>
    <t>MSGEAF$</t>
  </si>
  <si>
    <t>MSCI EAFE Growth United States Dollar</t>
  </si>
  <si>
    <t>MSGEAFL</t>
  </si>
  <si>
    <t>MSCI EAFE Growth</t>
  </si>
  <si>
    <t>MSGERM$</t>
  </si>
  <si>
    <t>MSCI Germany United States Dollar</t>
  </si>
  <si>
    <t>MSGERML</t>
  </si>
  <si>
    <t>MSCI Germany</t>
  </si>
  <si>
    <t>MSGEUR$</t>
  </si>
  <si>
    <t>MSCI Europe Growth United States Dollar</t>
  </si>
  <si>
    <t>MSGEURL</t>
  </si>
  <si>
    <t>MSCI Europe Growth</t>
  </si>
  <si>
    <t>MSGEUX$</t>
  </si>
  <si>
    <t>MSCI Europe Excluding United Kingdom Growth United States Dollar</t>
  </si>
  <si>
    <t>MSGEUXL</t>
  </si>
  <si>
    <t>MSCI Europe Excluding United Kingdom Growth</t>
  </si>
  <si>
    <t>MSGPAC$</t>
  </si>
  <si>
    <t>MSCI Pacific Growth United States Dollar</t>
  </si>
  <si>
    <t>MSGPACL</t>
  </si>
  <si>
    <t>MSCI Pacific Growth</t>
  </si>
  <si>
    <t>MSGPCX$</t>
  </si>
  <si>
    <t>MSCI Pacific Excluding Japan Growth United States Dollar</t>
  </si>
  <si>
    <t>Pacific ex-Japan</t>
  </si>
  <si>
    <t>MSGPCXL</t>
  </si>
  <si>
    <t>MSCI Pacific Excluding Japan Growth</t>
  </si>
  <si>
    <t>MSGREE$</t>
  </si>
  <si>
    <t>MSCI Greece United States Dollar</t>
  </si>
  <si>
    <t>Greece</t>
  </si>
  <si>
    <t>MSGREEL</t>
  </si>
  <si>
    <t>MSCI Greece</t>
  </si>
  <si>
    <t>MSGUKN$</t>
  </si>
  <si>
    <t>MSCI United Kingdom Growth United States Dollar</t>
  </si>
  <si>
    <t>United Kingdom</t>
  </si>
  <si>
    <t>MSGUSA$</t>
  </si>
  <si>
    <t>MSCI United States of America Growth United States Dollar</t>
  </si>
  <si>
    <t>MSGUSAL</t>
  </si>
  <si>
    <t>MSCI United States of America Growth</t>
  </si>
  <si>
    <t>MSGWLD$</t>
  </si>
  <si>
    <t>MSCI World Growth United States Dollar</t>
  </si>
  <si>
    <t>MSGWLDL</t>
  </si>
  <si>
    <t>MSCI World Growth</t>
  </si>
  <si>
    <t>MSHEAF$</t>
  </si>
  <si>
    <t>MSCI EAFE Hedged United States Dollar</t>
  </si>
  <si>
    <t>MSHEUR$</t>
  </si>
  <si>
    <t>MSCI Europe Hedged United States Dollar</t>
  </si>
  <si>
    <t>MSHEUX$</t>
  </si>
  <si>
    <t>MSCI Europe Excluding United Kingdom Hedged United States Dollar</t>
  </si>
  <si>
    <t>MSHGKG$</t>
  </si>
  <si>
    <t>MSCI Hong Kong United States Dollar</t>
  </si>
  <si>
    <t>Hong Kong</t>
  </si>
  <si>
    <t>MSHGKGL</t>
  </si>
  <si>
    <t>MSCI Hong Kong</t>
  </si>
  <si>
    <t>MSHPAC$</t>
  </si>
  <si>
    <t>MSCI Pacific Hedged United States Dollar</t>
  </si>
  <si>
    <t>MSHPCX$</t>
  </si>
  <si>
    <t>MSCI Pacific Excluding Japan Hedged United States Dollar</t>
  </si>
  <si>
    <t>MSHUNG$</t>
  </si>
  <si>
    <t>MSCI Hungary United States Dollar</t>
  </si>
  <si>
    <t>Hungary</t>
  </si>
  <si>
    <t>MSHUNGL</t>
  </si>
  <si>
    <t>MSCI Hungary</t>
  </si>
  <si>
    <t>MSHWLD$</t>
  </si>
  <si>
    <t>MSCI World Hedged United States Dollar</t>
  </si>
  <si>
    <t>MSINDF$</t>
  </si>
  <si>
    <t>MSCI Indonesia United States Dollar</t>
  </si>
  <si>
    <t>Indonesia</t>
  </si>
  <si>
    <t>MSINDFL</t>
  </si>
  <si>
    <t>MSCI Indonesia</t>
  </si>
  <si>
    <t>MSINDI$</t>
  </si>
  <si>
    <t>MSCI India United States Dollar</t>
  </si>
  <si>
    <t>India</t>
  </si>
  <si>
    <t>MSINDIL</t>
  </si>
  <si>
    <t>MSCI India</t>
  </si>
  <si>
    <t>MSISRL$</t>
  </si>
  <si>
    <t>MSCI Israel United States Dollar</t>
  </si>
  <si>
    <t>Israel</t>
  </si>
  <si>
    <t>MSISRLL</t>
  </si>
  <si>
    <t>MSCI Israel Local Currency</t>
  </si>
  <si>
    <t>MSITAL$</t>
  </si>
  <si>
    <t>MSCI Italy United States Dollar</t>
  </si>
  <si>
    <t>Italy</t>
  </si>
  <si>
    <t>MSITALL</t>
  </si>
  <si>
    <t>MSCI Italy</t>
  </si>
  <si>
    <t>MSJPAN$</t>
  </si>
  <si>
    <t>MSCI Japan United States Dollar</t>
  </si>
  <si>
    <t>Japan</t>
  </si>
  <si>
    <t>MSKORE$</t>
  </si>
  <si>
    <t>MSCI Korea United States Dollar</t>
  </si>
  <si>
    <t>South Korea</t>
  </si>
  <si>
    <t>MSKOREL</t>
  </si>
  <si>
    <t>MSCI Korea</t>
  </si>
  <si>
    <t>MSKUWA$</t>
  </si>
  <si>
    <t>MSCI Kuwait United States Dollar</t>
  </si>
  <si>
    <t>Kuwait</t>
  </si>
  <si>
    <t>MSKUWAL</t>
  </si>
  <si>
    <t>MSCI Kuwait</t>
  </si>
  <si>
    <t>MSMALF$</t>
  </si>
  <si>
    <t>MSCI Malaysia (Emerging Markets) United States Dollar</t>
  </si>
  <si>
    <t>Malaysia</t>
  </si>
  <si>
    <t>MSMALFL</t>
  </si>
  <si>
    <t>MSCI Malaysia</t>
  </si>
  <si>
    <t>MSMEXF$</t>
  </si>
  <si>
    <t>MSCI Mexico United States Dollar</t>
  </si>
  <si>
    <t>Mexico</t>
  </si>
  <si>
    <t>MSMEXFL</t>
  </si>
  <si>
    <t>MSCI Mexico</t>
  </si>
  <si>
    <t>MSNETH$</t>
  </si>
  <si>
    <t>MSCI Netherlands United States Dollar</t>
  </si>
  <si>
    <t>MSNETHL</t>
  </si>
  <si>
    <t>MSCI Netherlands</t>
  </si>
  <si>
    <t>MSNWAY$</t>
  </si>
  <si>
    <t>MSCI Norway United States Dollar</t>
  </si>
  <si>
    <t>Norway</t>
  </si>
  <si>
    <t>MSNWAYL</t>
  </si>
  <si>
    <t>MSCI Norway</t>
  </si>
  <si>
    <t>MSNZEA$</t>
  </si>
  <si>
    <t>MSCI New Zealand United States Dollar</t>
  </si>
  <si>
    <t>MSNZEAL</t>
  </si>
  <si>
    <t>MSCI New Zealand</t>
  </si>
  <si>
    <t>MSPACF$</t>
  </si>
  <si>
    <t>MSCI Pacific United States Dollar</t>
  </si>
  <si>
    <t>MSPACFL</t>
  </si>
  <si>
    <t>MSCI Pacific</t>
  </si>
  <si>
    <t>MSPERU$</t>
  </si>
  <si>
    <t>MSCI Peru United States Dollar</t>
  </si>
  <si>
    <t>Peru</t>
  </si>
  <si>
    <t>MSPERUL</t>
  </si>
  <si>
    <t>MSCI Peru</t>
  </si>
  <si>
    <t>MSPFXJ$</t>
  </si>
  <si>
    <t>MSCI All Country Pacific Excluding Japan United States Dollar</t>
  </si>
  <si>
    <t>AC Pacific ex-Japan</t>
  </si>
  <si>
    <t>MSPFXJL</t>
  </si>
  <si>
    <t>MSCI All Country Pacific Excluding Japan</t>
  </si>
  <si>
    <t>MSPHLF$</t>
  </si>
  <si>
    <t>MSCI Philippines United States Dollar</t>
  </si>
  <si>
    <t>Philippines</t>
  </si>
  <si>
    <t>MSPHLFL</t>
  </si>
  <si>
    <t>MSCI Philippines</t>
  </si>
  <si>
    <t>MSPLND$</t>
  </si>
  <si>
    <t>MSCI Poland United States Dollar</t>
  </si>
  <si>
    <t>Poland</t>
  </si>
  <si>
    <t>MSPLNDL</t>
  </si>
  <si>
    <t>MSCI Poland</t>
  </si>
  <si>
    <t>MSPORD$</t>
  </si>
  <si>
    <t>MSCI Portugal United States Dollar</t>
  </si>
  <si>
    <t>Portugal</t>
  </si>
  <si>
    <t>MSPORDL</t>
  </si>
  <si>
    <t>MSCI Portugal</t>
  </si>
  <si>
    <t>MSPXJP$</t>
  </si>
  <si>
    <t>MSCI Pacific Excluding Japan United States Dollar</t>
  </si>
  <si>
    <t>MSQATA$</t>
  </si>
  <si>
    <t>MSCI Qatar United States Dollar</t>
  </si>
  <si>
    <t>Qatar</t>
  </si>
  <si>
    <t>MSQATAL</t>
  </si>
  <si>
    <t>MSCI Qatar</t>
  </si>
  <si>
    <t>MSSARF$</t>
  </si>
  <si>
    <t>MSCI South Africa United States Dollar</t>
  </si>
  <si>
    <t>South Africa</t>
  </si>
  <si>
    <t>MSSARFL</t>
  </si>
  <si>
    <t>MSCI South Africa</t>
  </si>
  <si>
    <t>MSSAUD$</t>
  </si>
  <si>
    <t>MSCI Saudi Arabia United States Dollar</t>
  </si>
  <si>
    <t>Saudi Arabia</t>
  </si>
  <si>
    <t>MSSAUDL</t>
  </si>
  <si>
    <t>MSCI Saudi Arabia</t>
  </si>
  <si>
    <t>MSSING$</t>
  </si>
  <si>
    <t>MSCI Singapore United States Dollar</t>
  </si>
  <si>
    <t>Singapore</t>
  </si>
  <si>
    <t>MSSINGL</t>
  </si>
  <si>
    <t>MSCI Singapore</t>
  </si>
  <si>
    <t>MSSPAN$</t>
  </si>
  <si>
    <t>MSCI Spain United States Dollar</t>
  </si>
  <si>
    <t>Spain</t>
  </si>
  <si>
    <t>MSSPANL</t>
  </si>
  <si>
    <t>MSCI Spain</t>
  </si>
  <si>
    <t>MSSWDN$</t>
  </si>
  <si>
    <t>MSCI Sweden United States Dollar</t>
  </si>
  <si>
    <t>Sweden</t>
  </si>
  <si>
    <t>MSSWDNL</t>
  </si>
  <si>
    <t>MSCI Sweden</t>
  </si>
  <si>
    <t>MSSWIT$</t>
  </si>
  <si>
    <t>MSCI Switzerland United States Dollar</t>
  </si>
  <si>
    <t>Switzerland</t>
  </si>
  <si>
    <t>MSSWITL</t>
  </si>
  <si>
    <t>MSCI Switzerland</t>
  </si>
  <si>
    <t>MSTAIW$</t>
  </si>
  <si>
    <t>MSCI Taiwan United States Dollar</t>
  </si>
  <si>
    <t>Taiwan</t>
  </si>
  <si>
    <t>MSTAIWL</t>
  </si>
  <si>
    <t>MSCI Taiwan</t>
  </si>
  <si>
    <t>MSTHAF$</t>
  </si>
  <si>
    <t>MSCI Thailand United States Dollar</t>
  </si>
  <si>
    <t>Thailand</t>
  </si>
  <si>
    <t>MSTHAFL</t>
  </si>
  <si>
    <t>MSCI Thailand</t>
  </si>
  <si>
    <t>MSTURK$</t>
  </si>
  <si>
    <t>MSCI Turkey United States Dollar</t>
  </si>
  <si>
    <t>Turkey</t>
  </si>
  <si>
    <t>MSTURKL</t>
  </si>
  <si>
    <t>MSCI Turkey</t>
  </si>
  <si>
    <t>MSUAEI$</t>
  </si>
  <si>
    <t>MSCI United Arab Emirates United States Dollar</t>
  </si>
  <si>
    <t>United Arab Emirates</t>
  </si>
  <si>
    <t>MSUAEIL</t>
  </si>
  <si>
    <t>MSCI United Arab Emirates</t>
  </si>
  <si>
    <t>MSUSAM$</t>
  </si>
  <si>
    <t>MSCI United States of America United States Dollar</t>
  </si>
  <si>
    <t>MSUSAML</t>
  </si>
  <si>
    <t>MSCI United States of America</t>
  </si>
  <si>
    <t>MSUTDK$</t>
  </si>
  <si>
    <t>MSCI United Kingdom United States Dollar</t>
  </si>
  <si>
    <t>MSVEAF$</t>
  </si>
  <si>
    <t>MSCI EAFE Value United States Dollar</t>
  </si>
  <si>
    <t>MSVEAFL</t>
  </si>
  <si>
    <t>MSCI EAFE Value</t>
  </si>
  <si>
    <t>MSVEUR$</t>
  </si>
  <si>
    <t>MSCI Europe Value United States Dollar</t>
  </si>
  <si>
    <t>MSVEURL</t>
  </si>
  <si>
    <t>MSCI Europe Value</t>
  </si>
  <si>
    <t>MSVEUX$</t>
  </si>
  <si>
    <t>MSCI Europe Excluding United Kingdom Value United States Dollar</t>
  </si>
  <si>
    <t>MSVEUXL</t>
  </si>
  <si>
    <t>MSCI Europe Excluding United Kingdom Value</t>
  </si>
  <si>
    <t>MSVPAC$</t>
  </si>
  <si>
    <t>MSCI Pacific Value United States Dollar</t>
  </si>
  <si>
    <t>MSVPACL</t>
  </si>
  <si>
    <t>MSCI Pacific Value</t>
  </si>
  <si>
    <t>MSVPCX$</t>
  </si>
  <si>
    <t>MSCI Pacific Excluding Japan Value United States Dollar</t>
  </si>
  <si>
    <t>MSVPCXL</t>
  </si>
  <si>
    <t>MSCI Pacific Excluding Japan Value</t>
  </si>
  <si>
    <t>MSVUKN$</t>
  </si>
  <si>
    <t>MSCI United Kingdom Value United States Dollar</t>
  </si>
  <si>
    <t>MSVUSA$</t>
  </si>
  <si>
    <t>MSCI United States of America Value United States Dollar</t>
  </si>
  <si>
    <t>MSVUSAL</t>
  </si>
  <si>
    <t>MSCI United States of America Value</t>
  </si>
  <si>
    <t>MSVWLD$</t>
  </si>
  <si>
    <t>MSCI World Value United States Dollar</t>
  </si>
  <si>
    <t>MSVWLDL</t>
  </si>
  <si>
    <t>MSCI World Value</t>
  </si>
  <si>
    <t>MSWFXU$</t>
  </si>
  <si>
    <t>MSCI All Country World Excluding United States United States Dollar</t>
  </si>
  <si>
    <t>AC World ex-US</t>
  </si>
  <si>
    <t>MSWFXUL</t>
  </si>
  <si>
    <t>MSCI All Country World Excluding United States</t>
  </si>
  <si>
    <t>MSWRLD$</t>
  </si>
  <si>
    <t>MSCI World United States Dollar</t>
  </si>
  <si>
    <t>MSWRLDL</t>
  </si>
  <si>
    <t>MSCI World</t>
  </si>
  <si>
    <t>MSWXUS$</t>
  </si>
  <si>
    <t>MSCI World Excluding United States United States Dollar</t>
  </si>
  <si>
    <t>MSWXUSL</t>
  </si>
  <si>
    <t>MSCI World Excluding United States</t>
  </si>
  <si>
    <t>MTUTLWD</t>
  </si>
  <si>
    <t>World-Datastream Multi-Utilities</t>
  </si>
  <si>
    <t>NAREQR$</t>
  </si>
  <si>
    <t>FTSE NAREIT Equity Real Estate Investment Trusts (REITS) United States Dollar</t>
  </si>
  <si>
    <t>FTSE</t>
  </si>
  <si>
    <t>NDRHPWD</t>
  </si>
  <si>
    <t>World-Datastream Non-Durable Household Products</t>
  </si>
  <si>
    <t>NLINSWD</t>
  </si>
  <si>
    <t>World-Datastream Non-life Insurance</t>
  </si>
  <si>
    <t>NOFMSWD</t>
  </si>
  <si>
    <t>World-Datastream Nonferrous Metal</t>
  </si>
  <si>
    <t>OFFDSWD</t>
  </si>
  <si>
    <t>World-Datastream Offshore Drilling and Other Services</t>
  </si>
  <si>
    <t>OFFEQWD</t>
  </si>
  <si>
    <t>World-Datastream Electronic Office Equipment</t>
  </si>
  <si>
    <t>OILCPWD</t>
  </si>
  <si>
    <t>World-Datastream Oil: Crude Producers</t>
  </si>
  <si>
    <t>OILGCWD</t>
  </si>
  <si>
    <t>World-Datastream Oil, Gas, Coal</t>
  </si>
  <si>
    <t>OILINWD</t>
  </si>
  <si>
    <t>World-Datastream Integrated Oil and Gas</t>
  </si>
  <si>
    <t>OILRMWD</t>
  </si>
  <si>
    <t>World-Datastream Oil Refining and Marketing</t>
  </si>
  <si>
    <t>OILSVWD</t>
  </si>
  <si>
    <t>World-Datastream Oil Equipment and Services</t>
  </si>
  <si>
    <t>PAINTWD</t>
  </si>
  <si>
    <t>World-Datastream Paint and Coating</t>
  </si>
  <si>
    <t>PAPERWD</t>
  </si>
  <si>
    <t>World-Datastream Paper</t>
  </si>
  <si>
    <t>PCDGSWD</t>
  </si>
  <si>
    <t>World-Datastream Personal Care, Drug and Grocery Stores</t>
  </si>
  <si>
    <t>PCINSWD</t>
  </si>
  <si>
    <t>World-Datastream Property / Casualty Insurance</t>
  </si>
  <si>
    <t>PERSGWD</t>
  </si>
  <si>
    <t>World-Datastream Personal Goods</t>
  </si>
  <si>
    <t>PHARMWD</t>
  </si>
  <si>
    <t>World-Datastream Pharmaceutical and Biotechnology</t>
  </si>
  <si>
    <t>PHOTOWD</t>
  </si>
  <si>
    <t>World-Datastream Photography</t>
  </si>
  <si>
    <t>PHRMCWD</t>
  </si>
  <si>
    <t>World-Datastream Pharmaceuticals</t>
  </si>
  <si>
    <t>PIPELWD</t>
  </si>
  <si>
    <t>World-Datastream Pipelines</t>
  </si>
  <si>
    <t>PLASTWD</t>
  </si>
  <si>
    <t>World-Datastream Plastics</t>
  </si>
  <si>
    <t>PLTNMWD</t>
  </si>
  <si>
    <t>World-Datastream Platinum and Precious Metals</t>
  </si>
  <si>
    <t>PRBSSWD</t>
  </si>
  <si>
    <t>World-Datastream Professional Business Support Services</t>
  </si>
  <si>
    <t>PRCMMWD</t>
  </si>
  <si>
    <t>World-Datastream Precious Metals and Mining</t>
  </si>
  <si>
    <t>PRDTEWD</t>
  </si>
  <si>
    <t>World-Datastream Production Technology Equipment</t>
  </si>
  <si>
    <t>PRNTCWD</t>
  </si>
  <si>
    <t>World-Datastream 'Dead' Printing and Company</t>
  </si>
  <si>
    <t>PRSNLWD</t>
  </si>
  <si>
    <t>World-Datastream Personal Product</t>
  </si>
  <si>
    <t>PUBLSWD</t>
  </si>
  <si>
    <t>World-Datastream Publishing</t>
  </si>
  <si>
    <t>RAILSWD</t>
  </si>
  <si>
    <t>World-Datastream Railroads</t>
  </si>
  <si>
    <t>RECPRWD</t>
  </si>
  <si>
    <t>World-Datastream Recreational Products</t>
  </si>
  <si>
    <t>RECSVWD</t>
  </si>
  <si>
    <t>World-Datastream Recreational Services</t>
  </si>
  <si>
    <t>RECVBWD</t>
  </si>
  <si>
    <t>World-Datastream Recreational Vehicles and Boats</t>
  </si>
  <si>
    <t>REINSWD</t>
  </si>
  <si>
    <t>World-Datastream Reinsurance</t>
  </si>
  <si>
    <t>REITSWD</t>
  </si>
  <si>
    <t>World-Datastream Real Estate Investment Trusts (REITS)</t>
  </si>
  <si>
    <t>RENEEWD</t>
  </si>
  <si>
    <t>World-Datastream Renewable Energy Equipment</t>
  </si>
  <si>
    <t>RESTSWD</t>
  </si>
  <si>
    <t>World-Datastream Restaurants and Bars</t>
  </si>
  <si>
    <t>RITDVWD</t>
  </si>
  <si>
    <t>World-Datastream Diversified Real Estate Investment Trusts (REITS)</t>
  </si>
  <si>
    <t>RITHCWD</t>
  </si>
  <si>
    <t>World-Datastream Health Care Real Estate Investment Trusts (REITS)</t>
  </si>
  <si>
    <t>RITHLWD</t>
  </si>
  <si>
    <t>World-Datastream Hotel and Lodging REITs</t>
  </si>
  <si>
    <t>RITIFWD</t>
  </si>
  <si>
    <t>World-Datastream Infrastructure REITs</t>
  </si>
  <si>
    <t>RITINWD</t>
  </si>
  <si>
    <t>World-Datastream Industrial Real Estate Investment Trusts (REITS)</t>
  </si>
  <si>
    <t>RITMCWD</t>
  </si>
  <si>
    <t>World-Datastream 'Dead' Mortgages Real Estate Investment Trusts (REITS) :</t>
  </si>
  <si>
    <t>RITMDWD</t>
  </si>
  <si>
    <t>World-Datastream Mortgages Real Estate Investment Trusts (REITS) : Diversified</t>
  </si>
  <si>
    <t>RITMGWD</t>
  </si>
  <si>
    <t>World-Datastream Mortgage Real Estate Investment Trusts (REITS)</t>
  </si>
  <si>
    <t>RITMRWD</t>
  </si>
  <si>
    <t>World-Datastream Mortgage REITs: Residential</t>
  </si>
  <si>
    <t>RITOFWD</t>
  </si>
  <si>
    <t>World-Datastream Office Real Estate Investment Trusts (REITS)</t>
  </si>
  <si>
    <t>RITOSWD</t>
  </si>
  <si>
    <t>World-Datastream Other Specialty REITs</t>
  </si>
  <si>
    <t>RITRSAM</t>
  </si>
  <si>
    <t>Americas-Datastream Residential Real Estate Investment Trusts (REITS)</t>
  </si>
  <si>
    <t>RITRSDV</t>
  </si>
  <si>
    <t>Developed Markets-Datastream Residential Real Estate Investment Trusts (REITS)</t>
  </si>
  <si>
    <t>Developed Markets</t>
  </si>
  <si>
    <t>RITRSER</t>
  </si>
  <si>
    <t>Europe-Datastream Residential Real Estate Investment Trusts (REITS)</t>
  </si>
  <si>
    <t>RITRSUS</t>
  </si>
  <si>
    <t>United States-Datastream Residential Real Estate Investment Trusts (REITS)</t>
  </si>
  <si>
    <t>RITRSWD</t>
  </si>
  <si>
    <t>World-Datastream Residential Real Estate Investment Trusts (REITS)</t>
  </si>
  <si>
    <t>RITRTWD</t>
  </si>
  <si>
    <t>World-Datastream Retail Real Estate Investment Trusts (REITS)</t>
  </si>
  <si>
    <t>RITSTWD</t>
  </si>
  <si>
    <t>World-Datastream Storage Real Estate Investment Trusts (REITS)</t>
  </si>
  <si>
    <t>RITTMWD</t>
  </si>
  <si>
    <t>World-Datastream Timber Real Estate Investment Trusts (REITS)</t>
  </si>
  <si>
    <t>RLDEVWD</t>
  </si>
  <si>
    <t>World-Datastream Real Estate Holding and Development</t>
  </si>
  <si>
    <t>RLESTWD</t>
  </si>
  <si>
    <t>World-Datastream Real Estate</t>
  </si>
  <si>
    <t>RLISVWD</t>
  </si>
  <si>
    <t>World-Datastream Real Estate Investment Services</t>
  </si>
  <si>
    <t>RLSCOWD</t>
  </si>
  <si>
    <t>World-Datastream Rental and Leasing Services: Consumer</t>
  </si>
  <si>
    <t>RLSRVWD</t>
  </si>
  <si>
    <t>World-Datastream Real Estate Service</t>
  </si>
  <si>
    <t>RREQPWD</t>
  </si>
  <si>
    <t>World-Datastream Railroad Equipment</t>
  </si>
  <si>
    <t>RTAILWD</t>
  </si>
  <si>
    <t>World-Datastream Retailers</t>
  </si>
  <si>
    <t>RTVBCWD</t>
  </si>
  <si>
    <t>World-Datastream Radio and TV Broadcasters</t>
  </si>
  <si>
    <t>Russell</t>
  </si>
  <si>
    <t>FRUS250</t>
  </si>
  <si>
    <t xml:space="preserve">Russell 2500 (EOD) </t>
  </si>
  <si>
    <t>FRUS25G</t>
  </si>
  <si>
    <t>Russell 2500 (EOD) Growth</t>
  </si>
  <si>
    <t>FRUS25V</t>
  </si>
  <si>
    <t>Russell 2500 (EOD) Value</t>
  </si>
  <si>
    <t>FRUS2GR</t>
  </si>
  <si>
    <t>Russell 2000 (EOD) Growth</t>
  </si>
  <si>
    <t>FRUS2VA</t>
  </si>
  <si>
    <t>Russell 2000 (EOD) Value</t>
  </si>
  <si>
    <t>FRUS3GR</t>
  </si>
  <si>
    <t>Russell 3000 (EOD) Growth</t>
  </si>
  <si>
    <t>FRUS3VA</t>
  </si>
  <si>
    <t>Russell 3000 (EOD) Value</t>
  </si>
  <si>
    <t>FRUSMID</t>
  </si>
  <si>
    <t xml:space="preserve">Russell Mid Cap (EOD) </t>
  </si>
  <si>
    <t>FRUSMIG</t>
  </si>
  <si>
    <t xml:space="preserve">Russell Mid Cap Growth (EOD) </t>
  </si>
  <si>
    <t>FRUSMIV</t>
  </si>
  <si>
    <t xml:space="preserve">Russell Mid Cap Value (EOD) </t>
  </si>
  <si>
    <t>FRUSS1L</t>
  </si>
  <si>
    <t xml:space="preserve">Russell 1000 (EOD) </t>
  </si>
  <si>
    <t>FRUSS3L</t>
  </si>
  <si>
    <t xml:space="preserve">Russell 3000 (EOD) </t>
  </si>
  <si>
    <t>S&amp;PCOMP</t>
  </si>
  <si>
    <t>Standard and Poor's 500 Composite</t>
  </si>
  <si>
    <t>S&amp;P</t>
  </si>
  <si>
    <t>SBBRAML</t>
  </si>
  <si>
    <t>Standard and Poor's Americas Real Estate Investment Trusts (REITS)</t>
  </si>
  <si>
    <t>Standard and Poors (S&amp;P)</t>
  </si>
  <si>
    <t>SBBRAP$</t>
  </si>
  <si>
    <t>Standard and Poor's Asia Pacific Real Estate Investment Trusts (REITS) United States Dollar</t>
  </si>
  <si>
    <t>Global Asia Pacific</t>
  </si>
  <si>
    <t>SBBRAPL</t>
  </si>
  <si>
    <t>Standard and Poor's Asia Pacific Real Estate Investment Trusts (REITS)</t>
  </si>
  <si>
    <t>SBBRAU$</t>
  </si>
  <si>
    <t>Standard and Poor's Australia Real Estate Investment Trusts (REITS) United States Dollar</t>
  </si>
  <si>
    <t>SBBRAUL</t>
  </si>
  <si>
    <t>Standard and Poor's Australia Real Estate Investment Trusts (REITS)</t>
  </si>
  <si>
    <t>SBBREU$</t>
  </si>
  <si>
    <t>Standard and Poor's Europe Real Estate Investment Trusts (REITS) United States Dollar</t>
  </si>
  <si>
    <t>Global Europe</t>
  </si>
  <si>
    <t>SBBREUL</t>
  </si>
  <si>
    <t>Standard and Poor's Europe Real Estate Investment Trusts (REITS)</t>
  </si>
  <si>
    <t>SBBREZ$</t>
  </si>
  <si>
    <t>Standard and Poor's Eurozone Real Estate Investment Trusts (REITS) United States Dollar</t>
  </si>
  <si>
    <t>Global</t>
  </si>
  <si>
    <t>SBBREZL</t>
  </si>
  <si>
    <t>Standard and Poor's Eurozone Real Estate Investment Trusts (REITS)</t>
  </si>
  <si>
    <t>SBBRNA$</t>
  </si>
  <si>
    <t>Standard and Poor's North America Real Estate Investment Trusts (REITS) United States Dollar</t>
  </si>
  <si>
    <t>Global North Americas</t>
  </si>
  <si>
    <t>SBBRNL$</t>
  </si>
  <si>
    <t>Standard and Poor's Netherlands Real Estate Investment Trusts (REITS) United States Dollar</t>
  </si>
  <si>
    <t>SBBRNLE</t>
  </si>
  <si>
    <t>Standard and Poor's Netherlands Real Estate Investment Trusts (REITS)</t>
  </si>
  <si>
    <t>SBBRNZ$</t>
  </si>
  <si>
    <t>Standard and Poor's New Zealand Real Estate Investment Trusts (REITS) United States Dollar</t>
  </si>
  <si>
    <t>SBBRUSL</t>
  </si>
  <si>
    <t>Standard and Poor's United States Real Estate Investment Trusts (REITS) United States Dollar</t>
  </si>
  <si>
    <t>SBBRWL$</t>
  </si>
  <si>
    <t>Standard and Poor's Developed Real Estate Investment Trusts (REITS) United States Dollar</t>
  </si>
  <si>
    <t>Global Developed</t>
  </si>
  <si>
    <t>SBBRWLL</t>
  </si>
  <si>
    <t>Standard and Poor's Developed Real Estate Investment Trusts (REITS)</t>
  </si>
  <si>
    <t>SBBRZZ$</t>
  </si>
  <si>
    <t>Standard and Poor's Europe and Asia Pacific Real Estate Investment Trusts (REITS) United States Dollar</t>
  </si>
  <si>
    <t>Global Europe and Asia Pacific</t>
  </si>
  <si>
    <t>SBHRAU$</t>
  </si>
  <si>
    <t>SPGI Broad Market Index (BMI) Australia Real Estate Investment Trusts (REITS) Hedge United States Dollar</t>
  </si>
  <si>
    <t>S&amp;P Citigroup</t>
  </si>
  <si>
    <t>SBHREU$</t>
  </si>
  <si>
    <t>SPGI Broad Market Index (BMI) Europe Real Estate Investment Trusts (REITS) Hedge United States Dollar</t>
  </si>
  <si>
    <t>SBHRGL$</t>
  </si>
  <si>
    <t>SPGI Broad Market Index (BMI) Global Real Estate Investment Trusts (REITS) Hedge United States Dollar</t>
  </si>
  <si>
    <t>SBHRUS$</t>
  </si>
  <si>
    <t>SPGI Broad Market Index (BMI) United States Real Estate Investment Trusts (REITS) Hedge United States Dollar</t>
  </si>
  <si>
    <t>SBHRWL$</t>
  </si>
  <si>
    <t>SPGI Broad Market Index (BMI) World Real Estate Investment Trusts (REITS) Hedge United States Dollar</t>
  </si>
  <si>
    <t>SBHRZJ$</t>
  </si>
  <si>
    <t>SPGI Broad Market Index (BMI) Europe and Asia Pacific excluding Japan Real Estate Investment Trusts (REITS) Hedge United States Dollar</t>
  </si>
  <si>
    <t>SBRDWLL</t>
  </si>
  <si>
    <t>Standard and Poor's Developed Real Estate Investment Trusts (REITS) Diversified</t>
  </si>
  <si>
    <t>SBREWLL</t>
  </si>
  <si>
    <t>Standard and Poor's Developed Real Estate Investment Trusts (REITS) Specialised</t>
  </si>
  <si>
    <t>SBRHWLL</t>
  </si>
  <si>
    <t>Standard and Poor's Developed Real Estate Investment Trusts (REITS) Health Care</t>
  </si>
  <si>
    <t>SBROWLL</t>
  </si>
  <si>
    <t>Standard and Poor's Developed Real Estate Investment Trusts (REITS) OFC Space</t>
  </si>
  <si>
    <t>SBRRWLL</t>
  </si>
  <si>
    <t>Standard and Poor's Developed Real Estate Investment Trusts (REITS) Resources</t>
  </si>
  <si>
    <t>SBRTWLL</t>
  </si>
  <si>
    <t>Standard and Poor's Developed Real Estate Investment Trusts (REITS) Retail</t>
  </si>
  <si>
    <t>SBRZWLL</t>
  </si>
  <si>
    <t>Standard and Poor's Developed Real Estate Investment Trusts (REITS) Storage</t>
  </si>
  <si>
    <t>SECSVWD</t>
  </si>
  <si>
    <t>World-Datastream Security Services</t>
  </si>
  <si>
    <t>SEMICWD</t>
  </si>
  <si>
    <t>World-Datastream Semiconductors</t>
  </si>
  <si>
    <t>SFTCSWD</t>
  </si>
  <si>
    <t>World-Datastream Software and Computer Services</t>
  </si>
  <si>
    <t>SOFTDWD</t>
  </si>
  <si>
    <t>World-Datastream Soft Drinks</t>
  </si>
  <si>
    <t>SOFTWWD</t>
  </si>
  <si>
    <t>World-Datastream Software</t>
  </si>
  <si>
    <t>SP05SGR</t>
  </si>
  <si>
    <t>Standard and Poor's 500 Growth</t>
  </si>
  <si>
    <t>SP05SVA</t>
  </si>
  <si>
    <t>Standard and Poor's 500 Value</t>
  </si>
  <si>
    <t>SP5ECOD</t>
  </si>
  <si>
    <t>Standard and Poor's 500 Economic Sector Consumer Discretionary</t>
  </si>
  <si>
    <t>SP5ECST</t>
  </si>
  <si>
    <t>Standard and Poor's 500 Economic Sector Consumer Staples</t>
  </si>
  <si>
    <t>SP5EENE</t>
  </si>
  <si>
    <t>Standard and Poor's 500 Economic Sector Energy</t>
  </si>
  <si>
    <t>SP5EFIN</t>
  </si>
  <si>
    <t>Standard and Poor's 500 Economic Sector Financials</t>
  </si>
  <si>
    <t>SP5EHCR</t>
  </si>
  <si>
    <t>Standard and Poor's 500 Economic Sector Health Care</t>
  </si>
  <si>
    <t>SP5EIND</t>
  </si>
  <si>
    <t>Standard and Poor's 500 Economic Sector Industrials</t>
  </si>
  <si>
    <t>SP5EINT</t>
  </si>
  <si>
    <t>Standard and Poor's 500 Economic Sector Information Technology</t>
  </si>
  <si>
    <t>SP5EMAT</t>
  </si>
  <si>
    <t>Standard and Poor's 500 Economic Sector Materials</t>
  </si>
  <si>
    <t>SP5ER11</t>
  </si>
  <si>
    <t>Standard and Poor's 500 Economic Sector Real Estate</t>
  </si>
  <si>
    <t>SP5ETEL</t>
  </si>
  <si>
    <t>Standard and Poor's 500 Economic Sector Communication Services</t>
  </si>
  <si>
    <t>SP5EUTL</t>
  </si>
  <si>
    <t>Standard and Poor's 500 Economic Sector Utilities</t>
  </si>
  <si>
    <t>NASCOMP</t>
  </si>
  <si>
    <t>Nasdaq Composite</t>
  </si>
  <si>
    <t>NASDAQ Stock Market</t>
  </si>
  <si>
    <t>MSARGT$</t>
  </si>
  <si>
    <t>MSCI Argentina United States Dollar</t>
  </si>
  <si>
    <t>Argentina</t>
  </si>
  <si>
    <t>MSARGTL</t>
  </si>
  <si>
    <t>MSCI Argentina</t>
  </si>
  <si>
    <t>MSJORD$</t>
  </si>
  <si>
    <t>MSCI Jordan United States Dollar</t>
  </si>
  <si>
    <t>Jordan</t>
  </si>
  <si>
    <t>MSJORDL</t>
  </si>
  <si>
    <t>MSCI Jordan</t>
  </si>
  <si>
    <t>MSLUXB$</t>
  </si>
  <si>
    <t>MSCI Luxembourg United States Dollar 'Dead'</t>
  </si>
  <si>
    <t>Luxembourg</t>
  </si>
  <si>
    <t>MSLUXBL</t>
  </si>
  <si>
    <t>MSCI Luxembourg 'Dead'</t>
  </si>
  <si>
    <t>MSMORC$</t>
  </si>
  <si>
    <t>MSCI Morocco United States Dollar</t>
  </si>
  <si>
    <t>Morocco</t>
  </si>
  <si>
    <t>MSMORCL</t>
  </si>
  <si>
    <t>MSCI Morocco</t>
  </si>
  <si>
    <t>MSPAKI$</t>
  </si>
  <si>
    <t>MSCI Pakistan United States Dollar</t>
  </si>
  <si>
    <t>Pakistan</t>
  </si>
  <si>
    <t>MSPAKIL</t>
  </si>
  <si>
    <t>MSCI Pakistan</t>
  </si>
  <si>
    <t>MSRUSS$</t>
  </si>
  <si>
    <t>MSCI Russia United States Dollar 'Dead'</t>
  </si>
  <si>
    <t>Russia</t>
  </si>
  <si>
    <t>MSRUSSL</t>
  </si>
  <si>
    <t>MSCI Russia 'Dead'</t>
  </si>
  <si>
    <t>MSSRIL$</t>
  </si>
  <si>
    <t>MSCI Sri Lanka United States Dollar</t>
  </si>
  <si>
    <t>Sri Lanka</t>
  </si>
  <si>
    <t>MSSRILL</t>
  </si>
  <si>
    <t>MSCI Sri Lanka</t>
  </si>
  <si>
    <t>MSVENF$</t>
  </si>
  <si>
    <t>MSCI Venezuela United States Dollar 'Dead'</t>
  </si>
  <si>
    <t>Venezuela</t>
  </si>
  <si>
    <t>MSVENFL</t>
  </si>
  <si>
    <t>MSCI Venezuela 'Dead'</t>
  </si>
  <si>
    <t>MSFXDW$</t>
  </si>
  <si>
    <t>MSCI World FX Hedge United States Dollar</t>
  </si>
  <si>
    <t>TOTMSA$</t>
  </si>
  <si>
    <t>SOUTH AFRICA-DS MARKET $</t>
  </si>
  <si>
    <t>WIMXCO$</t>
  </si>
  <si>
    <t>FTSE W MEXICO $</t>
  </si>
  <si>
    <t>WISAFR$</t>
  </si>
  <si>
    <t>FTSE SOUTH AFRICA $</t>
  </si>
  <si>
    <t>IFGWMX$</t>
  </si>
  <si>
    <t>S&amp;P/IFCG W MEXICO $ DEAD</t>
  </si>
  <si>
    <t>S&amp;P/IFC</t>
  </si>
  <si>
    <t>GOLDSSA$</t>
  </si>
  <si>
    <t>South Africa Gold Miners</t>
  </si>
  <si>
    <t>IFGMMX$</t>
  </si>
  <si>
    <t>S&amp;P/IFCG M MEXICO $ DEAD</t>
  </si>
  <si>
    <t>FFS1B1</t>
  </si>
  <si>
    <t>Fama-French Small Growth Portfolio</t>
  </si>
  <si>
    <t>Fama-French</t>
  </si>
  <si>
    <t>Ken French</t>
  </si>
  <si>
    <t>FFS1B2</t>
  </si>
  <si>
    <t>Fama-French Small Neutral Portfolio</t>
  </si>
  <si>
    <t>FFS1B3</t>
  </si>
  <si>
    <t>Fama-French Small Value Portfolio</t>
  </si>
  <si>
    <t>FFS2B1</t>
  </si>
  <si>
    <t>Fama-French Big Growth Portfolio</t>
  </si>
  <si>
    <t>FFS2B2</t>
  </si>
  <si>
    <t>Fama-French Big Neutral Portfolio</t>
  </si>
  <si>
    <t>FFS2B3</t>
  </si>
  <si>
    <t>Fama-French Big Value Portfolio</t>
  </si>
  <si>
    <t>EMEQGFD</t>
  </si>
  <si>
    <t>Emerging Markets Equity</t>
  </si>
  <si>
    <t>Global Financial Data</t>
  </si>
  <si>
    <t>EMTRGFD</t>
  </si>
  <si>
    <t>ACEMLPT</t>
  </si>
  <si>
    <t>ALERIAN MLP Index</t>
  </si>
  <si>
    <t>Alerian</t>
  </si>
  <si>
    <t>MSWDIF$</t>
  </si>
  <si>
    <t>MSCI World Infrastructure</t>
  </si>
  <si>
    <t>MSWDIFL</t>
  </si>
  <si>
    <t>SBBRGL$</t>
  </si>
  <si>
    <t>S&amp;P Global REITs</t>
  </si>
  <si>
    <t>S&amp;P Global Developed REITs</t>
  </si>
  <si>
    <t>Reporting Name</t>
  </si>
  <si>
    <t>Category</t>
  </si>
  <si>
    <t>US Dollar Short Duration Debt</t>
  </si>
  <si>
    <t xml:space="preserve">    Event Driven</t>
  </si>
  <si>
    <t xml:space="preserve">    Equity Long/Short</t>
  </si>
  <si>
    <t xml:space="preserve">    US Dollar Debt</t>
  </si>
  <si>
    <t xml:space="preserve">    US Dollar Short Duration Debt</t>
  </si>
  <si>
    <t xml:space="preserve">    US High Yield Bonds</t>
  </si>
  <si>
    <t xml:space="preserve">    Core Real Estate</t>
  </si>
  <si>
    <t xml:space="preserve">    Growth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</si>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</sst>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\ yyyy;@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46">
    <xf numFmtId="0" fontId="0" fillId="0" borderId="0" xfId="0"/>
    <xf numFmtId="0" fontId="2" fillId="2" borderId="1" xfId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2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left" vertical="center"/>
    </xf>
    <xf numFmtId="164" fontId="17" fillId="13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165" fontId="15" fillId="3" borderId="0" xfId="0" applyNumberFormat="1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11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 vertical="center"/>
    </xf>
    <xf numFmtId="164" fontId="0" fillId="3" borderId="0" xfId="2" applyNumberFormat="1" applyFont="1" applyFill="1" applyAlignment="1">
      <alignment horizontal="center"/>
    </xf>
    <xf numFmtId="2" fontId="0" fillId="3" borderId="0" xfId="2" applyNumberFormat="1" applyFont="1" applyFill="1" applyAlignment="1">
      <alignment horizontal="center"/>
    </xf>
    <xf numFmtId="0" fontId="0" fillId="3" borderId="4" xfId="0" applyFill="1" applyBorder="1"/>
    <xf numFmtId="0" fontId="0" fillId="3" borderId="4" xfId="0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1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3" borderId="1" xfId="0" applyFill="1" applyBorder="1"/>
    <xf numFmtId="164" fontId="0" fillId="3" borderId="1" xfId="2" applyNumberFormat="1" applyFon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4" fontId="0" fillId="3" borderId="4" xfId="2" applyNumberFormat="1" applyFont="1" applyFill="1" applyBorder="1" applyAlignment="1">
      <alignment horizontal="center"/>
    </xf>
    <xf numFmtId="2" fontId="0" fillId="3" borderId="4" xfId="2" applyNumberFormat="1" applyFon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0" fontId="0" fillId="3" borderId="4" xfId="2" applyNumberFormat="1" applyFont="1" applyFill="1" applyBorder="1" applyAlignment="1">
      <alignment horizontal="center"/>
    </xf>
    <xf numFmtId="0" fontId="0" fillId="14" borderId="0" xfId="0" applyFill="1"/>
    <xf numFmtId="164" fontId="0" fillId="14" borderId="0" xfId="2" applyNumberFormat="1" applyFont="1" applyFill="1" applyAlignment="1">
      <alignment horizontal="center"/>
    </xf>
    <xf numFmtId="2" fontId="0" fillId="14" borderId="0" xfId="2" applyNumberFormat="1" applyFont="1" applyFill="1" applyAlignment="1">
      <alignment horizontal="center"/>
    </xf>
    <xf numFmtId="166" fontId="0" fillId="14" borderId="0" xfId="0" applyNumberFormat="1" applyFill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0" fontId="0" fillId="3" borderId="14" xfId="0" applyNumberFormat="1" applyFill="1" applyBorder="1" applyAlignment="1">
      <alignment horizontal="center"/>
    </xf>
    <xf numFmtId="10" fontId="0" fillId="14" borderId="1" xfId="2" applyNumberFormat="1" applyFont="1" applyFill="1" applyBorder="1" applyAlignment="1">
      <alignment horizontal="center"/>
    </xf>
    <xf numFmtId="10" fontId="0" fillId="14" borderId="14" xfId="0" applyNumberForma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10" fontId="0" fillId="3" borderId="16" xfId="2" applyNumberFormat="1" applyFont="1" applyFill="1" applyBorder="1" applyAlignment="1">
      <alignment horizontal="center"/>
    </xf>
    <xf numFmtId="10" fontId="0" fillId="14" borderId="16" xfId="2" applyNumberFormat="1" applyFont="1" applyFill="1" applyBorder="1" applyAlignment="1">
      <alignment horizontal="center"/>
    </xf>
    <xf numFmtId="10" fontId="0" fillId="3" borderId="15" xfId="2" applyNumberFormat="1" applyFont="1" applyFill="1" applyBorder="1" applyAlignment="1">
      <alignment horizontal="center"/>
    </xf>
    <xf numFmtId="164" fontId="15" fillId="3" borderId="1" xfId="2" applyNumberFormat="1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D3DDEA"/>
      <color rgb="FFA2AAB4"/>
      <color rgb="FFB2B4B3"/>
      <color rgb="FFE1ECFA"/>
      <color rgb="FF039644"/>
      <color rgb="FF1636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Sheet3!$K$4:$K$30</c:f>
              <c:numCache>
                <c:formatCode>0.00%</c:formatCode>
                <c:ptCount val="27"/>
                <c:pt idx="0">
                  <c:v>1.0999999999999999E-2</c:v>
                </c:pt>
                <c:pt idx="1">
                  <c:v>4.0000000000000001E-3</c:v>
                </c:pt>
                <c:pt idx="3">
                  <c:v>3.5000000000000003E-2</c:v>
                </c:pt>
                <c:pt idx="5">
                  <c:v>5.3999999999999999E-2</c:v>
                </c:pt>
                <c:pt idx="6">
                  <c:v>0.06</c:v>
                </c:pt>
                <c:pt idx="7">
                  <c:v>6.3E-2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2.5999999999999999E-2</c:v>
                </c:pt>
                <c:pt idx="11">
                  <c:v>6.9000000000000006E-2</c:v>
                </c:pt>
                <c:pt idx="12">
                  <c:v>8.5999999999999993E-2</c:v>
                </c:pt>
                <c:pt idx="13">
                  <c:v>6.0999999999999999E-2</c:v>
                </c:pt>
                <c:pt idx="14">
                  <c:v>4.8000000000000001E-2</c:v>
                </c:pt>
                <c:pt idx="16">
                  <c:v>1.9E-2</c:v>
                </c:pt>
                <c:pt idx="17">
                  <c:v>2.7E-2</c:v>
                </c:pt>
                <c:pt idx="18">
                  <c:v>2.9000000000000001E-2</c:v>
                </c:pt>
                <c:pt idx="20">
                  <c:v>0.08</c:v>
                </c:pt>
                <c:pt idx="21">
                  <c:v>8.2000000000000003E-2</c:v>
                </c:pt>
                <c:pt idx="22">
                  <c:v>7.2999999999999995E-2</c:v>
                </c:pt>
                <c:pt idx="24">
                  <c:v>4.3999999999999997E-2</c:v>
                </c:pt>
                <c:pt idx="25">
                  <c:v>3.7999999999999999E-2</c:v>
                </c:pt>
                <c:pt idx="26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8-BF43-95B2-6EC6A09EBA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Sheet3!$L$4:$L$30</c:f>
              <c:numCache>
                <c:formatCode>0.00%</c:formatCode>
                <c:ptCount val="27"/>
                <c:pt idx="0">
                  <c:v>1.08524678406041E-2</c:v>
                </c:pt>
                <c:pt idx="1">
                  <c:v>3.0821903711752401E-3</c:v>
                </c:pt>
                <c:pt idx="3">
                  <c:v>4.3364015406650899E-2</c:v>
                </c:pt>
                <c:pt idx="5">
                  <c:v>4.4567317353041203E-2</c:v>
                </c:pt>
                <c:pt idx="6">
                  <c:v>6.09896272276437E-2</c:v>
                </c:pt>
                <c:pt idx="7">
                  <c:v>6.9881103642633002E-2</c:v>
                </c:pt>
                <c:pt idx="8">
                  <c:v>4.7043208728656999E-2</c:v>
                </c:pt>
                <c:pt idx="9">
                  <c:v>4.8975926757622301E-2</c:v>
                </c:pt>
                <c:pt idx="10">
                  <c:v>2.82523559089745E-2</c:v>
                </c:pt>
                <c:pt idx="11">
                  <c:v>5.6359980577740498E-2</c:v>
                </c:pt>
                <c:pt idx="12">
                  <c:v>7.5241692772873098E-2</c:v>
                </c:pt>
                <c:pt idx="13">
                  <c:v>6.4800724140040705E-2</c:v>
                </c:pt>
                <c:pt idx="14">
                  <c:v>4.4976836696510598E-2</c:v>
                </c:pt>
                <c:pt idx="16">
                  <c:v>1.9169505465816701E-2</c:v>
                </c:pt>
                <c:pt idx="17">
                  <c:v>2.0771382280796301E-2</c:v>
                </c:pt>
                <c:pt idx="18">
                  <c:v>1.8658048030354601E-2</c:v>
                </c:pt>
                <c:pt idx="20">
                  <c:v>5.0216749358222103E-2</c:v>
                </c:pt>
                <c:pt idx="21">
                  <c:v>3.5944264317563202E-2</c:v>
                </c:pt>
                <c:pt idx="22">
                  <c:v>4.7598983442139302E-2</c:v>
                </c:pt>
                <c:pt idx="24">
                  <c:v>4.3364015406650899E-2</c:v>
                </c:pt>
                <c:pt idx="25">
                  <c:v>6.2011235623535797E-2</c:v>
                </c:pt>
                <c:pt idx="26">
                  <c:v>4.7598983442139302E-2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98-BF43-95B2-6EC6A09EB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675616"/>
        <c:axId val="1652827344"/>
      </c:barChart>
      <c:catAx>
        <c:axId val="1652675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827344"/>
        <c:crosses val="autoZero"/>
        <c:auto val="1"/>
        <c:lblAlgn val="ctr"/>
        <c:lblOffset val="100"/>
        <c:noMultiLvlLbl val="0"/>
      </c:catAx>
      <c:valAx>
        <c:axId val="16528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6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806450</xdr:colOff>
      <xdr:row>9</xdr:row>
      <xdr:rowOff>69850</xdr:rowOff>
    </xdr:from>
    <xdr:to>
      <xdr:col>20</xdr:col>
      <xdr:colOff>425450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5FEEA-08FD-EFD4-C324-48BC7E594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9" customWidth="1"/>
    <col min="2" max="2" width="7" customWidth="1"/>
  </cols>
  <sheetData>
    <row r="1" spans="1:2" x14ac:dyDescent="0.2">
      <c r="A1" s="1"/>
      <c r="B1" s="1"/>
    </row>
    <row r="2" spans="1:2" x14ac:dyDescent="0.2">
      <c r="B2" s="2"/>
    </row>
    <row r="3" spans="1:2" x14ac:dyDescent="0.2">
      <c r="B3" s="2"/>
    </row>
    <row r="4" spans="1:2" x14ac:dyDescent="0.2">
      <c r="B4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3"/>
  <sheetViews>
    <sheetView zoomScale="110" zoomScaleNormal="110" workbookViewId="0">
      <selection sqref="A1:E27"/>
    </sheetView>
  </sheetViews>
  <sheetFormatPr baseColWidth="10" defaultRowHeight="15" x14ac:dyDescent="0.2"/>
  <cols>
    <col min="1" max="1" width="44" bestFit="1" customWidth="1"/>
    <col min="2" max="5" width="20.33203125" customWidth="1"/>
  </cols>
  <sheetData>
    <row r="1" spans="1:5" ht="37" customHeight="1" x14ac:dyDescent="0.2">
      <c r="A1" s="74"/>
      <c r="B1" s="75" t="s">
        <v>0</v>
      </c>
      <c r="C1" s="75" t="s">
        <v>1</v>
      </c>
      <c r="D1" s="75" t="s">
        <v>2</v>
      </c>
      <c r="E1" s="75" t="s">
        <v>3</v>
      </c>
    </row>
    <row r="2" spans="1:5" ht="18" customHeight="1" x14ac:dyDescent="0.2">
      <c r="A2" s="76" t="s">
        <v>4</v>
      </c>
      <c r="B2" s="77">
        <v>0.745</v>
      </c>
      <c r="C2" s="77" t="s">
        <v>40</v>
      </c>
      <c r="D2" s="77">
        <v>0.36</v>
      </c>
      <c r="E2" s="77">
        <v>0.15</v>
      </c>
    </row>
    <row r="3" spans="1:5" ht="18" customHeight="1" x14ac:dyDescent="0.2">
      <c r="A3" s="78" t="s">
        <v>37</v>
      </c>
      <c r="B3" s="79">
        <v>24.5</v>
      </c>
      <c r="C3" s="79">
        <v>58.5</v>
      </c>
      <c r="D3" s="80">
        <v>36</v>
      </c>
      <c r="E3" s="80">
        <v>15</v>
      </c>
    </row>
    <row r="4" spans="1:5" ht="18" customHeight="1" x14ac:dyDescent="0.2">
      <c r="A4" s="78" t="s">
        <v>5</v>
      </c>
      <c r="B4" s="80">
        <v>50</v>
      </c>
      <c r="C4" s="79" t="s">
        <v>38</v>
      </c>
      <c r="D4" s="79" t="s">
        <v>38</v>
      </c>
      <c r="E4" s="79" t="s">
        <v>38</v>
      </c>
    </row>
    <row r="5" spans="1:5" ht="18" customHeight="1" x14ac:dyDescent="0.2">
      <c r="A5" s="76" t="s">
        <v>6</v>
      </c>
      <c r="B5" s="77">
        <v>0.02</v>
      </c>
      <c r="C5" s="77">
        <v>0.03</v>
      </c>
      <c r="D5" s="77">
        <v>4.4999999999999998E-2</v>
      </c>
      <c r="E5" s="77">
        <v>5.5E-2</v>
      </c>
    </row>
    <row r="6" spans="1:5" ht="18" customHeight="1" x14ac:dyDescent="0.2">
      <c r="A6" s="78" t="s">
        <v>7</v>
      </c>
      <c r="B6" s="80">
        <v>2</v>
      </c>
      <c r="C6" s="80">
        <v>3</v>
      </c>
      <c r="D6" s="79">
        <v>4.5</v>
      </c>
      <c r="E6" s="79">
        <v>5.5</v>
      </c>
    </row>
    <row r="7" spans="1:5" ht="18" customHeight="1" x14ac:dyDescent="0.2">
      <c r="A7" s="76" t="s">
        <v>8</v>
      </c>
      <c r="B7" s="77">
        <v>0.14000000000000001</v>
      </c>
      <c r="C7" s="77">
        <v>0.22500000000000001</v>
      </c>
      <c r="D7" s="77">
        <v>0.35499999999999998</v>
      </c>
      <c r="E7" s="77">
        <v>0.505</v>
      </c>
    </row>
    <row r="8" spans="1:5" ht="18" customHeight="1" x14ac:dyDescent="0.2">
      <c r="A8" s="78" t="s">
        <v>9</v>
      </c>
      <c r="B8" s="79">
        <v>3.9</v>
      </c>
      <c r="C8" s="79">
        <v>6.3</v>
      </c>
      <c r="D8" s="80">
        <v>10</v>
      </c>
      <c r="E8" s="79">
        <v>14.2</v>
      </c>
    </row>
    <row r="9" spans="1:5" ht="18" customHeight="1" x14ac:dyDescent="0.2">
      <c r="A9" s="78" t="s">
        <v>10</v>
      </c>
      <c r="B9" s="79">
        <v>4.4000000000000004</v>
      </c>
      <c r="C9" s="79">
        <v>7.1</v>
      </c>
      <c r="D9" s="79">
        <v>11.2</v>
      </c>
      <c r="E9" s="79">
        <v>15.9</v>
      </c>
    </row>
    <row r="10" spans="1:5" ht="18" customHeight="1" x14ac:dyDescent="0.2">
      <c r="A10" s="78" t="s">
        <v>11</v>
      </c>
      <c r="B10" s="79">
        <v>1.4</v>
      </c>
      <c r="C10" s="79">
        <v>2.2000000000000002</v>
      </c>
      <c r="D10" s="79">
        <v>3.5</v>
      </c>
      <c r="E10" s="80">
        <v>5</v>
      </c>
    </row>
    <row r="11" spans="1:5" ht="18" customHeight="1" x14ac:dyDescent="0.2">
      <c r="A11" s="78" t="s">
        <v>12</v>
      </c>
      <c r="B11" s="79">
        <v>1.6</v>
      </c>
      <c r="C11" s="79">
        <v>2.5</v>
      </c>
      <c r="D11" s="80">
        <v>4</v>
      </c>
      <c r="E11" s="79">
        <v>5.7</v>
      </c>
    </row>
    <row r="12" spans="1:5" ht="18" customHeight="1" x14ac:dyDescent="0.2">
      <c r="A12" s="78" t="s">
        <v>13</v>
      </c>
      <c r="B12" s="79">
        <v>0.5</v>
      </c>
      <c r="C12" s="79">
        <v>0.8</v>
      </c>
      <c r="D12" s="79">
        <v>1.2</v>
      </c>
      <c r="E12" s="79">
        <v>1.7</v>
      </c>
    </row>
    <row r="13" spans="1:5" ht="18" customHeight="1" x14ac:dyDescent="0.2">
      <c r="A13" s="78" t="s">
        <v>14</v>
      </c>
      <c r="B13" s="79">
        <v>0.7</v>
      </c>
      <c r="C13" s="79">
        <v>1.1000000000000001</v>
      </c>
      <c r="D13" s="79">
        <v>1.8</v>
      </c>
      <c r="E13" s="79">
        <v>2.6</v>
      </c>
    </row>
    <row r="14" spans="1:5" ht="18" customHeight="1" x14ac:dyDescent="0.2">
      <c r="A14" s="78" t="s">
        <v>15</v>
      </c>
      <c r="B14" s="79">
        <v>0.4</v>
      </c>
      <c r="C14" s="79">
        <v>0.6</v>
      </c>
      <c r="D14" s="79">
        <v>0.9</v>
      </c>
      <c r="E14" s="79">
        <v>1.3</v>
      </c>
    </row>
    <row r="15" spans="1:5" ht="18" customHeight="1" x14ac:dyDescent="0.2">
      <c r="A15" s="78" t="s">
        <v>16</v>
      </c>
      <c r="B15" s="79">
        <v>0.4</v>
      </c>
      <c r="C15" s="79">
        <v>0.6</v>
      </c>
      <c r="D15" s="79">
        <v>0.9</v>
      </c>
      <c r="E15" s="79">
        <v>1.3</v>
      </c>
    </row>
    <row r="16" spans="1:5" ht="18" customHeight="1" x14ac:dyDescent="0.2">
      <c r="A16" s="78" t="s">
        <v>17</v>
      </c>
      <c r="B16" s="79">
        <v>0.8</v>
      </c>
      <c r="C16" s="79">
        <v>1.3</v>
      </c>
      <c r="D16" s="80">
        <v>2</v>
      </c>
      <c r="E16" s="79">
        <v>2.8</v>
      </c>
    </row>
    <row r="17" spans="1:5" ht="18" customHeight="1" x14ac:dyDescent="0.2">
      <c r="A17" s="76" t="s">
        <v>18</v>
      </c>
      <c r="B17" s="77">
        <v>1.4999999999999999E-2</v>
      </c>
      <c r="C17" s="77">
        <v>3.5000000000000003E-2</v>
      </c>
      <c r="D17" s="77">
        <v>4.4999999999999998E-2</v>
      </c>
      <c r="E17" s="77">
        <v>0.03</v>
      </c>
    </row>
    <row r="18" spans="1:5" ht="18" customHeight="1" x14ac:dyDescent="0.2">
      <c r="A18" s="78" t="s">
        <v>19</v>
      </c>
      <c r="B18" s="79">
        <v>0.3</v>
      </c>
      <c r="C18" s="79">
        <v>0.7</v>
      </c>
      <c r="D18" s="79">
        <v>0.9</v>
      </c>
      <c r="E18" s="79">
        <v>0.6</v>
      </c>
    </row>
    <row r="19" spans="1:5" ht="18" customHeight="1" x14ac:dyDescent="0.2">
      <c r="A19" s="78" t="s">
        <v>20</v>
      </c>
      <c r="B19" s="79">
        <v>0.6</v>
      </c>
      <c r="C19" s="79">
        <v>1.4</v>
      </c>
      <c r="D19" s="79">
        <v>1.8</v>
      </c>
      <c r="E19" s="79">
        <v>1.2</v>
      </c>
    </row>
    <row r="20" spans="1:5" ht="18" customHeight="1" x14ac:dyDescent="0.2">
      <c r="A20" s="78" t="s">
        <v>21</v>
      </c>
      <c r="B20" s="79">
        <v>0.6</v>
      </c>
      <c r="C20" s="79">
        <v>1.4</v>
      </c>
      <c r="D20" s="79">
        <v>1.8</v>
      </c>
      <c r="E20" s="79">
        <v>1.2</v>
      </c>
    </row>
    <row r="21" spans="1:5" ht="18" customHeight="1" x14ac:dyDescent="0.2">
      <c r="A21" s="76" t="s">
        <v>22</v>
      </c>
      <c r="B21" s="77">
        <v>0.04</v>
      </c>
      <c r="C21" s="77">
        <v>5.5E-2</v>
      </c>
      <c r="D21" s="77">
        <v>0.12</v>
      </c>
      <c r="E21" s="77">
        <v>0.185</v>
      </c>
    </row>
    <row r="22" spans="1:5" ht="18" customHeight="1" x14ac:dyDescent="0.2">
      <c r="A22" s="78" t="s">
        <v>23</v>
      </c>
      <c r="B22" s="80">
        <v>3</v>
      </c>
      <c r="C22" s="80">
        <v>4.0999999999999996</v>
      </c>
      <c r="D22" s="80">
        <v>8.4</v>
      </c>
      <c r="E22" s="80">
        <v>13</v>
      </c>
    </row>
    <row r="23" spans="1:5" ht="18" customHeight="1" x14ac:dyDescent="0.2">
      <c r="A23" s="78" t="s">
        <v>24</v>
      </c>
      <c r="B23" s="80">
        <v>1</v>
      </c>
      <c r="C23" s="80">
        <v>1.4</v>
      </c>
      <c r="D23" s="80">
        <v>2.8</v>
      </c>
      <c r="E23" s="80">
        <v>4.3</v>
      </c>
    </row>
    <row r="24" spans="1:5" ht="18" customHeight="1" x14ac:dyDescent="0.2">
      <c r="A24" s="78" t="s">
        <v>25</v>
      </c>
      <c r="B24" s="79" t="s">
        <v>38</v>
      </c>
      <c r="C24" s="79" t="s">
        <v>38</v>
      </c>
      <c r="D24" s="79">
        <v>0.8</v>
      </c>
      <c r="E24" s="79">
        <v>1.2</v>
      </c>
    </row>
    <row r="25" spans="1:5" ht="18" customHeight="1" x14ac:dyDescent="0.2">
      <c r="A25" s="76" t="s">
        <v>26</v>
      </c>
      <c r="B25" s="77">
        <v>0.04</v>
      </c>
      <c r="C25" s="77">
        <v>7.0000000000000007E-2</v>
      </c>
      <c r="D25" s="77">
        <v>7.4999999999999997E-2</v>
      </c>
      <c r="E25" s="77">
        <v>7.4999999999999997E-2</v>
      </c>
    </row>
    <row r="26" spans="1:5" ht="18" customHeight="1" x14ac:dyDescent="0.2">
      <c r="A26" s="78" t="s">
        <v>27</v>
      </c>
      <c r="B26" s="79">
        <v>1.3</v>
      </c>
      <c r="C26" s="79">
        <v>2.2999999999999998</v>
      </c>
      <c r="D26" s="79">
        <v>3.5</v>
      </c>
      <c r="E26" s="79">
        <v>3.5</v>
      </c>
    </row>
    <row r="27" spans="1:5" ht="18" customHeight="1" x14ac:dyDescent="0.2">
      <c r="A27" s="78" t="s">
        <v>39</v>
      </c>
      <c r="B27" s="79">
        <v>2.7</v>
      </c>
      <c r="C27" s="79">
        <v>4.7</v>
      </c>
      <c r="D27" s="80">
        <v>4</v>
      </c>
      <c r="E27" s="80">
        <v>4</v>
      </c>
    </row>
    <row r="28" spans="1:5" ht="17" x14ac:dyDescent="0.2">
      <c r="A28" s="81" t="s">
        <v>29</v>
      </c>
      <c r="B28" s="82">
        <v>1</v>
      </c>
      <c r="C28" s="82">
        <v>1</v>
      </c>
      <c r="D28" s="82">
        <v>1</v>
      </c>
      <c r="E28" s="82">
        <v>1</v>
      </c>
    </row>
    <row r="29" spans="1:5" ht="5" customHeight="1" x14ac:dyDescent="0.2">
      <c r="A29" s="8"/>
      <c r="B29" s="9"/>
      <c r="C29" s="9"/>
      <c r="D29" s="9"/>
      <c r="E29" s="9"/>
    </row>
    <row r="30" spans="1:5" ht="24" customHeight="1" x14ac:dyDescent="0.2">
      <c r="A30" s="83" t="s">
        <v>30</v>
      </c>
      <c r="B30" s="84">
        <v>4.3999999999999997E-2</v>
      </c>
      <c r="C30" s="84">
        <v>5.3999999999999999E-2</v>
      </c>
      <c r="D30" s="84">
        <v>6.5000000000000002E-2</v>
      </c>
      <c r="E30" s="84">
        <v>7.5999999999999998E-2</v>
      </c>
    </row>
    <row r="31" spans="1:5" ht="24" customHeight="1" x14ac:dyDescent="0.2">
      <c r="A31" s="83" t="s">
        <v>31</v>
      </c>
      <c r="B31" s="85">
        <v>0.6</v>
      </c>
      <c r="C31" s="85">
        <v>0.59</v>
      </c>
      <c r="D31" s="85">
        <v>0.53</v>
      </c>
      <c r="E31" s="85">
        <v>0.49</v>
      </c>
    </row>
    <row r="32" spans="1:5" ht="24" customHeight="1" x14ac:dyDescent="0.2">
      <c r="A32" s="83" t="s">
        <v>32</v>
      </c>
      <c r="B32" s="84">
        <v>3.1E-2</v>
      </c>
      <c r="C32" s="84">
        <v>4.9000000000000002E-2</v>
      </c>
      <c r="D32" s="84">
        <v>7.3999999999999996E-2</v>
      </c>
      <c r="E32" s="84">
        <v>0.10299999999999999</v>
      </c>
    </row>
    <row r="33" spans="1:5" ht="24" customHeight="1" x14ac:dyDescent="0.2">
      <c r="A33" s="83" t="s">
        <v>41</v>
      </c>
      <c r="B33" s="86" t="s">
        <v>33</v>
      </c>
      <c r="C33" s="86" t="s">
        <v>34</v>
      </c>
      <c r="D33" s="86" t="s">
        <v>35</v>
      </c>
      <c r="E33" s="86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G19" sqref="G19"/>
    </sheetView>
  </sheetViews>
  <sheetFormatPr baseColWidth="10" defaultRowHeight="15" x14ac:dyDescent="0.2"/>
  <cols>
    <col min="1" max="1" width="44" bestFit="1" customWidth="1"/>
    <col min="2" max="8" width="14.6640625" style="3" customWidth="1"/>
    <col min="9" max="9" width="14.6640625" customWidth="1"/>
  </cols>
  <sheetData>
    <row r="1" spans="1:9" ht="21" customHeight="1" x14ac:dyDescent="0.2">
      <c r="A1" s="57"/>
      <c r="B1" s="133" t="s">
        <v>0</v>
      </c>
      <c r="C1" s="133"/>
      <c r="D1" s="133" t="s">
        <v>1</v>
      </c>
      <c r="E1" s="133"/>
      <c r="F1" s="133" t="s">
        <v>2</v>
      </c>
      <c r="G1" s="133"/>
      <c r="H1" s="133" t="s">
        <v>3</v>
      </c>
      <c r="I1" s="139"/>
    </row>
    <row r="2" spans="1:9" ht="17" customHeight="1" x14ac:dyDescent="0.2">
      <c r="A2" s="58" t="s">
        <v>4</v>
      </c>
      <c r="B2" s="132">
        <v>0.745</v>
      </c>
      <c r="C2" s="132"/>
      <c r="D2" s="132" t="s">
        <v>40</v>
      </c>
      <c r="E2" s="132"/>
      <c r="F2" s="132">
        <v>0.36</v>
      </c>
      <c r="G2" s="132"/>
      <c r="H2" s="132">
        <v>0.15</v>
      </c>
      <c r="I2" s="132"/>
    </row>
    <row r="3" spans="1:9" ht="17" customHeight="1" x14ac:dyDescent="0.2">
      <c r="A3" s="59" t="s">
        <v>6</v>
      </c>
      <c r="B3" s="134">
        <v>0.02</v>
      </c>
      <c r="C3" s="134"/>
      <c r="D3" s="134">
        <v>0.03</v>
      </c>
      <c r="E3" s="134"/>
      <c r="F3" s="134">
        <v>4.4999999999999998E-2</v>
      </c>
      <c r="G3" s="134"/>
      <c r="H3" s="134">
        <v>5.5E-2</v>
      </c>
      <c r="I3" s="134"/>
    </row>
    <row r="4" spans="1:9" ht="17" customHeight="1" x14ac:dyDescent="0.2">
      <c r="A4" s="59" t="s">
        <v>8</v>
      </c>
      <c r="B4" s="134">
        <v>0.14000000000000001</v>
      </c>
      <c r="C4" s="134"/>
      <c r="D4" s="134">
        <v>0.22500000000000001</v>
      </c>
      <c r="E4" s="134"/>
      <c r="F4" s="134">
        <v>0.35499999999999998</v>
      </c>
      <c r="G4" s="134"/>
      <c r="H4" s="134">
        <v>0.505</v>
      </c>
      <c r="I4" s="134"/>
    </row>
    <row r="5" spans="1:9" ht="17" customHeight="1" x14ac:dyDescent="0.2">
      <c r="A5" s="59" t="s">
        <v>18</v>
      </c>
      <c r="B5" s="134">
        <v>1.4999999999999999E-2</v>
      </c>
      <c r="C5" s="134"/>
      <c r="D5" s="134">
        <v>3.5000000000000003E-2</v>
      </c>
      <c r="E5" s="134"/>
      <c r="F5" s="134">
        <v>4.4999999999999998E-2</v>
      </c>
      <c r="G5" s="134"/>
      <c r="H5" s="134">
        <v>0.03</v>
      </c>
      <c r="I5" s="134"/>
    </row>
    <row r="6" spans="1:9" ht="17" customHeight="1" x14ac:dyDescent="0.2">
      <c r="A6" s="59" t="s">
        <v>22</v>
      </c>
      <c r="B6" s="134">
        <v>0.04</v>
      </c>
      <c r="C6" s="134"/>
      <c r="D6" s="134">
        <v>5.5E-2</v>
      </c>
      <c r="E6" s="134"/>
      <c r="F6" s="134">
        <v>0.12</v>
      </c>
      <c r="G6" s="134"/>
      <c r="H6" s="134">
        <v>0.185</v>
      </c>
      <c r="I6" s="134"/>
    </row>
    <row r="7" spans="1:9" ht="17" customHeight="1" x14ac:dyDescent="0.2">
      <c r="A7" s="61" t="s">
        <v>26</v>
      </c>
      <c r="B7" s="138">
        <v>0.04</v>
      </c>
      <c r="C7" s="138"/>
      <c r="D7" s="138">
        <v>7.0000000000000007E-2</v>
      </c>
      <c r="E7" s="138"/>
      <c r="F7" s="138">
        <v>7.4999999999999997E-2</v>
      </c>
      <c r="G7" s="138"/>
      <c r="H7" s="138">
        <v>7.4999999999999997E-2</v>
      </c>
      <c r="I7" s="138"/>
    </row>
    <row r="8" spans="1:9" ht="17" customHeight="1" x14ac:dyDescent="0.2">
      <c r="A8" s="62" t="s">
        <v>30</v>
      </c>
      <c r="B8" s="137">
        <v>4.3999999999999997E-2</v>
      </c>
      <c r="C8" s="137"/>
      <c r="D8" s="137">
        <v>5.3999999999999999E-2</v>
      </c>
      <c r="E8" s="137"/>
      <c r="F8" s="137">
        <v>6.5000000000000002E-2</v>
      </c>
      <c r="G8" s="137"/>
      <c r="H8" s="137">
        <v>7.5999999999999998E-2</v>
      </c>
      <c r="I8" s="137"/>
    </row>
    <row r="9" spans="1:9" ht="17" customHeight="1" x14ac:dyDescent="0.2">
      <c r="A9" s="62" t="s">
        <v>31</v>
      </c>
      <c r="B9" s="136">
        <v>0.6</v>
      </c>
      <c r="C9" s="136"/>
      <c r="D9" s="136">
        <v>0.59</v>
      </c>
      <c r="E9" s="136"/>
      <c r="F9" s="136">
        <v>0.53</v>
      </c>
      <c r="G9" s="136"/>
      <c r="H9" s="136">
        <v>0.49</v>
      </c>
      <c r="I9" s="136"/>
    </row>
    <row r="10" spans="1:9" ht="17" customHeight="1" x14ac:dyDescent="0.2">
      <c r="A10" s="62" t="s">
        <v>32</v>
      </c>
      <c r="B10" s="134">
        <v>3.1E-2</v>
      </c>
      <c r="C10" s="134"/>
      <c r="D10" s="134">
        <v>4.9000000000000002E-2</v>
      </c>
      <c r="E10" s="134"/>
      <c r="F10" s="134">
        <v>7.3999999999999996E-2</v>
      </c>
      <c r="G10" s="134"/>
      <c r="H10" s="134">
        <v>0.10299999999999999</v>
      </c>
      <c r="I10" s="134"/>
    </row>
    <row r="11" spans="1:9" ht="17" customHeight="1" x14ac:dyDescent="0.2">
      <c r="A11" s="62" t="s">
        <v>41</v>
      </c>
      <c r="B11" s="135" t="s">
        <v>33</v>
      </c>
      <c r="C11" s="135"/>
      <c r="D11" s="135" t="s">
        <v>34</v>
      </c>
      <c r="E11" s="135"/>
      <c r="F11" s="135" t="s">
        <v>35</v>
      </c>
      <c r="G11" s="135"/>
      <c r="H11" s="135" t="s">
        <v>36</v>
      </c>
      <c r="I11" s="135"/>
    </row>
    <row r="12" spans="1:9" s="10" customFormat="1" ht="17" customHeight="1" x14ac:dyDescent="0.2">
      <c r="A12" s="63" t="s">
        <v>42</v>
      </c>
      <c r="B12" s="63"/>
      <c r="C12" s="63"/>
      <c r="D12" s="63"/>
      <c r="E12" s="63"/>
      <c r="F12" s="63"/>
      <c r="G12" s="63"/>
      <c r="H12" s="63"/>
      <c r="I12" s="63"/>
    </row>
    <row r="13" spans="1:9" ht="17" customHeight="1" x14ac:dyDescent="0.2">
      <c r="A13" s="64" t="s">
        <v>43</v>
      </c>
      <c r="B13" s="65" t="s">
        <v>52</v>
      </c>
      <c r="C13" s="65" t="s">
        <v>53</v>
      </c>
      <c r="D13" s="65" t="s">
        <v>52</v>
      </c>
      <c r="E13" s="65" t="s">
        <v>53</v>
      </c>
      <c r="F13" s="65" t="s">
        <v>52</v>
      </c>
      <c r="G13" s="65" t="s">
        <v>53</v>
      </c>
      <c r="H13" s="65" t="s">
        <v>52</v>
      </c>
      <c r="I13" s="65" t="s">
        <v>53</v>
      </c>
    </row>
    <row r="14" spans="1:9" ht="17" customHeight="1" x14ac:dyDescent="0.2">
      <c r="A14" s="66" t="s">
        <v>44</v>
      </c>
      <c r="B14" s="67">
        <v>-3.3000000000000002E-2</v>
      </c>
      <c r="C14" s="67">
        <v>-0.184</v>
      </c>
      <c r="D14" s="67">
        <v>-0.11799999999999999</v>
      </c>
      <c r="E14" s="67">
        <v>-0.25600000000000001</v>
      </c>
      <c r="F14" s="67">
        <v>-0.2</v>
      </c>
      <c r="G14" s="67">
        <v>-0.32700000000000001</v>
      </c>
      <c r="H14" s="67">
        <v>-0.28299999999999997</v>
      </c>
      <c r="I14" s="67">
        <v>-0.39500000000000002</v>
      </c>
    </row>
    <row r="15" spans="1:9" ht="17" customHeight="1" x14ac:dyDescent="0.2">
      <c r="A15" s="66" t="s">
        <v>45</v>
      </c>
      <c r="B15" s="67">
        <v>7.0000000000000007E-2</v>
      </c>
      <c r="C15" s="67">
        <v>-9.8000000000000004E-2</v>
      </c>
      <c r="D15" s="67">
        <v>3.5000000000000003E-2</v>
      </c>
      <c r="E15" s="67">
        <v>-0.128</v>
      </c>
      <c r="F15" s="67">
        <v>5.6000000000000001E-2</v>
      </c>
      <c r="G15" s="67">
        <v>-0.11</v>
      </c>
      <c r="H15" s="67">
        <v>7.6999999999999999E-2</v>
      </c>
      <c r="I15" s="67">
        <v>-9.1999999999999998E-2</v>
      </c>
    </row>
    <row r="16" spans="1:9" ht="17" customHeight="1" x14ac:dyDescent="0.2">
      <c r="A16" s="66" t="s">
        <v>46</v>
      </c>
      <c r="B16" s="67">
        <v>0.16200000000000001</v>
      </c>
      <c r="C16" s="67">
        <v>0.02</v>
      </c>
      <c r="D16" s="67">
        <v>0.112</v>
      </c>
      <c r="E16" s="67">
        <v>-2.3E-2</v>
      </c>
      <c r="F16" s="67">
        <v>4.5999999999999999E-2</v>
      </c>
      <c r="G16" s="67">
        <v>-8.2000000000000003E-2</v>
      </c>
      <c r="H16" s="67">
        <v>-2.1000000000000001E-2</v>
      </c>
      <c r="I16" s="67">
        <v>-0.14000000000000001</v>
      </c>
    </row>
    <row r="17" spans="1:9" ht="17" customHeight="1" x14ac:dyDescent="0.2">
      <c r="A17" s="66" t="s">
        <v>47</v>
      </c>
      <c r="B17" s="67">
        <v>-2.5000000000000001E-2</v>
      </c>
      <c r="C17" s="67">
        <v>-2.8000000000000001E-2</v>
      </c>
      <c r="D17" s="67">
        <v>-4.8000000000000001E-2</v>
      </c>
      <c r="E17" s="67">
        <v>-0.05</v>
      </c>
      <c r="F17" s="67">
        <v>-9.7000000000000003E-2</v>
      </c>
      <c r="G17" s="67">
        <v>-9.9000000000000005E-2</v>
      </c>
      <c r="H17" s="67">
        <v>-0.14799999999999999</v>
      </c>
      <c r="I17" s="67">
        <v>-0.15</v>
      </c>
    </row>
    <row r="18" spans="1:9" ht="17" customHeight="1" x14ac:dyDescent="0.2">
      <c r="A18" s="66" t="s">
        <v>48</v>
      </c>
      <c r="B18" s="67">
        <v>-1.4999999999999999E-2</v>
      </c>
      <c r="C18" s="67">
        <v>-3.5999999999999997E-2</v>
      </c>
      <c r="D18" s="67">
        <v>-3.3000000000000002E-2</v>
      </c>
      <c r="E18" s="67">
        <v>-5.2999999999999999E-2</v>
      </c>
      <c r="F18" s="67">
        <v>-2.7E-2</v>
      </c>
      <c r="G18" s="67">
        <v>-4.7E-2</v>
      </c>
      <c r="H18" s="67">
        <v>-2.1999999999999999E-2</v>
      </c>
      <c r="I18" s="67">
        <v>-4.2000000000000003E-2</v>
      </c>
    </row>
    <row r="19" spans="1:9" ht="17" customHeight="1" x14ac:dyDescent="0.2">
      <c r="A19" s="66" t="s">
        <v>49</v>
      </c>
      <c r="B19" s="67">
        <v>1.0999999999999999E-2</v>
      </c>
      <c r="C19" s="67">
        <v>-4.3999999999999997E-2</v>
      </c>
      <c r="D19" s="67">
        <v>-4.9000000000000002E-2</v>
      </c>
      <c r="E19" s="67">
        <v>-0.1</v>
      </c>
      <c r="F19" s="67">
        <v>-0.16700000000000001</v>
      </c>
      <c r="G19" s="67">
        <v>-0.21199999999999999</v>
      </c>
      <c r="H19" s="67">
        <v>-0.27500000000000002</v>
      </c>
      <c r="I19" s="67">
        <v>-0.315</v>
      </c>
    </row>
    <row r="20" spans="1:9" ht="17" customHeight="1" x14ac:dyDescent="0.2">
      <c r="A20" s="66" t="s">
        <v>50</v>
      </c>
      <c r="B20" s="67">
        <v>-8.7999999999999995E-2</v>
      </c>
      <c r="C20" s="67">
        <v>-0.10299999999999999</v>
      </c>
      <c r="D20" s="67">
        <v>-0.159</v>
      </c>
      <c r="E20" s="67">
        <v>-0.17299999999999999</v>
      </c>
      <c r="F20" s="67">
        <v>-0.28299999999999997</v>
      </c>
      <c r="G20" s="67">
        <v>-0.29499999999999998</v>
      </c>
      <c r="H20" s="67">
        <v>-0.39300000000000002</v>
      </c>
      <c r="I20" s="67">
        <v>-0.40300000000000002</v>
      </c>
    </row>
    <row r="21" spans="1:9" ht="17" customHeight="1" x14ac:dyDescent="0.2">
      <c r="A21" s="68" t="s">
        <v>51</v>
      </c>
      <c r="B21" s="69">
        <v>-0.03</v>
      </c>
      <c r="C21" s="69">
        <v>-2.8000000000000001E-2</v>
      </c>
      <c r="D21" s="69">
        <v>-5.2999999999999999E-2</v>
      </c>
      <c r="E21" s="69">
        <v>-5.0999999999999997E-2</v>
      </c>
      <c r="F21" s="69">
        <v>-9.8000000000000004E-2</v>
      </c>
      <c r="G21" s="69">
        <v>-9.7000000000000003E-2</v>
      </c>
      <c r="H21" s="69">
        <v>-0.14499999999999999</v>
      </c>
      <c r="I21" s="69">
        <v>-0.14299999999999999</v>
      </c>
    </row>
    <row r="22" spans="1:9" ht="17" customHeight="1" x14ac:dyDescent="0.2">
      <c r="A22" s="64" t="s">
        <v>54</v>
      </c>
      <c r="B22" s="70"/>
      <c r="C22" s="70"/>
      <c r="D22" s="70"/>
      <c r="E22" s="70"/>
      <c r="F22" s="70"/>
      <c r="G22" s="70"/>
      <c r="H22" s="70"/>
      <c r="I22" s="64"/>
    </row>
    <row r="23" spans="1:9" ht="17" customHeight="1" x14ac:dyDescent="0.2">
      <c r="A23" s="66" t="s">
        <v>55</v>
      </c>
      <c r="B23" s="140">
        <v>2.1999999999999999E-2</v>
      </c>
      <c r="C23" s="140"/>
      <c r="D23" s="140">
        <v>3.7999999999999999E-2</v>
      </c>
      <c r="E23" s="140"/>
      <c r="F23" s="140">
        <v>6.3E-2</v>
      </c>
      <c r="G23" s="140"/>
      <c r="H23" s="140">
        <v>8.8999999999999996E-2</v>
      </c>
      <c r="I23" s="140"/>
    </row>
    <row r="24" spans="1:9" ht="17" customHeight="1" x14ac:dyDescent="0.2">
      <c r="A24" s="66" t="s">
        <v>56</v>
      </c>
      <c r="B24" s="140">
        <v>3.5000000000000003E-2</v>
      </c>
      <c r="C24" s="140"/>
      <c r="D24" s="140">
        <v>8.2000000000000003E-2</v>
      </c>
      <c r="E24" s="140"/>
      <c r="F24" s="140">
        <v>0.16200000000000001</v>
      </c>
      <c r="G24" s="140"/>
      <c r="H24" s="140">
        <v>0.24299999999999999</v>
      </c>
      <c r="I24" s="140"/>
    </row>
    <row r="25" spans="1:9" ht="17" customHeight="1" x14ac:dyDescent="0.2">
      <c r="A25" s="66" t="s">
        <v>57</v>
      </c>
      <c r="B25" s="141">
        <v>0</v>
      </c>
      <c r="C25" s="141"/>
      <c r="D25" s="141">
        <v>4.3999999999999997E-2</v>
      </c>
      <c r="E25" s="141"/>
      <c r="F25" s="141">
        <v>0.14899999999999999</v>
      </c>
      <c r="G25" s="141"/>
      <c r="H25" s="141">
        <v>0.253</v>
      </c>
      <c r="I25" s="141"/>
    </row>
    <row r="26" spans="1:9" ht="17" customHeight="1" x14ac:dyDescent="0.2">
      <c r="A26" s="71" t="s">
        <v>58</v>
      </c>
      <c r="B26" s="72"/>
      <c r="C26" s="72"/>
      <c r="D26" s="72"/>
      <c r="E26" s="72"/>
      <c r="F26" s="72"/>
      <c r="G26" s="72"/>
      <c r="H26" s="72"/>
      <c r="I26" s="72"/>
    </row>
    <row r="27" spans="1:9" ht="17" customHeight="1" x14ac:dyDescent="0.2">
      <c r="A27" s="66" t="s">
        <v>55</v>
      </c>
      <c r="B27" s="140">
        <v>0.23799999999999999</v>
      </c>
      <c r="C27" s="140"/>
      <c r="D27" s="140">
        <v>0.27900000000000003</v>
      </c>
      <c r="E27" s="140"/>
      <c r="F27" s="140">
        <v>0.314</v>
      </c>
      <c r="G27" s="140"/>
      <c r="H27" s="140">
        <v>0.33700000000000002</v>
      </c>
      <c r="I27" s="140"/>
    </row>
    <row r="28" spans="1:9" ht="17" customHeight="1" x14ac:dyDescent="0.2">
      <c r="A28" s="66" t="s">
        <v>56</v>
      </c>
      <c r="B28" s="140">
        <v>0.04</v>
      </c>
      <c r="C28" s="140"/>
      <c r="D28" s="140">
        <v>8.4000000000000005E-2</v>
      </c>
      <c r="E28" s="140"/>
      <c r="F28" s="140">
        <v>0.14299999999999999</v>
      </c>
      <c r="G28" s="140"/>
      <c r="H28" s="140">
        <v>0.187</v>
      </c>
      <c r="I28" s="140"/>
    </row>
    <row r="29" spans="1:9" ht="17" customHeight="1" x14ac:dyDescent="0.2">
      <c r="A29" s="66" t="s">
        <v>57</v>
      </c>
      <c r="B29" s="140">
        <v>8.0000000000000002E-3</v>
      </c>
      <c r="C29" s="140"/>
      <c r="D29" s="140">
        <v>2.5999999999999999E-2</v>
      </c>
      <c r="E29" s="140"/>
      <c r="F29" s="140">
        <v>7.0000000000000007E-2</v>
      </c>
      <c r="G29" s="140"/>
      <c r="H29" s="140">
        <v>0.108</v>
      </c>
      <c r="I29" s="140"/>
    </row>
    <row r="30" spans="1:9" ht="22" customHeight="1" x14ac:dyDescent="0.2">
      <c r="A30" s="63" t="s">
        <v>59</v>
      </c>
      <c r="B30" s="73"/>
      <c r="C30" s="73"/>
      <c r="D30" s="73"/>
      <c r="E30" s="73"/>
      <c r="F30" s="73"/>
      <c r="G30" s="73"/>
      <c r="H30" s="73"/>
      <c r="I30" s="73"/>
    </row>
    <row r="31" spans="1:9" ht="16" x14ac:dyDescent="0.2">
      <c r="A31" s="11"/>
      <c r="B31" s="12"/>
      <c r="C31" s="12"/>
      <c r="D31" s="12"/>
      <c r="E31" s="12"/>
      <c r="F31" s="12"/>
      <c r="G31" s="12"/>
      <c r="H31" s="12"/>
      <c r="I31" s="11"/>
    </row>
    <row r="32" spans="1:9" ht="16" x14ac:dyDescent="0.2">
      <c r="A32" s="11"/>
      <c r="B32" s="12"/>
      <c r="C32" s="12"/>
      <c r="D32" s="12"/>
      <c r="E32" s="12"/>
      <c r="F32" s="12"/>
      <c r="G32" s="12"/>
      <c r="H32" s="12"/>
      <c r="I32" s="11"/>
    </row>
    <row r="33" spans="1:9" ht="16" x14ac:dyDescent="0.2">
      <c r="A33" s="11"/>
      <c r="B33" s="12"/>
      <c r="C33" s="12"/>
      <c r="D33" s="12"/>
      <c r="E33" s="12"/>
      <c r="F33" s="12"/>
      <c r="G33" s="12"/>
      <c r="H33" s="12"/>
      <c r="I33" s="11"/>
    </row>
    <row r="34" spans="1:9" ht="16" x14ac:dyDescent="0.2">
      <c r="A34" s="11"/>
      <c r="B34" s="12"/>
      <c r="C34" s="12"/>
      <c r="D34" s="12"/>
      <c r="E34" s="12"/>
      <c r="F34" s="12"/>
      <c r="G34" s="12"/>
      <c r="H34" s="12"/>
      <c r="I34" s="11"/>
    </row>
    <row r="35" spans="1:9" ht="16" x14ac:dyDescent="0.2">
      <c r="A35" s="11"/>
      <c r="B35" s="12"/>
      <c r="C35" s="12"/>
      <c r="D35" s="12"/>
      <c r="E35" s="12"/>
      <c r="F35" s="12"/>
      <c r="G35" s="12"/>
      <c r="H35" s="12"/>
      <c r="I35" s="11"/>
    </row>
    <row r="36" spans="1:9" ht="16" x14ac:dyDescent="0.2">
      <c r="A36" s="11"/>
      <c r="B36" s="12"/>
      <c r="C36" s="12"/>
      <c r="D36" s="12"/>
      <c r="E36" s="12"/>
      <c r="F36" s="12"/>
      <c r="G36" s="12"/>
      <c r="H36" s="12"/>
      <c r="I36" s="11"/>
    </row>
    <row r="37" spans="1:9" ht="16" x14ac:dyDescent="0.2">
      <c r="A37" s="11"/>
      <c r="B37" s="12"/>
      <c r="C37" s="12"/>
      <c r="D37" s="12"/>
      <c r="E37" s="12"/>
      <c r="F37" s="12"/>
      <c r="G37" s="12"/>
      <c r="H37" s="12"/>
      <c r="I37" s="11"/>
    </row>
    <row r="38" spans="1:9" ht="16" x14ac:dyDescent="0.2">
      <c r="A38" s="11"/>
      <c r="B38" s="12"/>
      <c r="C38" s="12"/>
      <c r="D38" s="12"/>
      <c r="E38" s="12"/>
      <c r="F38" s="12"/>
      <c r="G38" s="12"/>
      <c r="H38" s="12"/>
      <c r="I38" s="11"/>
    </row>
    <row r="39" spans="1:9" x14ac:dyDescent="0.2">
      <c r="A39" s="4"/>
      <c r="B39" s="5"/>
      <c r="C39" s="5"/>
      <c r="D39" s="5"/>
      <c r="E39" s="5"/>
      <c r="F39" s="5"/>
      <c r="G39" s="5"/>
      <c r="H39" s="5"/>
      <c r="I39" s="4"/>
    </row>
    <row r="40" spans="1:9" x14ac:dyDescent="0.2">
      <c r="A40" s="4"/>
      <c r="B40" s="5"/>
      <c r="C40" s="5"/>
      <c r="D40" s="5"/>
      <c r="E40" s="5"/>
      <c r="F40" s="5"/>
      <c r="G40" s="5"/>
      <c r="H40" s="5"/>
      <c r="I40" s="4"/>
    </row>
    <row r="41" spans="1:9" x14ac:dyDescent="0.2">
      <c r="A41" s="4"/>
      <c r="B41" s="5"/>
      <c r="C41" s="5"/>
      <c r="D41" s="5"/>
      <c r="E41" s="5"/>
      <c r="F41" s="5"/>
      <c r="G41" s="5"/>
      <c r="H41" s="5"/>
      <c r="I41" s="4"/>
    </row>
    <row r="42" spans="1:9" x14ac:dyDescent="0.2">
      <c r="A42" s="4"/>
      <c r="B42" s="5"/>
      <c r="C42" s="5"/>
      <c r="D42" s="5"/>
      <c r="E42" s="5"/>
      <c r="F42" s="5"/>
      <c r="G42" s="5"/>
      <c r="H42" s="5"/>
      <c r="I42" s="4"/>
    </row>
    <row r="43" spans="1:9" x14ac:dyDescent="0.2">
      <c r="A43" s="4"/>
      <c r="B43" s="5"/>
      <c r="C43" s="5"/>
      <c r="D43" s="5"/>
      <c r="E43" s="5"/>
      <c r="F43" s="5"/>
      <c r="G43" s="5"/>
      <c r="H43" s="5"/>
      <c r="I43" s="4"/>
    </row>
    <row r="44" spans="1:9" x14ac:dyDescent="0.2">
      <c r="A44" s="4"/>
      <c r="B44" s="5"/>
      <c r="C44" s="5"/>
      <c r="D44" s="5"/>
      <c r="E44" s="5"/>
      <c r="F44" s="5"/>
      <c r="G44" s="5"/>
      <c r="H44" s="5"/>
      <c r="I44" s="4"/>
    </row>
    <row r="45" spans="1:9" x14ac:dyDescent="0.2">
      <c r="A45" s="4"/>
      <c r="B45" s="5"/>
      <c r="C45" s="5"/>
      <c r="D45" s="5"/>
      <c r="E45" s="5"/>
      <c r="F45" s="5"/>
      <c r="G45" s="5"/>
      <c r="H45" s="5"/>
      <c r="I45" s="4"/>
    </row>
    <row r="46" spans="1:9" x14ac:dyDescent="0.2">
      <c r="A46" s="4"/>
      <c r="B46" s="5"/>
      <c r="C46" s="5"/>
      <c r="D46" s="5"/>
      <c r="E46" s="5"/>
      <c r="F46" s="5"/>
      <c r="G46" s="5"/>
      <c r="H46" s="5"/>
      <c r="I46" s="4"/>
    </row>
    <row r="47" spans="1:9" x14ac:dyDescent="0.2">
      <c r="A47" s="4"/>
      <c r="B47" s="5"/>
      <c r="C47" s="5"/>
      <c r="D47" s="5"/>
      <c r="E47" s="5"/>
      <c r="F47" s="5"/>
      <c r="G47" s="5"/>
      <c r="H47" s="5"/>
      <c r="I47" s="4"/>
    </row>
    <row r="48" spans="1:9" x14ac:dyDescent="0.2">
      <c r="A48" s="4"/>
      <c r="B48" s="5"/>
      <c r="C48" s="5"/>
      <c r="D48" s="5"/>
      <c r="E48" s="5"/>
      <c r="F48" s="5"/>
      <c r="G48" s="5"/>
      <c r="H48" s="5"/>
      <c r="I48" s="4"/>
    </row>
    <row r="49" spans="1:9" x14ac:dyDescent="0.2">
      <c r="A49" s="4"/>
      <c r="B49" s="5"/>
      <c r="C49" s="5"/>
      <c r="D49" s="5"/>
      <c r="E49" s="5"/>
      <c r="F49" s="5"/>
      <c r="G49" s="5"/>
      <c r="H49" s="5"/>
      <c r="I49" s="4"/>
    </row>
    <row r="50" spans="1:9" x14ac:dyDescent="0.2">
      <c r="A50" s="4"/>
      <c r="B50" s="5"/>
      <c r="C50" s="5"/>
      <c r="D50" s="5"/>
      <c r="E50" s="5"/>
      <c r="F50" s="5"/>
      <c r="G50" s="5"/>
      <c r="H50" s="5"/>
      <c r="I50" s="4"/>
    </row>
    <row r="51" spans="1:9" x14ac:dyDescent="0.2">
      <c r="A51" s="4"/>
      <c r="B51" s="5"/>
      <c r="C51" s="5"/>
      <c r="D51" s="5"/>
      <c r="E51" s="5"/>
      <c r="F51" s="5"/>
      <c r="G51" s="5"/>
      <c r="H51" s="5"/>
      <c r="I51" s="4"/>
    </row>
    <row r="52" spans="1:9" x14ac:dyDescent="0.2">
      <c r="A52" s="4"/>
      <c r="B52" s="5"/>
      <c r="C52" s="5"/>
      <c r="D52" s="5"/>
      <c r="E52" s="5"/>
      <c r="F52" s="5"/>
      <c r="G52" s="5"/>
      <c r="H52" s="5"/>
      <c r="I52" s="4"/>
    </row>
    <row r="53" spans="1:9" x14ac:dyDescent="0.2">
      <c r="A53" s="4"/>
      <c r="B53" s="5"/>
      <c r="C53" s="5"/>
      <c r="D53" s="5"/>
      <c r="E53" s="5"/>
      <c r="F53" s="5"/>
      <c r="G53" s="5"/>
      <c r="H53" s="5"/>
      <c r="I53" s="4"/>
    </row>
    <row r="54" spans="1:9" x14ac:dyDescent="0.2">
      <c r="A54" s="4"/>
      <c r="B54" s="5"/>
      <c r="C54" s="5"/>
      <c r="D54" s="5"/>
      <c r="E54" s="5"/>
      <c r="F54" s="5"/>
      <c r="G54" s="5"/>
      <c r="H54" s="5"/>
      <c r="I54" s="4"/>
    </row>
    <row r="55" spans="1:9" x14ac:dyDescent="0.2">
      <c r="A55" s="4"/>
      <c r="B55" s="5"/>
      <c r="C55" s="5"/>
      <c r="D55" s="5"/>
      <c r="E55" s="5"/>
      <c r="F55" s="5"/>
      <c r="G55" s="5"/>
      <c r="H55" s="5"/>
      <c r="I55" s="4"/>
    </row>
    <row r="56" spans="1:9" x14ac:dyDescent="0.2">
      <c r="A56" s="4"/>
      <c r="B56" s="5"/>
      <c r="C56" s="5"/>
      <c r="D56" s="5"/>
      <c r="E56" s="5"/>
      <c r="F56" s="5"/>
      <c r="G56" s="5"/>
      <c r="H56" s="5"/>
      <c r="I56" s="4"/>
    </row>
    <row r="57" spans="1:9" x14ac:dyDescent="0.2">
      <c r="A57" s="4"/>
      <c r="B57" s="5"/>
      <c r="C57" s="5"/>
      <c r="D57" s="5"/>
      <c r="E57" s="5"/>
      <c r="F57" s="5"/>
      <c r="G57" s="5"/>
      <c r="H57" s="5"/>
      <c r="I57" s="4"/>
    </row>
    <row r="58" spans="1:9" x14ac:dyDescent="0.2">
      <c r="A58" s="4"/>
      <c r="B58" s="5"/>
      <c r="C58" s="5"/>
      <c r="D58" s="5"/>
      <c r="E58" s="5"/>
      <c r="F58" s="5"/>
      <c r="G58" s="5"/>
      <c r="H58" s="5"/>
      <c r="I58" s="4"/>
    </row>
    <row r="59" spans="1:9" x14ac:dyDescent="0.2">
      <c r="A59" s="4"/>
      <c r="B59" s="5"/>
      <c r="C59" s="5"/>
      <c r="D59" s="5"/>
      <c r="E59" s="5"/>
      <c r="F59" s="5"/>
      <c r="G59" s="5"/>
      <c r="H59" s="5"/>
      <c r="I59" s="4"/>
    </row>
    <row r="60" spans="1:9" x14ac:dyDescent="0.2">
      <c r="A60" s="4"/>
      <c r="B60" s="5"/>
      <c r="C60" s="5"/>
      <c r="D60" s="5"/>
      <c r="E60" s="5"/>
      <c r="F60" s="5"/>
      <c r="G60" s="5"/>
      <c r="H60" s="5"/>
      <c r="I60" s="4"/>
    </row>
    <row r="61" spans="1:9" x14ac:dyDescent="0.2">
      <c r="A61" s="4"/>
      <c r="B61" s="5"/>
      <c r="C61" s="5"/>
      <c r="D61" s="5"/>
      <c r="E61" s="5"/>
      <c r="F61" s="5"/>
      <c r="G61" s="5"/>
      <c r="H61" s="5"/>
      <c r="I61" s="4"/>
    </row>
    <row r="62" spans="1:9" x14ac:dyDescent="0.2">
      <c r="A62" s="4"/>
      <c r="B62" s="5"/>
      <c r="C62" s="5"/>
      <c r="D62" s="5"/>
      <c r="E62" s="5"/>
      <c r="F62" s="5"/>
      <c r="G62" s="5"/>
      <c r="H62" s="5"/>
      <c r="I62" s="4"/>
    </row>
    <row r="63" spans="1:9" x14ac:dyDescent="0.2">
      <c r="A63" s="4"/>
      <c r="B63" s="5"/>
      <c r="C63" s="5"/>
      <c r="D63" s="5"/>
      <c r="E63" s="5"/>
      <c r="F63" s="5"/>
      <c r="G63" s="5"/>
      <c r="H63" s="5"/>
      <c r="I63" s="4"/>
    </row>
    <row r="64" spans="1:9" x14ac:dyDescent="0.2">
      <c r="A64" s="4"/>
      <c r="B64" s="5"/>
      <c r="C64" s="5"/>
      <c r="D64" s="5"/>
      <c r="E64" s="5"/>
      <c r="F64" s="5"/>
      <c r="G64" s="5"/>
      <c r="H64" s="5"/>
      <c r="I64" s="4"/>
    </row>
    <row r="65" spans="9:9" x14ac:dyDescent="0.2">
      <c r="I65" s="4"/>
    </row>
  </sheetData>
  <mergeCells count="68"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6:I6"/>
    <mergeCell ref="H7:I7"/>
    <mergeCell ref="H8:I8"/>
    <mergeCell ref="H9:I9"/>
    <mergeCell ref="H10:I10"/>
    <mergeCell ref="H11:I11"/>
    <mergeCell ref="F7:G7"/>
    <mergeCell ref="F8:G8"/>
    <mergeCell ref="F9:G9"/>
    <mergeCell ref="F10:G10"/>
    <mergeCell ref="F11:G11"/>
    <mergeCell ref="H1:I1"/>
    <mergeCell ref="H2:I2"/>
    <mergeCell ref="H3:I3"/>
    <mergeCell ref="H4:I4"/>
    <mergeCell ref="H5:I5"/>
    <mergeCell ref="F1:G1"/>
    <mergeCell ref="F2:G2"/>
    <mergeCell ref="F3:G3"/>
    <mergeCell ref="F4:G4"/>
    <mergeCell ref="F5:G5"/>
    <mergeCell ref="F6:G6"/>
    <mergeCell ref="D6:E6"/>
    <mergeCell ref="D7:E7"/>
    <mergeCell ref="D8:E8"/>
    <mergeCell ref="D9:E9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B2:C2"/>
    <mergeCell ref="B1:C1"/>
    <mergeCell ref="D1:E1"/>
    <mergeCell ref="D2:E2"/>
    <mergeCell ref="D3:E3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17" sqref="G17"/>
    </sheetView>
  </sheetViews>
  <sheetFormatPr baseColWidth="10" defaultRowHeight="15" x14ac:dyDescent="0.2"/>
  <cols>
    <col min="1" max="1" width="13.83203125" style="13" bestFit="1" customWidth="1"/>
    <col min="2" max="4" width="10.83203125" style="3"/>
    <col min="5" max="5" width="5.33203125" customWidth="1"/>
  </cols>
  <sheetData>
    <row r="1" spans="1:7" x14ac:dyDescent="0.2">
      <c r="A1" s="14"/>
      <c r="B1" s="5" t="s">
        <v>66</v>
      </c>
      <c r="C1" s="5" t="s">
        <v>67</v>
      </c>
      <c r="D1" s="5" t="s">
        <v>68</v>
      </c>
      <c r="E1" s="4"/>
      <c r="F1" s="4"/>
      <c r="G1" s="4"/>
    </row>
    <row r="2" spans="1:7" x14ac:dyDescent="0.2">
      <c r="A2" s="14" t="s">
        <v>60</v>
      </c>
      <c r="B2" s="5"/>
      <c r="C2" s="5"/>
      <c r="D2" s="5"/>
      <c r="E2" s="16"/>
      <c r="F2" s="4"/>
      <c r="G2" s="4"/>
    </row>
    <row r="3" spans="1:7" x14ac:dyDescent="0.2">
      <c r="A3" s="14" t="s">
        <v>61</v>
      </c>
      <c r="B3" s="5"/>
      <c r="C3" s="5"/>
      <c r="D3" s="5"/>
      <c r="E3" s="15"/>
      <c r="F3" s="4"/>
      <c r="G3" s="4"/>
    </row>
    <row r="4" spans="1:7" x14ac:dyDescent="0.2">
      <c r="A4" s="14" t="s">
        <v>62</v>
      </c>
      <c r="B4" s="5"/>
      <c r="C4" s="5"/>
      <c r="D4" s="5"/>
      <c r="E4" s="17"/>
      <c r="F4" s="4"/>
      <c r="G4" s="4"/>
    </row>
    <row r="5" spans="1:7" x14ac:dyDescent="0.2">
      <c r="A5" s="14" t="s">
        <v>63</v>
      </c>
      <c r="B5" s="5"/>
      <c r="C5" s="5"/>
      <c r="D5" s="5"/>
      <c r="E5" s="18"/>
      <c r="F5" s="4"/>
      <c r="G5" s="4"/>
    </row>
    <row r="6" spans="1:7" x14ac:dyDescent="0.2">
      <c r="A6" s="14" t="s">
        <v>64</v>
      </c>
      <c r="B6" s="5"/>
      <c r="C6" s="5"/>
      <c r="D6" s="5"/>
      <c r="E6" s="19"/>
      <c r="F6" s="4"/>
      <c r="G6" s="4"/>
    </row>
    <row r="7" spans="1:7" x14ac:dyDescent="0.2">
      <c r="A7" s="14" t="s">
        <v>65</v>
      </c>
      <c r="B7" s="5"/>
      <c r="C7" s="5"/>
      <c r="D7" s="5"/>
      <c r="E7" s="20"/>
      <c r="F7" s="4"/>
      <c r="G7" s="4"/>
    </row>
    <row r="8" spans="1:7" x14ac:dyDescent="0.2">
      <c r="A8" s="14"/>
      <c r="B8" s="5"/>
      <c r="C8" s="5"/>
      <c r="D8" s="5"/>
      <c r="E8" s="4"/>
      <c r="F8" s="4"/>
      <c r="G8" s="4"/>
    </row>
    <row r="9" spans="1:7" x14ac:dyDescent="0.2">
      <c r="A9" s="14"/>
      <c r="B9" s="5"/>
      <c r="C9" s="5"/>
      <c r="D9" s="5"/>
      <c r="E9" s="4"/>
      <c r="F9" s="4"/>
      <c r="G9" s="4"/>
    </row>
    <row r="10" spans="1:7" x14ac:dyDescent="0.2">
      <c r="A10" s="14"/>
      <c r="B10" s="5"/>
      <c r="C10" s="5"/>
      <c r="D10" s="5"/>
      <c r="E10" s="4"/>
      <c r="F10" s="4"/>
      <c r="G10" s="4"/>
    </row>
    <row r="11" spans="1:7" x14ac:dyDescent="0.2">
      <c r="A11" s="14"/>
      <c r="B11" s="5"/>
      <c r="C11" s="5"/>
      <c r="D11" s="5"/>
      <c r="E11" s="4"/>
      <c r="F11" s="4"/>
      <c r="G11" s="4"/>
    </row>
    <row r="12" spans="1:7" x14ac:dyDescent="0.2">
      <c r="A12" s="14"/>
      <c r="B12" s="5"/>
      <c r="C12" s="5"/>
      <c r="D12" s="5"/>
      <c r="E12" s="4"/>
      <c r="F12" s="4"/>
      <c r="G12" s="4"/>
    </row>
    <row r="13" spans="1:7" x14ac:dyDescent="0.2">
      <c r="A13" s="14"/>
      <c r="B13" s="5"/>
      <c r="C13" s="5"/>
      <c r="D13" s="5"/>
      <c r="E13" s="4"/>
      <c r="F13" s="4"/>
      <c r="G1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tabSelected="1" workbookViewId="0">
      <selection activeCell="H6" sqref="H6"/>
    </sheetView>
  </sheetViews>
  <sheetFormatPr baseColWidth="10" defaultRowHeight="15" x14ac:dyDescent="0.2"/>
  <cols>
    <col min="1" max="1" width="38.1640625" bestFit="1" customWidth="1"/>
    <col min="2" max="2" width="16" style="22" customWidth="1"/>
    <col min="3" max="3" width="2.83203125" style="3" customWidth="1"/>
    <col min="4" max="4" width="9.33203125" style="3" customWidth="1"/>
    <col min="5" max="5" width="2.83203125" style="3" customWidth="1"/>
    <col min="6" max="6" width="16" style="7" customWidth="1"/>
    <col min="7" max="7" width="10.83203125" style="3"/>
    <col min="8" max="8" width="12.33203125" style="3" bestFit="1" customWidth="1"/>
    <col min="9" max="9" width="25" style="3" customWidth="1"/>
    <col min="10" max="10" width="15.83203125" style="3" customWidth="1"/>
    <col min="11" max="16" width="10.83203125" style="3"/>
  </cols>
  <sheetData>
    <row r="1" spans="1:16" ht="19" customHeight="1" x14ac:dyDescent="0.2">
      <c r="A1" s="23"/>
      <c r="B1" s="144" t="s">
        <v>98</v>
      </c>
      <c r="C1" s="144"/>
      <c r="D1" s="144"/>
      <c r="E1" s="144"/>
      <c r="F1" s="144"/>
      <c r="G1" s="144"/>
      <c r="H1" s="144"/>
      <c r="I1" s="144"/>
      <c r="J1" s="25"/>
      <c r="K1" s="5"/>
      <c r="L1" s="5"/>
      <c r="M1" s="5"/>
    </row>
    <row r="2" spans="1:16" ht="41" customHeight="1" x14ac:dyDescent="0.2">
      <c r="A2" s="26"/>
      <c r="B2" s="142" t="s">
        <v>75</v>
      </c>
      <c r="C2" s="142"/>
      <c r="D2" s="143"/>
      <c r="E2" s="143"/>
      <c r="F2" s="143"/>
      <c r="G2" s="28" t="s">
        <v>32</v>
      </c>
      <c r="H2" s="28" t="s">
        <v>31</v>
      </c>
      <c r="I2" s="27" t="s">
        <v>74</v>
      </c>
      <c r="J2" s="28" t="s">
        <v>69</v>
      </c>
      <c r="K2" s="5"/>
      <c r="L2" s="5"/>
      <c r="M2" s="5"/>
      <c r="N2" s="5"/>
      <c r="O2" s="5"/>
      <c r="P2" s="5"/>
    </row>
    <row r="3" spans="1:16" ht="17" x14ac:dyDescent="0.2">
      <c r="A3" s="29" t="s">
        <v>4</v>
      </c>
      <c r="B3" s="30"/>
      <c r="C3" s="31"/>
      <c r="D3" s="25"/>
      <c r="E3" s="25"/>
      <c r="F3" s="32"/>
      <c r="G3" s="25"/>
      <c r="H3" s="25"/>
      <c r="I3" s="25"/>
      <c r="J3" s="25"/>
      <c r="K3" s="5"/>
      <c r="L3" s="5"/>
      <c r="M3" s="5"/>
      <c r="N3" s="5"/>
      <c r="O3" s="5"/>
      <c r="P3" s="5"/>
    </row>
    <row r="4" spans="1:16" ht="17" x14ac:dyDescent="0.2">
      <c r="A4" s="33" t="s">
        <v>37</v>
      </c>
      <c r="B4" s="34">
        <v>6.0000000000000001E-3</v>
      </c>
      <c r="C4" s="35" t="s">
        <v>96</v>
      </c>
      <c r="D4" s="36">
        <v>1.0999999999999999E-2</v>
      </c>
      <c r="E4" s="37" t="s">
        <v>97</v>
      </c>
      <c r="F4" s="38" t="s">
        <v>76</v>
      </c>
      <c r="G4" s="36">
        <v>3.3000000000000002E-2</v>
      </c>
      <c r="H4" s="25">
        <v>0.35</v>
      </c>
      <c r="I4" s="36">
        <f>D4+2.5%</f>
        <v>3.6000000000000004E-2</v>
      </c>
      <c r="J4" s="39">
        <v>0</v>
      </c>
      <c r="K4" s="5"/>
      <c r="L4" s="5"/>
      <c r="M4" s="5"/>
      <c r="N4" s="5"/>
      <c r="O4" s="5"/>
      <c r="P4" s="5"/>
    </row>
    <row r="5" spans="1:16" ht="17" x14ac:dyDescent="0.2">
      <c r="A5" s="40" t="s">
        <v>5</v>
      </c>
      <c r="B5" s="41">
        <v>1E-3</v>
      </c>
      <c r="C5" s="42" t="s">
        <v>96</v>
      </c>
      <c r="D5" s="43">
        <v>4.0000000000000001E-3</v>
      </c>
      <c r="E5" s="44" t="s">
        <v>97</v>
      </c>
      <c r="F5" s="45" t="s">
        <v>77</v>
      </c>
      <c r="G5" s="43">
        <v>1.6E-2</v>
      </c>
      <c r="H5" s="46">
        <v>0.25</v>
      </c>
      <c r="I5" s="43">
        <f>D5+2.5%</f>
        <v>2.9000000000000001E-2</v>
      </c>
      <c r="J5" s="47">
        <v>0</v>
      </c>
      <c r="K5" s="5"/>
      <c r="L5" s="5"/>
      <c r="M5" s="5"/>
      <c r="N5" s="5"/>
      <c r="O5" s="5"/>
      <c r="P5" s="5"/>
    </row>
    <row r="6" spans="1:16" ht="17" x14ac:dyDescent="0.2">
      <c r="A6" s="29" t="s">
        <v>6</v>
      </c>
      <c r="B6" s="34"/>
      <c r="C6" s="31"/>
      <c r="D6" s="36"/>
      <c r="E6" s="48"/>
      <c r="F6" s="38"/>
      <c r="G6" s="36"/>
      <c r="H6" s="25"/>
      <c r="I6" s="36"/>
      <c r="J6" s="39"/>
      <c r="K6" s="5"/>
      <c r="L6" s="5"/>
      <c r="M6" s="5"/>
      <c r="N6" s="5"/>
      <c r="O6" s="5"/>
      <c r="P6" s="5"/>
    </row>
    <row r="7" spans="1:16" ht="17" x14ac:dyDescent="0.2">
      <c r="A7" s="40" t="s">
        <v>7</v>
      </c>
      <c r="B7" s="41">
        <v>1.6E-2</v>
      </c>
      <c r="C7" s="42" t="s">
        <v>96</v>
      </c>
      <c r="D7" s="43">
        <v>3.5000000000000003E-2</v>
      </c>
      <c r="E7" s="44" t="s">
        <v>97</v>
      </c>
      <c r="F7" s="45" t="s">
        <v>78</v>
      </c>
      <c r="G7" s="43">
        <v>0.11700000000000001</v>
      </c>
      <c r="H7" s="46">
        <v>0.3</v>
      </c>
      <c r="I7" s="43">
        <f>D7+2.5%</f>
        <v>6.0000000000000005E-2</v>
      </c>
      <c r="J7" s="47">
        <v>0</v>
      </c>
      <c r="K7" s="5"/>
      <c r="L7" s="5"/>
      <c r="M7" s="5"/>
      <c r="N7" s="5"/>
      <c r="O7" s="5"/>
      <c r="P7" s="5"/>
    </row>
    <row r="8" spans="1:16" ht="17" x14ac:dyDescent="0.2">
      <c r="A8" s="29" t="s">
        <v>8</v>
      </c>
      <c r="B8" s="34"/>
      <c r="C8" s="31"/>
      <c r="D8" s="36"/>
      <c r="E8" s="48"/>
      <c r="F8" s="38"/>
      <c r="G8" s="36"/>
      <c r="H8" s="25"/>
      <c r="I8" s="36"/>
      <c r="J8" s="39"/>
      <c r="K8" s="5"/>
      <c r="L8" s="5"/>
      <c r="M8" s="5"/>
      <c r="N8" s="5"/>
      <c r="O8" s="5"/>
      <c r="P8" s="5"/>
    </row>
    <row r="9" spans="1:16" ht="17" x14ac:dyDescent="0.2">
      <c r="A9" s="33" t="s">
        <v>9</v>
      </c>
      <c r="B9" s="34">
        <v>2.7E-2</v>
      </c>
      <c r="C9" s="35" t="s">
        <v>96</v>
      </c>
      <c r="D9" s="36">
        <v>5.3999999999999999E-2</v>
      </c>
      <c r="E9" s="37" t="s">
        <v>97</v>
      </c>
      <c r="F9" s="38" t="s">
        <v>79</v>
      </c>
      <c r="G9" s="36">
        <v>0.16800000000000001</v>
      </c>
      <c r="H9" s="25">
        <v>0.32</v>
      </c>
      <c r="I9" s="36">
        <f>D9+2.5%</f>
        <v>7.9000000000000001E-2</v>
      </c>
      <c r="J9" s="39">
        <v>0</v>
      </c>
      <c r="K9" s="5"/>
      <c r="L9" s="5"/>
      <c r="M9" s="5"/>
      <c r="N9" s="5"/>
      <c r="O9" s="5"/>
      <c r="P9" s="5"/>
    </row>
    <row r="10" spans="1:16" ht="17" x14ac:dyDescent="0.2">
      <c r="A10" s="33" t="s">
        <v>10</v>
      </c>
      <c r="B10" s="34">
        <v>3.6999999999999998E-2</v>
      </c>
      <c r="C10" s="35" t="s">
        <v>96</v>
      </c>
      <c r="D10" s="36">
        <v>0.06</v>
      </c>
      <c r="E10" s="37" t="s">
        <v>97</v>
      </c>
      <c r="F10" s="38" t="s">
        <v>80</v>
      </c>
      <c r="G10" s="36">
        <v>0.14499999999999999</v>
      </c>
      <c r="H10" s="25">
        <v>0.41</v>
      </c>
      <c r="I10" s="36">
        <f t="shared" ref="I10:I30" si="0">D10+2.5%</f>
        <v>8.4999999999999992E-2</v>
      </c>
      <c r="J10" s="39">
        <v>0</v>
      </c>
      <c r="K10" s="5"/>
      <c r="L10" s="5"/>
      <c r="M10" s="5"/>
      <c r="N10" s="5"/>
      <c r="O10" s="5"/>
      <c r="P10" s="5"/>
    </row>
    <row r="11" spans="1:16" ht="17" x14ac:dyDescent="0.2">
      <c r="A11" s="33" t="s">
        <v>11</v>
      </c>
      <c r="B11" s="34">
        <v>3.2000000000000001E-2</v>
      </c>
      <c r="C11" s="35" t="s">
        <v>96</v>
      </c>
      <c r="D11" s="36">
        <v>6.3E-2</v>
      </c>
      <c r="E11" s="37" t="s">
        <v>97</v>
      </c>
      <c r="F11" s="38" t="s">
        <v>81</v>
      </c>
      <c r="G11" s="36">
        <v>0.191</v>
      </c>
      <c r="H11" s="25">
        <v>0.33</v>
      </c>
      <c r="I11" s="36">
        <f t="shared" si="0"/>
        <v>8.7999999999999995E-2</v>
      </c>
      <c r="J11" s="39">
        <v>0</v>
      </c>
      <c r="K11" s="5"/>
      <c r="L11" s="5"/>
      <c r="M11" s="5"/>
      <c r="N11" s="5"/>
      <c r="O11" s="5"/>
      <c r="P11" s="5"/>
    </row>
    <row r="12" spans="1:16" ht="17" x14ac:dyDescent="0.2">
      <c r="A12" s="33" t="s">
        <v>12</v>
      </c>
      <c r="B12" s="34">
        <v>2.1000000000000001E-2</v>
      </c>
      <c r="C12" s="35" t="s">
        <v>96</v>
      </c>
      <c r="D12" s="36">
        <v>4.8000000000000001E-2</v>
      </c>
      <c r="E12" s="37" t="s">
        <v>97</v>
      </c>
      <c r="F12" s="38" t="s">
        <v>82</v>
      </c>
      <c r="G12" s="36">
        <v>0.16400000000000001</v>
      </c>
      <c r="H12" s="25">
        <v>0.28999999999999998</v>
      </c>
      <c r="I12" s="36">
        <f t="shared" si="0"/>
        <v>7.3000000000000009E-2</v>
      </c>
      <c r="J12" s="39">
        <v>0.7</v>
      </c>
      <c r="K12" s="5"/>
      <c r="L12" s="5"/>
      <c r="M12" s="5"/>
      <c r="N12" s="5"/>
      <c r="O12" s="5"/>
      <c r="P12" s="5"/>
    </row>
    <row r="13" spans="1:16" ht="17" x14ac:dyDescent="0.2">
      <c r="A13" s="33" t="s">
        <v>13</v>
      </c>
      <c r="B13" s="34">
        <v>2.5999999999999999E-2</v>
      </c>
      <c r="C13" s="35" t="s">
        <v>96</v>
      </c>
      <c r="D13" s="36">
        <v>5.0999999999999997E-2</v>
      </c>
      <c r="E13" s="37" t="s">
        <v>97</v>
      </c>
      <c r="F13" s="38" t="s">
        <v>83</v>
      </c>
      <c r="G13" s="36">
        <v>0.151</v>
      </c>
      <c r="H13" s="25">
        <v>0.34</v>
      </c>
      <c r="I13" s="36">
        <f t="shared" si="0"/>
        <v>7.5999999999999998E-2</v>
      </c>
      <c r="J13" s="39">
        <v>0.7</v>
      </c>
      <c r="K13" s="5"/>
      <c r="L13" s="5"/>
      <c r="M13" s="5"/>
      <c r="N13" s="5"/>
      <c r="O13" s="5"/>
      <c r="P13" s="5"/>
    </row>
    <row r="14" spans="1:16" ht="17" x14ac:dyDescent="0.2">
      <c r="A14" s="33" t="s">
        <v>14</v>
      </c>
      <c r="B14" s="34">
        <v>-6.0000000000000001E-3</v>
      </c>
      <c r="C14" s="35" t="s">
        <v>96</v>
      </c>
      <c r="D14" s="36">
        <v>2.5999999999999999E-2</v>
      </c>
      <c r="E14" s="37" t="s">
        <v>97</v>
      </c>
      <c r="F14" s="38" t="s">
        <v>84</v>
      </c>
      <c r="G14" s="36">
        <v>0.16400000000000001</v>
      </c>
      <c r="H14" s="25">
        <v>0.16</v>
      </c>
      <c r="I14" s="36">
        <f t="shared" si="0"/>
        <v>5.1000000000000004E-2</v>
      </c>
      <c r="J14" s="39">
        <v>0.7</v>
      </c>
      <c r="K14" s="5"/>
      <c r="L14" s="5"/>
      <c r="M14" s="5"/>
      <c r="N14" s="5"/>
      <c r="O14" s="5"/>
      <c r="P14" s="5"/>
    </row>
    <row r="15" spans="1:16" ht="17" x14ac:dyDescent="0.2">
      <c r="A15" s="33" t="s">
        <v>15</v>
      </c>
      <c r="B15" s="34">
        <v>0.04</v>
      </c>
      <c r="C15" s="35" t="s">
        <v>96</v>
      </c>
      <c r="D15" s="36">
        <v>6.9000000000000006E-2</v>
      </c>
      <c r="E15" s="37" t="s">
        <v>97</v>
      </c>
      <c r="F15" s="38" t="s">
        <v>85</v>
      </c>
      <c r="G15" s="36">
        <v>0.18099999999999999</v>
      </c>
      <c r="H15" s="25">
        <v>0.38</v>
      </c>
      <c r="I15" s="36">
        <f t="shared" si="0"/>
        <v>9.4E-2</v>
      </c>
      <c r="J15" s="39">
        <v>0.7</v>
      </c>
      <c r="K15" s="5"/>
      <c r="L15" s="5"/>
      <c r="M15" s="5"/>
      <c r="N15" s="5"/>
      <c r="O15" s="5"/>
      <c r="P15" s="5"/>
    </row>
    <row r="16" spans="1:16" ht="17" x14ac:dyDescent="0.2">
      <c r="A16" s="33" t="s">
        <v>16</v>
      </c>
      <c r="B16" s="34">
        <v>0.02</v>
      </c>
      <c r="C16" s="35" t="s">
        <v>96</v>
      </c>
      <c r="D16" s="36">
        <v>8.5999999999999993E-2</v>
      </c>
      <c r="E16" s="37" t="s">
        <v>97</v>
      </c>
      <c r="F16" s="38" t="s">
        <v>86</v>
      </c>
      <c r="G16" s="36">
        <v>0.22</v>
      </c>
      <c r="H16" s="25">
        <v>0.39</v>
      </c>
      <c r="I16" s="36">
        <f t="shared" si="0"/>
        <v>0.11099999999999999</v>
      </c>
      <c r="J16" s="39">
        <v>0</v>
      </c>
      <c r="K16" s="5"/>
      <c r="L16" s="5"/>
      <c r="M16" s="5"/>
      <c r="N16" s="5"/>
      <c r="O16" s="5"/>
      <c r="P16" s="5"/>
    </row>
    <row r="17" spans="1:16" ht="17" x14ac:dyDescent="0.2">
      <c r="A17" s="33" t="s">
        <v>70</v>
      </c>
      <c r="B17" s="34">
        <v>0.03</v>
      </c>
      <c r="C17" s="35" t="s">
        <v>96</v>
      </c>
      <c r="D17" s="36">
        <v>6.0999999999999999E-2</v>
      </c>
      <c r="E17" s="37" t="s">
        <v>97</v>
      </c>
      <c r="F17" s="38" t="s">
        <v>87</v>
      </c>
      <c r="G17" s="36">
        <v>0.16200000000000001</v>
      </c>
      <c r="H17" s="25">
        <v>0.38</v>
      </c>
      <c r="I17" s="36">
        <f t="shared" si="0"/>
        <v>8.5999999999999993E-2</v>
      </c>
      <c r="J17" s="49">
        <v>0.7</v>
      </c>
      <c r="K17" s="5"/>
      <c r="L17" s="5"/>
      <c r="M17" s="5"/>
      <c r="N17" s="5"/>
      <c r="O17" s="5"/>
      <c r="P17" s="5"/>
    </row>
    <row r="18" spans="1:16" ht="17" x14ac:dyDescent="0.2">
      <c r="A18" s="40" t="s">
        <v>71</v>
      </c>
      <c r="B18" s="41">
        <v>1.9E-2</v>
      </c>
      <c r="C18" s="42" t="s">
        <v>96</v>
      </c>
      <c r="D18" s="43">
        <v>4.8000000000000001E-2</v>
      </c>
      <c r="E18" s="44" t="s">
        <v>97</v>
      </c>
      <c r="F18" s="45" t="s">
        <v>88</v>
      </c>
      <c r="G18" s="43">
        <v>0.14000000000000001</v>
      </c>
      <c r="H18" s="46">
        <v>0.34</v>
      </c>
      <c r="I18" s="43">
        <f t="shared" si="0"/>
        <v>7.3000000000000009E-2</v>
      </c>
      <c r="J18" s="47">
        <v>0.7</v>
      </c>
      <c r="K18" s="5"/>
      <c r="L18" s="5"/>
      <c r="M18" s="5"/>
      <c r="N18" s="5"/>
      <c r="O18" s="5"/>
      <c r="P18" s="5"/>
    </row>
    <row r="19" spans="1:16" ht="17" x14ac:dyDescent="0.2">
      <c r="A19" s="29" t="s">
        <v>18</v>
      </c>
      <c r="B19" s="34"/>
      <c r="C19" s="35"/>
      <c r="D19" s="36"/>
      <c r="E19" s="37"/>
      <c r="F19" s="38"/>
      <c r="G19" s="36"/>
      <c r="H19" s="25"/>
      <c r="I19" s="36"/>
      <c r="J19" s="39"/>
      <c r="K19" s="5"/>
      <c r="L19" s="5"/>
      <c r="M19" s="5"/>
      <c r="N19" s="5"/>
      <c r="O19" s="5"/>
      <c r="P19" s="5"/>
    </row>
    <row r="20" spans="1:16" ht="17" x14ac:dyDescent="0.2">
      <c r="A20" s="33" t="s">
        <v>19</v>
      </c>
      <c r="B20" s="34">
        <v>-6.0000000000000001E-3</v>
      </c>
      <c r="C20" s="35" t="s">
        <v>96</v>
      </c>
      <c r="D20" s="36">
        <v>1.9E-2</v>
      </c>
      <c r="E20" s="37" t="s">
        <v>97</v>
      </c>
      <c r="F20" s="38" t="s">
        <v>89</v>
      </c>
      <c r="G20" s="36">
        <v>6.4000000000000001E-2</v>
      </c>
      <c r="H20" s="25">
        <v>0.28999999999999998</v>
      </c>
      <c r="I20" s="36">
        <f t="shared" si="0"/>
        <v>4.3999999999999997E-2</v>
      </c>
      <c r="J20" s="39">
        <v>1</v>
      </c>
      <c r="K20" s="5"/>
      <c r="L20" s="5"/>
      <c r="M20" s="5"/>
      <c r="N20" s="5"/>
      <c r="O20" s="5"/>
      <c r="P20" s="5"/>
    </row>
    <row r="21" spans="1:16" ht="17" x14ac:dyDescent="0.2">
      <c r="A21" s="33" t="s">
        <v>20</v>
      </c>
      <c r="B21" s="34">
        <v>-6.0000000000000001E-3</v>
      </c>
      <c r="C21" s="35" t="s">
        <v>96</v>
      </c>
      <c r="D21" s="36">
        <v>2.7E-2</v>
      </c>
      <c r="E21" s="37" t="s">
        <v>97</v>
      </c>
      <c r="F21" s="38" t="s">
        <v>90</v>
      </c>
      <c r="G21" s="36">
        <v>8.7999999999999995E-2</v>
      </c>
      <c r="H21" s="25">
        <v>0.31</v>
      </c>
      <c r="I21" s="36">
        <f t="shared" si="0"/>
        <v>5.2000000000000005E-2</v>
      </c>
      <c r="J21" s="39">
        <v>1</v>
      </c>
      <c r="K21" s="5"/>
      <c r="L21" s="5"/>
      <c r="M21" s="5"/>
      <c r="N21" s="5"/>
      <c r="O21" s="5"/>
      <c r="P21" s="5"/>
    </row>
    <row r="22" spans="1:16" ht="17" x14ac:dyDescent="0.2">
      <c r="A22" s="40" t="s">
        <v>21</v>
      </c>
      <c r="B22" s="41">
        <v>-2E-3</v>
      </c>
      <c r="C22" s="42" t="s">
        <v>96</v>
      </c>
      <c r="D22" s="43">
        <v>2.9000000000000001E-2</v>
      </c>
      <c r="E22" s="44" t="s">
        <v>97</v>
      </c>
      <c r="F22" s="45" t="s">
        <v>91</v>
      </c>
      <c r="G22" s="43">
        <v>8.1000000000000003E-2</v>
      </c>
      <c r="H22" s="46">
        <v>0.35</v>
      </c>
      <c r="I22" s="43">
        <f t="shared" si="0"/>
        <v>5.4000000000000006E-2</v>
      </c>
      <c r="J22" s="47">
        <v>1</v>
      </c>
      <c r="K22" s="5"/>
      <c r="L22" s="5"/>
      <c r="M22" s="5"/>
      <c r="N22" s="5"/>
      <c r="O22" s="5"/>
      <c r="P22" s="5"/>
    </row>
    <row r="23" spans="1:16" ht="17" x14ac:dyDescent="0.2">
      <c r="A23" s="29" t="s">
        <v>22</v>
      </c>
      <c r="B23" s="34"/>
      <c r="C23" s="35"/>
      <c r="D23" s="36"/>
      <c r="E23" s="37"/>
      <c r="F23" s="38"/>
      <c r="G23" s="36"/>
      <c r="H23" s="25"/>
      <c r="I23" s="36"/>
      <c r="J23" s="39"/>
      <c r="K23" s="5"/>
      <c r="L23" s="5"/>
      <c r="M23" s="5"/>
      <c r="N23" s="5"/>
      <c r="O23" s="5"/>
      <c r="P23" s="5"/>
    </row>
    <row r="24" spans="1:16" ht="17" x14ac:dyDescent="0.2">
      <c r="A24" s="33" t="s">
        <v>23</v>
      </c>
      <c r="B24" s="34">
        <v>4.8000000000000001E-2</v>
      </c>
      <c r="C24" s="35" t="s">
        <v>96</v>
      </c>
      <c r="D24" s="36">
        <v>0.08</v>
      </c>
      <c r="E24" s="37" t="s">
        <v>97</v>
      </c>
      <c r="F24" s="38">
        <v>0.113</v>
      </c>
      <c r="G24" s="36">
        <v>0.16200000000000001</v>
      </c>
      <c r="H24" s="25">
        <v>0.51</v>
      </c>
      <c r="I24" s="36">
        <f t="shared" si="0"/>
        <v>0.10500000000000001</v>
      </c>
      <c r="J24" s="39">
        <v>0</v>
      </c>
      <c r="K24" s="5"/>
      <c r="L24" s="5"/>
      <c r="M24" s="5"/>
      <c r="N24" s="5"/>
      <c r="O24" s="5"/>
      <c r="P24" s="5"/>
    </row>
    <row r="25" spans="1:16" ht="17" x14ac:dyDescent="0.2">
      <c r="A25" s="33" t="s">
        <v>24</v>
      </c>
      <c r="B25" s="34">
        <v>4.9000000000000002E-2</v>
      </c>
      <c r="C25" s="35" t="s">
        <v>96</v>
      </c>
      <c r="D25" s="36">
        <v>8.2000000000000003E-2</v>
      </c>
      <c r="E25" s="37" t="s">
        <v>97</v>
      </c>
      <c r="F25" s="38">
        <v>0.115</v>
      </c>
      <c r="G25" s="36">
        <v>0.22800000000000001</v>
      </c>
      <c r="H25" s="25">
        <v>0.51</v>
      </c>
      <c r="I25" s="36">
        <f t="shared" si="0"/>
        <v>0.10700000000000001</v>
      </c>
      <c r="J25" s="39">
        <v>0</v>
      </c>
      <c r="K25" s="5"/>
      <c r="L25" s="5"/>
      <c r="M25" s="5"/>
      <c r="N25" s="5"/>
      <c r="O25" s="5"/>
      <c r="P25" s="5"/>
    </row>
    <row r="26" spans="1:16" ht="17" x14ac:dyDescent="0.2">
      <c r="A26" s="40" t="s">
        <v>25</v>
      </c>
      <c r="B26" s="41">
        <v>2.5999999999999999E-2</v>
      </c>
      <c r="C26" s="42" t="s">
        <v>96</v>
      </c>
      <c r="D26" s="43">
        <v>7.2999999999999995E-2</v>
      </c>
      <c r="E26" s="44" t="s">
        <v>97</v>
      </c>
      <c r="F26" s="45" t="s">
        <v>92</v>
      </c>
      <c r="G26" s="43">
        <v>0.22800000000000001</v>
      </c>
      <c r="H26" s="46">
        <v>0.32</v>
      </c>
      <c r="I26" s="43">
        <f t="shared" si="0"/>
        <v>9.8000000000000004E-2</v>
      </c>
      <c r="J26" s="47">
        <v>0</v>
      </c>
      <c r="K26" s="5"/>
      <c r="L26" s="5"/>
      <c r="M26" s="5"/>
      <c r="N26" s="5"/>
      <c r="O26" s="5"/>
      <c r="P26" s="5"/>
    </row>
    <row r="27" spans="1:16" ht="17" x14ac:dyDescent="0.2">
      <c r="A27" s="29" t="s">
        <v>26</v>
      </c>
      <c r="B27" s="34"/>
      <c r="C27" s="35"/>
      <c r="D27" s="36"/>
      <c r="E27" s="37"/>
      <c r="F27" s="38"/>
      <c r="G27" s="36"/>
      <c r="H27" s="25"/>
      <c r="I27" s="36"/>
      <c r="J27" s="39"/>
      <c r="K27" s="5"/>
      <c r="L27" s="5"/>
      <c r="M27" s="5"/>
      <c r="N27" s="5"/>
      <c r="O27" s="5"/>
      <c r="P27" s="5"/>
    </row>
    <row r="28" spans="1:16" ht="17" x14ac:dyDescent="0.2">
      <c r="A28" s="33" t="s">
        <v>27</v>
      </c>
      <c r="B28" s="34">
        <v>2.1999999999999999E-2</v>
      </c>
      <c r="C28" s="35" t="s">
        <v>96</v>
      </c>
      <c r="D28" s="36">
        <v>4.3999999999999997E-2</v>
      </c>
      <c r="E28" s="37" t="s">
        <v>97</v>
      </c>
      <c r="F28" s="38" t="s">
        <v>93</v>
      </c>
      <c r="G28" s="36">
        <v>0.11</v>
      </c>
      <c r="H28" s="25">
        <v>0.4</v>
      </c>
      <c r="I28" s="36">
        <f t="shared" si="0"/>
        <v>6.9000000000000006E-2</v>
      </c>
      <c r="J28" s="39">
        <v>0</v>
      </c>
      <c r="K28" s="5"/>
      <c r="L28" s="5"/>
      <c r="M28" s="5"/>
      <c r="N28" s="5"/>
      <c r="O28" s="5"/>
      <c r="P28" s="5"/>
    </row>
    <row r="29" spans="1:16" ht="17" x14ac:dyDescent="0.2">
      <c r="A29" s="33" t="s">
        <v>72</v>
      </c>
      <c r="B29" s="34">
        <v>2.3E-2</v>
      </c>
      <c r="C29" s="35" t="s">
        <v>96</v>
      </c>
      <c r="D29" s="36">
        <v>3.7999999999999999E-2</v>
      </c>
      <c r="E29" s="37" t="s">
        <v>97</v>
      </c>
      <c r="F29" s="38" t="s">
        <v>94</v>
      </c>
      <c r="G29" s="36">
        <v>7.1999999999999995E-2</v>
      </c>
      <c r="H29" s="25">
        <v>0.53</v>
      </c>
      <c r="I29" s="36">
        <f t="shared" si="0"/>
        <v>6.3E-2</v>
      </c>
      <c r="J29" s="39">
        <v>0</v>
      </c>
      <c r="K29" s="5"/>
      <c r="L29" s="5"/>
      <c r="M29" s="5"/>
      <c r="N29" s="5"/>
      <c r="O29" s="5"/>
      <c r="P29" s="5"/>
    </row>
    <row r="30" spans="1:16" ht="17" x14ac:dyDescent="0.2">
      <c r="A30" s="50" t="s">
        <v>73</v>
      </c>
      <c r="B30" s="51">
        <v>2.5999999999999999E-2</v>
      </c>
      <c r="C30" s="52" t="s">
        <v>96</v>
      </c>
      <c r="D30" s="53">
        <v>4.2999999999999997E-2</v>
      </c>
      <c r="E30" s="54" t="s">
        <v>97</v>
      </c>
      <c r="F30" s="55" t="s">
        <v>95</v>
      </c>
      <c r="G30" s="53">
        <v>8.4000000000000005E-2</v>
      </c>
      <c r="H30" s="24">
        <v>0.51</v>
      </c>
      <c r="I30" s="53">
        <f t="shared" si="0"/>
        <v>6.8000000000000005E-2</v>
      </c>
      <c r="J30" s="56">
        <v>0</v>
      </c>
      <c r="K30" s="5"/>
      <c r="L30" s="5"/>
      <c r="M30" s="5"/>
      <c r="N30" s="5"/>
      <c r="O30" s="5"/>
      <c r="P30" s="5"/>
    </row>
    <row r="31" spans="1:16" x14ac:dyDescent="0.2">
      <c r="A31" s="4"/>
      <c r="B31" s="21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4"/>
      <c r="B32" s="21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4"/>
      <c r="B33" s="21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4"/>
      <c r="B34" s="21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4"/>
      <c r="B35" s="21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4"/>
      <c r="B36" s="21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4"/>
      <c r="B37" s="21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H24"/>
  <sheetViews>
    <sheetView workbookViewId="0">
      <selection activeCell="C13" sqref="C13"/>
    </sheetView>
  </sheetViews>
  <sheetFormatPr baseColWidth="10" defaultRowHeight="15" x14ac:dyDescent="0.2"/>
  <cols>
    <col min="1" max="1" width="13.6640625" style="13" bestFit="1" customWidth="1"/>
    <col min="2" max="2" width="28.6640625" bestFit="1" customWidth="1"/>
    <col min="3" max="3" width="30" bestFit="1" customWidth="1"/>
    <col min="4" max="4" width="17.83203125" style="3" bestFit="1" customWidth="1"/>
    <col min="5" max="5" width="19.33203125" style="3" bestFit="1" customWidth="1"/>
    <col min="6" max="7" width="17.83203125" style="3" bestFit="1" customWidth="1"/>
    <col min="8" max="8" width="12.5" style="3" bestFit="1" customWidth="1"/>
  </cols>
  <sheetData>
    <row r="1" spans="1:8" ht="17" x14ac:dyDescent="0.2">
      <c r="A1" s="90" t="s">
        <v>119</v>
      </c>
      <c r="B1" s="91" t="s">
        <v>1299</v>
      </c>
      <c r="C1" s="91" t="s">
        <v>1300</v>
      </c>
      <c r="D1" s="92" t="s">
        <v>0</v>
      </c>
      <c r="E1" s="92" t="s">
        <v>1</v>
      </c>
      <c r="F1" s="92" t="s">
        <v>2</v>
      </c>
      <c r="G1" s="92" t="s">
        <v>3</v>
      </c>
      <c r="H1" s="93" t="s">
        <v>101</v>
      </c>
    </row>
    <row r="2" spans="1:8" ht="17" x14ac:dyDescent="0.2">
      <c r="A2" s="14" t="s">
        <v>102</v>
      </c>
      <c r="B2" s="78" t="s">
        <v>37</v>
      </c>
      <c r="C2" s="78" t="s">
        <v>4</v>
      </c>
      <c r="D2" s="60">
        <v>0.245</v>
      </c>
      <c r="E2" s="60">
        <v>0.58499999999999996</v>
      </c>
      <c r="F2" s="60">
        <v>0.36</v>
      </c>
      <c r="G2" s="60">
        <v>0.15</v>
      </c>
      <c r="H2" s="39">
        <v>0</v>
      </c>
    </row>
    <row r="3" spans="1:8" ht="17" x14ac:dyDescent="0.2">
      <c r="A3" s="14" t="s">
        <v>127</v>
      </c>
      <c r="B3" s="78" t="s">
        <v>1301</v>
      </c>
      <c r="C3" s="78" t="s">
        <v>4</v>
      </c>
      <c r="D3" s="60">
        <v>0.5</v>
      </c>
      <c r="E3" s="60" t="s">
        <v>38</v>
      </c>
      <c r="F3" s="60" t="s">
        <v>38</v>
      </c>
      <c r="G3" s="60" t="s">
        <v>38</v>
      </c>
      <c r="H3" s="39">
        <v>0</v>
      </c>
    </row>
    <row r="4" spans="1:8" ht="17" x14ac:dyDescent="0.2">
      <c r="A4" s="14" t="s">
        <v>103</v>
      </c>
      <c r="B4" s="78" t="s">
        <v>126</v>
      </c>
      <c r="C4" s="78" t="s">
        <v>6</v>
      </c>
      <c r="D4" s="60">
        <v>0.02</v>
      </c>
      <c r="E4" s="60">
        <v>0.03</v>
      </c>
      <c r="F4" s="60">
        <v>4.4999999999999998E-2</v>
      </c>
      <c r="G4" s="60">
        <v>5.5E-2</v>
      </c>
      <c r="H4" s="39">
        <v>0</v>
      </c>
    </row>
    <row r="5" spans="1:8" ht="17" x14ac:dyDescent="0.2">
      <c r="A5" s="14" t="s">
        <v>104</v>
      </c>
      <c r="B5" s="78" t="s">
        <v>9</v>
      </c>
      <c r="C5" s="78" t="s">
        <v>8</v>
      </c>
      <c r="D5" s="60">
        <v>3.9E-2</v>
      </c>
      <c r="E5" s="60">
        <v>6.3E-2</v>
      </c>
      <c r="F5" s="60">
        <v>0.1</v>
      </c>
      <c r="G5" s="60">
        <v>0.14199999999999999</v>
      </c>
      <c r="H5" s="39">
        <v>0</v>
      </c>
    </row>
    <row r="6" spans="1:8" ht="17" x14ac:dyDescent="0.2">
      <c r="A6" s="14" t="s">
        <v>105</v>
      </c>
      <c r="B6" s="78" t="s">
        <v>10</v>
      </c>
      <c r="C6" s="78" t="s">
        <v>8</v>
      </c>
      <c r="D6" s="60">
        <v>4.4000000000000004E-2</v>
      </c>
      <c r="E6" s="60">
        <v>7.0999999999999994E-2</v>
      </c>
      <c r="F6" s="60">
        <v>0.11199999999999999</v>
      </c>
      <c r="G6" s="60">
        <v>0.159</v>
      </c>
      <c r="H6" s="39">
        <v>0</v>
      </c>
    </row>
    <row r="7" spans="1:8" ht="17" x14ac:dyDescent="0.2">
      <c r="A7" s="14" t="s">
        <v>106</v>
      </c>
      <c r="B7" s="78" t="s">
        <v>11</v>
      </c>
      <c r="C7" s="78" t="s">
        <v>8</v>
      </c>
      <c r="D7" s="60">
        <v>1.3999999999999999E-2</v>
      </c>
      <c r="E7" s="60">
        <v>2.2000000000000002E-2</v>
      </c>
      <c r="F7" s="60">
        <v>3.5000000000000003E-2</v>
      </c>
      <c r="G7" s="60">
        <v>0.05</v>
      </c>
      <c r="H7" s="39">
        <v>0</v>
      </c>
    </row>
    <row r="8" spans="1:8" ht="17" x14ac:dyDescent="0.2">
      <c r="A8" s="14" t="s">
        <v>107</v>
      </c>
      <c r="B8" s="78" t="s">
        <v>12</v>
      </c>
      <c r="C8" s="78" t="s">
        <v>8</v>
      </c>
      <c r="D8" s="60">
        <v>1.6E-2</v>
      </c>
      <c r="E8" s="60">
        <v>2.5000000000000001E-2</v>
      </c>
      <c r="F8" s="60">
        <v>0.04</v>
      </c>
      <c r="G8" s="60">
        <v>5.7000000000000002E-2</v>
      </c>
      <c r="H8" s="39">
        <v>0.7</v>
      </c>
    </row>
    <row r="9" spans="1:8" ht="17" x14ac:dyDescent="0.2">
      <c r="A9" s="14" t="s">
        <v>108</v>
      </c>
      <c r="B9" s="78" t="s">
        <v>13</v>
      </c>
      <c r="C9" s="78" t="s">
        <v>8</v>
      </c>
      <c r="D9" s="60">
        <v>5.0000000000000001E-3</v>
      </c>
      <c r="E9" s="60">
        <v>8.0000000000000002E-3</v>
      </c>
      <c r="F9" s="60">
        <v>1.2E-2</v>
      </c>
      <c r="G9" s="60">
        <v>1.7000000000000001E-2</v>
      </c>
      <c r="H9" s="39">
        <v>0.7</v>
      </c>
    </row>
    <row r="10" spans="1:8" ht="17" x14ac:dyDescent="0.2">
      <c r="A10" s="14" t="s">
        <v>109</v>
      </c>
      <c r="B10" s="78" t="s">
        <v>14</v>
      </c>
      <c r="C10" s="78" t="s">
        <v>8</v>
      </c>
      <c r="D10" s="60">
        <v>6.9999999999999993E-3</v>
      </c>
      <c r="E10" s="60">
        <v>1.1000000000000001E-2</v>
      </c>
      <c r="F10" s="60">
        <v>1.8000000000000002E-2</v>
      </c>
      <c r="G10" s="60">
        <v>2.6000000000000002E-2</v>
      </c>
      <c r="H10" s="39">
        <v>0.7</v>
      </c>
    </row>
    <row r="11" spans="1:8" ht="17" x14ac:dyDescent="0.2">
      <c r="A11" s="14" t="s">
        <v>110</v>
      </c>
      <c r="B11" s="78" t="s">
        <v>15</v>
      </c>
      <c r="C11" s="78" t="s">
        <v>8</v>
      </c>
      <c r="D11" s="60">
        <v>4.0000000000000001E-3</v>
      </c>
      <c r="E11" s="60">
        <v>6.0000000000000001E-3</v>
      </c>
      <c r="F11" s="60">
        <v>9.0000000000000011E-3</v>
      </c>
      <c r="G11" s="60">
        <v>1.3000000000000001E-2</v>
      </c>
      <c r="H11" s="39">
        <v>0.7</v>
      </c>
    </row>
    <row r="12" spans="1:8" ht="17" x14ac:dyDescent="0.2">
      <c r="A12" s="14" t="s">
        <v>111</v>
      </c>
      <c r="B12" s="78" t="s">
        <v>16</v>
      </c>
      <c r="C12" s="78" t="s">
        <v>8</v>
      </c>
      <c r="D12" s="60">
        <v>4.0000000000000001E-3</v>
      </c>
      <c r="E12" s="60">
        <v>6.0000000000000001E-3</v>
      </c>
      <c r="F12" s="60">
        <v>9.0000000000000011E-3</v>
      </c>
      <c r="G12" s="60">
        <v>1.3000000000000001E-2</v>
      </c>
      <c r="H12" s="39">
        <v>0</v>
      </c>
    </row>
    <row r="13" spans="1:8" ht="17" x14ac:dyDescent="0.2">
      <c r="A13" s="14" t="s">
        <v>112</v>
      </c>
      <c r="B13" s="78" t="s">
        <v>113</v>
      </c>
      <c r="C13" s="78" t="s">
        <v>8</v>
      </c>
      <c r="D13" s="60">
        <v>4.0000000000000001E-3</v>
      </c>
      <c r="E13" s="60">
        <v>6.5000000000000006E-3</v>
      </c>
      <c r="F13" s="60">
        <v>0.01</v>
      </c>
      <c r="G13" s="60">
        <v>1.3999999999999999E-2</v>
      </c>
      <c r="H13" s="94">
        <v>0.7</v>
      </c>
    </row>
    <row r="14" spans="1:8" ht="17" x14ac:dyDescent="0.2">
      <c r="A14" s="14" t="s">
        <v>115</v>
      </c>
      <c r="B14" s="78" t="s">
        <v>114</v>
      </c>
      <c r="C14" s="78" t="s">
        <v>8</v>
      </c>
      <c r="D14" s="60">
        <v>4.0000000000000001E-3</v>
      </c>
      <c r="E14" s="60">
        <v>6.5000000000000006E-3</v>
      </c>
      <c r="F14" s="60">
        <v>0.01</v>
      </c>
      <c r="G14" s="60">
        <v>1.3999999999999999E-2</v>
      </c>
      <c r="H14" s="94">
        <v>0.7</v>
      </c>
    </row>
    <row r="15" spans="1:8" ht="17" x14ac:dyDescent="0.2">
      <c r="A15" s="14" t="s">
        <v>116</v>
      </c>
      <c r="B15" s="78" t="s">
        <v>19</v>
      </c>
      <c r="C15" s="78" t="s">
        <v>18</v>
      </c>
      <c r="D15" s="60">
        <v>3.0000000000000001E-3</v>
      </c>
      <c r="E15" s="60">
        <v>6.9999999999999993E-3</v>
      </c>
      <c r="F15" s="60">
        <v>9.0000000000000011E-3</v>
      </c>
      <c r="G15" s="60">
        <v>6.0000000000000001E-3</v>
      </c>
      <c r="H15" s="39">
        <v>1</v>
      </c>
    </row>
    <row r="16" spans="1:8" ht="17" x14ac:dyDescent="0.2">
      <c r="A16" s="14" t="s">
        <v>117</v>
      </c>
      <c r="B16" s="78" t="s">
        <v>20</v>
      </c>
      <c r="C16" s="78" t="s">
        <v>18</v>
      </c>
      <c r="D16" s="60">
        <v>6.0000000000000001E-3</v>
      </c>
      <c r="E16" s="60">
        <v>1.3999999999999999E-2</v>
      </c>
      <c r="F16" s="60">
        <v>1.8000000000000002E-2</v>
      </c>
      <c r="G16" s="60">
        <v>1.2E-2</v>
      </c>
      <c r="H16" s="39">
        <v>1</v>
      </c>
    </row>
    <row r="17" spans="1:8" ht="17" x14ac:dyDescent="0.2">
      <c r="A17" s="14" t="s">
        <v>118</v>
      </c>
      <c r="B17" s="78" t="s">
        <v>21</v>
      </c>
      <c r="C17" s="78" t="s">
        <v>18</v>
      </c>
      <c r="D17" s="60">
        <v>6.0000000000000001E-3</v>
      </c>
      <c r="E17" s="60">
        <v>1.3999999999999999E-2</v>
      </c>
      <c r="F17" s="60">
        <v>1.8000000000000002E-2</v>
      </c>
      <c r="G17" s="60">
        <v>1.2E-2</v>
      </c>
      <c r="H17" s="39">
        <v>1</v>
      </c>
    </row>
    <row r="18" spans="1:8" ht="17" x14ac:dyDescent="0.2">
      <c r="A18" s="14" t="s">
        <v>120</v>
      </c>
      <c r="B18" s="78" t="s">
        <v>23</v>
      </c>
      <c r="C18" s="78" t="s">
        <v>22</v>
      </c>
      <c r="D18" s="60">
        <v>0.03</v>
      </c>
      <c r="E18" s="60">
        <v>4.0999999999999995E-2</v>
      </c>
      <c r="F18" s="60">
        <v>8.4000000000000005E-2</v>
      </c>
      <c r="G18" s="60">
        <v>0.13</v>
      </c>
      <c r="H18" s="39">
        <v>0</v>
      </c>
    </row>
    <row r="19" spans="1:8" ht="17" x14ac:dyDescent="0.2">
      <c r="A19" s="14" t="s">
        <v>121</v>
      </c>
      <c r="B19" s="78" t="s">
        <v>24</v>
      </c>
      <c r="C19" s="78" t="s">
        <v>22</v>
      </c>
      <c r="D19" s="60">
        <v>0.01</v>
      </c>
      <c r="E19" s="60">
        <v>1.3999999999999999E-2</v>
      </c>
      <c r="F19" s="60">
        <v>2.7999999999999997E-2</v>
      </c>
      <c r="G19" s="60">
        <v>4.2999999999999997E-2</v>
      </c>
      <c r="H19" s="39">
        <v>0</v>
      </c>
    </row>
    <row r="20" spans="1:8" ht="17" x14ac:dyDescent="0.2">
      <c r="A20" s="14" t="s">
        <v>122</v>
      </c>
      <c r="B20" s="78" t="s">
        <v>25</v>
      </c>
      <c r="C20" s="78" t="s">
        <v>22</v>
      </c>
      <c r="D20" s="60">
        <v>0</v>
      </c>
      <c r="E20" s="60">
        <v>0</v>
      </c>
      <c r="F20" s="60">
        <v>8.0000000000000002E-3</v>
      </c>
      <c r="G20" s="60">
        <v>1.2E-2</v>
      </c>
      <c r="H20" s="39">
        <v>0</v>
      </c>
    </row>
    <row r="21" spans="1:8" ht="17" x14ac:dyDescent="0.2">
      <c r="A21" s="14" t="s">
        <v>123</v>
      </c>
      <c r="B21" s="78" t="s">
        <v>27</v>
      </c>
      <c r="C21" s="78" t="s">
        <v>26</v>
      </c>
      <c r="D21" s="60">
        <v>1.3000000000000001E-2</v>
      </c>
      <c r="E21" s="60">
        <v>2.3E-2</v>
      </c>
      <c r="F21" s="60">
        <v>3.5000000000000003E-2</v>
      </c>
      <c r="G21" s="60">
        <v>3.5000000000000003E-2</v>
      </c>
      <c r="H21" s="39">
        <v>0</v>
      </c>
    </row>
    <row r="22" spans="1:8" ht="17" x14ac:dyDescent="0.2">
      <c r="A22" s="14" t="s">
        <v>124</v>
      </c>
      <c r="B22" s="78" t="s">
        <v>99</v>
      </c>
      <c r="C22" s="78" t="s">
        <v>26</v>
      </c>
      <c r="D22" s="60">
        <v>1.3500000000000002E-2</v>
      </c>
      <c r="E22" s="60">
        <v>2.35E-2</v>
      </c>
      <c r="F22" s="60">
        <v>0.02</v>
      </c>
      <c r="G22" s="60">
        <v>0.02</v>
      </c>
      <c r="H22" s="39">
        <v>0</v>
      </c>
    </row>
    <row r="23" spans="1:8" ht="17" x14ac:dyDescent="0.2">
      <c r="A23" s="14" t="s">
        <v>125</v>
      </c>
      <c r="B23" s="78" t="s">
        <v>28</v>
      </c>
      <c r="C23" s="78" t="s">
        <v>26</v>
      </c>
      <c r="D23" s="60">
        <v>1.3500000000000002E-2</v>
      </c>
      <c r="E23" s="60">
        <v>2.35E-2</v>
      </c>
      <c r="F23" s="60">
        <v>0.02</v>
      </c>
      <c r="G23" s="60">
        <v>0.02</v>
      </c>
      <c r="H23" s="39">
        <v>0</v>
      </c>
    </row>
    <row r="24" spans="1:8" ht="17" x14ac:dyDescent="0.2">
      <c r="A24" s="89"/>
      <c r="B24" s="87" t="s">
        <v>100</v>
      </c>
      <c r="C24" s="87"/>
      <c r="D24" s="95">
        <f>SUM(D2:D23)</f>
        <v>1.0010000000000001</v>
      </c>
      <c r="E24" s="95">
        <f t="shared" ref="E24:G24" si="0">SUM(E2:E23)</f>
        <v>0.99999999999999989</v>
      </c>
      <c r="F24" s="95">
        <f t="shared" si="0"/>
        <v>1.0000000000000002</v>
      </c>
      <c r="G24" s="95">
        <f t="shared" si="0"/>
        <v>1.0000000000000002</v>
      </c>
      <c r="H24" s="8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3802E-BD6C-6B43-8A61-67DC2D824A16}">
  <dimension ref="A1:J30"/>
  <sheetViews>
    <sheetView workbookViewId="0">
      <selection activeCell="E19" sqref="E19"/>
    </sheetView>
  </sheetViews>
  <sheetFormatPr baseColWidth="10" defaultRowHeight="15" x14ac:dyDescent="0.2"/>
  <cols>
    <col min="1" max="1" width="25.5" bestFit="1" customWidth="1"/>
    <col min="2" max="10" width="16.83203125" style="3" customWidth="1"/>
  </cols>
  <sheetData>
    <row r="1" spans="1:10" x14ac:dyDescent="0.2">
      <c r="B1" s="3" t="s">
        <v>98</v>
      </c>
      <c r="C1" s="3" t="s">
        <v>98</v>
      </c>
      <c r="D1" s="3" t="s">
        <v>98</v>
      </c>
      <c r="E1" s="3" t="s">
        <v>98</v>
      </c>
      <c r="F1" s="3" t="s">
        <v>98</v>
      </c>
      <c r="G1" s="3" t="s">
        <v>98</v>
      </c>
      <c r="I1" s="3" t="s">
        <v>168</v>
      </c>
      <c r="J1" s="3" t="s">
        <v>168</v>
      </c>
    </row>
    <row r="2" spans="1:10" ht="48" x14ac:dyDescent="0.2">
      <c r="B2" s="3" t="s">
        <v>162</v>
      </c>
      <c r="C2" s="97" t="s">
        <v>163</v>
      </c>
      <c r="D2" s="3" t="s">
        <v>164</v>
      </c>
      <c r="E2" s="3" t="s">
        <v>32</v>
      </c>
      <c r="F2" s="3" t="s">
        <v>31</v>
      </c>
      <c r="G2" s="97" t="s">
        <v>165</v>
      </c>
      <c r="H2" s="3" t="s">
        <v>69</v>
      </c>
      <c r="I2" s="3" t="s">
        <v>166</v>
      </c>
      <c r="J2" s="3" t="s">
        <v>167</v>
      </c>
    </row>
    <row r="3" spans="1:10" x14ac:dyDescent="0.2">
      <c r="A3" t="s">
        <v>18</v>
      </c>
    </row>
    <row r="4" spans="1:10" x14ac:dyDescent="0.2">
      <c r="A4" t="s">
        <v>1302</v>
      </c>
      <c r="B4" s="3">
        <v>7.6750631221554899E-3</v>
      </c>
      <c r="C4" s="3">
        <v>1.9169505465816701E-2</v>
      </c>
      <c r="D4" s="3">
        <v>3.0663947809477999E-2</v>
      </c>
      <c r="E4" s="3">
        <v>6.1826317761391997E-2</v>
      </c>
      <c r="F4" s="3">
        <v>0.31005413487178901</v>
      </c>
      <c r="G4" s="3">
        <v>4.41695054658168E-2</v>
      </c>
      <c r="H4" s="3">
        <v>1</v>
      </c>
      <c r="I4" s="96">
        <v>34365</v>
      </c>
      <c r="J4" s="96">
        <v>45777</v>
      </c>
    </row>
    <row r="5" spans="1:10" x14ac:dyDescent="0.2">
      <c r="A5" t="s">
        <v>1303</v>
      </c>
      <c r="B5" s="3">
        <v>4.3657888915111303E-3</v>
      </c>
      <c r="C5" s="3">
        <v>2.0771382280796301E-2</v>
      </c>
      <c r="D5" s="3">
        <v>3.7176975670081602E-2</v>
      </c>
      <c r="E5" s="3">
        <v>8.8242421826534606E-2</v>
      </c>
      <c r="F5" s="3">
        <v>0.23538998421449001</v>
      </c>
      <c r="G5" s="3">
        <v>4.5771382280796302E-2</v>
      </c>
      <c r="H5" s="3">
        <v>1</v>
      </c>
      <c r="I5" s="96">
        <v>34365</v>
      </c>
      <c r="J5" s="96">
        <v>45777</v>
      </c>
    </row>
    <row r="6" spans="1:10" x14ac:dyDescent="0.2">
      <c r="A6" t="s">
        <v>153</v>
      </c>
      <c r="B6" s="3">
        <v>3.4812134452342201E-3</v>
      </c>
      <c r="C6" s="3">
        <v>1.8658048030354601E-2</v>
      </c>
      <c r="D6" s="3">
        <v>3.3834882615475001E-2</v>
      </c>
      <c r="E6" s="3">
        <v>8.1633172764504602E-2</v>
      </c>
      <c r="F6" s="3">
        <v>0.228559633277753</v>
      </c>
      <c r="G6" s="3">
        <v>4.3658048030354599E-2</v>
      </c>
      <c r="H6" s="3">
        <v>1</v>
      </c>
      <c r="I6" s="96">
        <v>34365</v>
      </c>
      <c r="J6" s="96">
        <v>45777</v>
      </c>
    </row>
    <row r="7" spans="1:10" x14ac:dyDescent="0.2">
      <c r="A7" t="s">
        <v>4</v>
      </c>
    </row>
    <row r="8" spans="1:10" x14ac:dyDescent="0.2">
      <c r="A8" t="s">
        <v>1304</v>
      </c>
      <c r="B8" s="3">
        <v>5.7241236937856403E-3</v>
      </c>
      <c r="C8" s="3">
        <v>1.08524678406041E-2</v>
      </c>
      <c r="D8" s="3">
        <v>1.59808119874227E-2</v>
      </c>
      <c r="E8" s="3">
        <v>3.2071468696963902E-2</v>
      </c>
      <c r="F8" s="3">
        <v>0.33838387456298602</v>
      </c>
      <c r="G8" s="3">
        <v>3.5852467840604099E-2</v>
      </c>
      <c r="H8" s="3">
        <v>0</v>
      </c>
      <c r="I8" s="96">
        <v>26723</v>
      </c>
      <c r="J8" s="96">
        <v>45777</v>
      </c>
    </row>
    <row r="9" spans="1:10" x14ac:dyDescent="0.2">
      <c r="A9" t="s">
        <v>1305</v>
      </c>
      <c r="B9" s="3">
        <v>4.32971260588862E-4</v>
      </c>
      <c r="C9" s="3">
        <v>3.0821903711752401E-3</v>
      </c>
      <c r="D9" s="3">
        <v>5.73140948176162E-3</v>
      </c>
      <c r="E9" s="3">
        <v>1.4716286970652999E-2</v>
      </c>
      <c r="F9" s="3">
        <v>0.20944076296702299</v>
      </c>
      <c r="G9" s="3">
        <v>2.8082190371175202E-2</v>
      </c>
      <c r="H9" s="3">
        <v>0</v>
      </c>
      <c r="I9" s="96">
        <v>33662</v>
      </c>
      <c r="J9" s="96">
        <v>45777</v>
      </c>
    </row>
    <row r="10" spans="1:10" x14ac:dyDescent="0.2">
      <c r="A10" t="s">
        <v>6</v>
      </c>
    </row>
    <row r="11" spans="1:10" x14ac:dyDescent="0.2">
      <c r="A11" t="s">
        <v>1306</v>
      </c>
      <c r="B11" s="3">
        <v>2.64039774019777E-2</v>
      </c>
      <c r="C11" s="3">
        <v>4.3364015406650899E-2</v>
      </c>
      <c r="D11" s="3">
        <v>6.0324053411324102E-2</v>
      </c>
      <c r="E11" s="3">
        <v>0.106064123700363</v>
      </c>
      <c r="F11" s="3">
        <v>0.40884715673658401</v>
      </c>
      <c r="G11" s="3">
        <v>6.8364015406650894E-2</v>
      </c>
      <c r="H11" s="3">
        <v>0</v>
      </c>
      <c r="I11" s="96">
        <v>30589</v>
      </c>
      <c r="J11" s="96">
        <v>45777</v>
      </c>
    </row>
    <row r="12" spans="1:10" x14ac:dyDescent="0.2">
      <c r="A12" t="s">
        <v>26</v>
      </c>
    </row>
    <row r="13" spans="1:10" x14ac:dyDescent="0.2">
      <c r="A13" t="s">
        <v>155</v>
      </c>
      <c r="B13" s="3">
        <v>2.64039774019777E-2</v>
      </c>
      <c r="C13" s="3">
        <v>4.3364015406650899E-2</v>
      </c>
      <c r="D13" s="3">
        <v>6.0324053411324102E-2</v>
      </c>
      <c r="E13" s="3">
        <v>0.106064123700363</v>
      </c>
      <c r="F13" s="3">
        <v>0.40884715673658401</v>
      </c>
      <c r="G13" s="3">
        <v>6.8364015406650894E-2</v>
      </c>
      <c r="H13" s="3">
        <v>0</v>
      </c>
      <c r="I13" s="96">
        <v>30589</v>
      </c>
      <c r="J13" s="96">
        <v>45777</v>
      </c>
    </row>
    <row r="14" spans="1:10" x14ac:dyDescent="0.2">
      <c r="A14" t="s">
        <v>1307</v>
      </c>
      <c r="B14" s="3">
        <v>3.9132178171297799E-2</v>
      </c>
      <c r="C14" s="3">
        <v>6.2011235623535797E-2</v>
      </c>
      <c r="D14" s="3">
        <v>8.4890293075773796E-2</v>
      </c>
      <c r="E14" s="3">
        <v>0.143080291393996</v>
      </c>
      <c r="F14" s="3">
        <v>0.43340165874262299</v>
      </c>
      <c r="G14" s="3">
        <v>8.7011235623535799E-2</v>
      </c>
      <c r="H14" s="3">
        <v>0</v>
      </c>
      <c r="I14" s="96">
        <v>30650</v>
      </c>
      <c r="J14" s="96">
        <v>44925</v>
      </c>
    </row>
    <row r="15" spans="1:10" x14ac:dyDescent="0.2">
      <c r="A15" t="s">
        <v>157</v>
      </c>
      <c r="B15" s="3">
        <v>1.3852677823030299E-2</v>
      </c>
      <c r="C15" s="3">
        <v>4.7598983442139302E-2</v>
      </c>
      <c r="D15" s="3">
        <v>8.1345289061248299E-2</v>
      </c>
      <c r="E15" s="3">
        <v>0.21081962919687999</v>
      </c>
      <c r="F15" s="3">
        <v>0.225780605076804</v>
      </c>
      <c r="G15" s="3">
        <v>7.2598983442139303E-2</v>
      </c>
      <c r="H15" s="3">
        <v>0</v>
      </c>
      <c r="I15" s="96">
        <v>30680</v>
      </c>
      <c r="J15" s="96">
        <v>44925</v>
      </c>
    </row>
    <row r="16" spans="1:10" x14ac:dyDescent="0.2">
      <c r="A16" t="s">
        <v>22</v>
      </c>
    </row>
    <row r="17" spans="1:10" x14ac:dyDescent="0.2">
      <c r="A17" t="s">
        <v>158</v>
      </c>
      <c r="B17" s="3">
        <v>2.6608812004023499E-2</v>
      </c>
      <c r="C17" s="3">
        <v>5.0216749358222103E-2</v>
      </c>
      <c r="D17" s="3">
        <v>7.3824686712420803E-2</v>
      </c>
      <c r="E17" s="3">
        <v>0.14763853637333799</v>
      </c>
      <c r="F17" s="3">
        <v>0.340133074952987</v>
      </c>
      <c r="G17" s="3">
        <v>7.5216749358222104E-2</v>
      </c>
      <c r="H17" s="3">
        <v>0</v>
      </c>
      <c r="I17" s="96">
        <v>25598</v>
      </c>
      <c r="J17" s="96">
        <v>45777</v>
      </c>
    </row>
    <row r="18" spans="1:10" x14ac:dyDescent="0.2">
      <c r="A18" t="s">
        <v>1308</v>
      </c>
      <c r="B18" s="3">
        <v>1.78707608365977E-2</v>
      </c>
      <c r="C18" s="3">
        <v>3.5944264317563202E-2</v>
      </c>
      <c r="D18" s="3">
        <v>5.40177677985288E-2</v>
      </c>
      <c r="E18" s="3">
        <v>9.7213778264937697E-2</v>
      </c>
      <c r="F18" s="3">
        <v>0.369744546082799</v>
      </c>
      <c r="G18" s="3">
        <v>6.0944264317563203E-2</v>
      </c>
      <c r="H18" s="3">
        <v>0</v>
      </c>
      <c r="I18" s="96">
        <v>34365</v>
      </c>
      <c r="J18" s="96">
        <v>45777</v>
      </c>
    </row>
    <row r="19" spans="1:10" x14ac:dyDescent="0.2">
      <c r="A19" t="s">
        <v>160</v>
      </c>
      <c r="B19" s="3">
        <v>1.3852677823030299E-2</v>
      </c>
      <c r="C19" s="3">
        <v>4.7598983442139302E-2</v>
      </c>
      <c r="D19" s="3">
        <v>8.1345289061248299E-2</v>
      </c>
      <c r="E19" s="3">
        <v>0.21081962919687999</v>
      </c>
      <c r="F19" s="3">
        <v>0.225780605076804</v>
      </c>
      <c r="G19" s="3">
        <v>7.2598983442139303E-2</v>
      </c>
      <c r="H19" s="3">
        <v>0</v>
      </c>
      <c r="I19" s="96">
        <v>30680</v>
      </c>
      <c r="J19" s="96">
        <v>44925</v>
      </c>
    </row>
    <row r="20" spans="1:10" x14ac:dyDescent="0.2">
      <c r="A20" t="s">
        <v>8</v>
      </c>
    </row>
    <row r="21" spans="1:10" x14ac:dyDescent="0.2">
      <c r="A21" t="s">
        <v>1309</v>
      </c>
      <c r="B21" s="3">
        <v>1.7523010713942501E-2</v>
      </c>
      <c r="C21" s="3">
        <v>4.4567317353041203E-2</v>
      </c>
      <c r="D21" s="3">
        <v>7.1611623992139897E-2</v>
      </c>
      <c r="E21" s="3">
        <v>0.16912878874266299</v>
      </c>
      <c r="F21" s="3">
        <v>0.26351112477280397</v>
      </c>
      <c r="G21" s="3">
        <v>6.9567317353041197E-2</v>
      </c>
      <c r="H21" s="3">
        <v>0</v>
      </c>
      <c r="I21" s="96">
        <v>28886</v>
      </c>
      <c r="J21" s="96">
        <v>45777</v>
      </c>
    </row>
    <row r="22" spans="1:10" x14ac:dyDescent="0.2">
      <c r="A22" t="s">
        <v>1310</v>
      </c>
      <c r="B22" s="3">
        <v>3.7739774522967298E-2</v>
      </c>
      <c r="C22" s="3">
        <v>6.09896272276437E-2</v>
      </c>
      <c r="D22" s="3">
        <v>8.4239479932320005E-2</v>
      </c>
      <c r="E22" s="3">
        <v>0.145399158457341</v>
      </c>
      <c r="F22" s="3">
        <v>0.41946341281980098</v>
      </c>
      <c r="G22" s="3">
        <v>8.5989627227643695E-2</v>
      </c>
      <c r="H22" s="3">
        <v>0</v>
      </c>
      <c r="I22" s="96">
        <v>28886</v>
      </c>
      <c r="J22" s="96">
        <v>45777</v>
      </c>
    </row>
    <row r="23" spans="1:10" x14ac:dyDescent="0.2">
      <c r="A23" t="s">
        <v>1311</v>
      </c>
      <c r="B23" s="3">
        <v>3.9116118459153602E-2</v>
      </c>
      <c r="C23" s="3">
        <v>6.9881103642633002E-2</v>
      </c>
      <c r="D23" s="3">
        <v>0.10064608882611201</v>
      </c>
      <c r="E23" s="3">
        <v>0.19239704493830101</v>
      </c>
      <c r="F23" s="3">
        <v>0.36321297795942198</v>
      </c>
      <c r="G23" s="3">
        <v>9.4881103642632997E-2</v>
      </c>
      <c r="H23" s="3">
        <v>0</v>
      </c>
      <c r="I23" s="96">
        <v>28886</v>
      </c>
      <c r="J23" s="96">
        <v>45777</v>
      </c>
    </row>
    <row r="24" spans="1:10" x14ac:dyDescent="0.2">
      <c r="A24" t="s">
        <v>1312</v>
      </c>
      <c r="B24" s="3">
        <v>2.0982633206710101E-2</v>
      </c>
      <c r="C24" s="3">
        <v>4.7043208728656999E-2</v>
      </c>
      <c r="D24" s="3">
        <v>7.3103784250604098E-2</v>
      </c>
      <c r="E24" s="3">
        <v>0.16297676367829</v>
      </c>
      <c r="F24" s="3">
        <v>0.288649790724268</v>
      </c>
      <c r="G24" s="3">
        <v>7.2043208728657104E-2</v>
      </c>
      <c r="H24" s="3">
        <v>0.7</v>
      </c>
      <c r="I24" s="96">
        <v>25626</v>
      </c>
      <c r="J24" s="96">
        <v>45777</v>
      </c>
    </row>
    <row r="25" spans="1:10" x14ac:dyDescent="0.2">
      <c r="A25" t="s">
        <v>1313</v>
      </c>
      <c r="B25" s="3">
        <v>2.5237430201924101E-2</v>
      </c>
      <c r="C25" s="3">
        <v>4.8975926757622301E-2</v>
      </c>
      <c r="D25" s="3">
        <v>7.2714423313320495E-2</v>
      </c>
      <c r="E25" s="3">
        <v>0.14845502318157899</v>
      </c>
      <c r="F25" s="3">
        <v>0.32990414004192098</v>
      </c>
      <c r="G25" s="3">
        <v>7.3975926757622296E-2</v>
      </c>
      <c r="H25" s="3">
        <v>0.7</v>
      </c>
      <c r="I25" s="96">
        <v>25598</v>
      </c>
      <c r="J25" s="96">
        <v>45777</v>
      </c>
    </row>
    <row r="26" spans="1:10" x14ac:dyDescent="0.2">
      <c r="A26" t="s">
        <v>1314</v>
      </c>
      <c r="B26" s="3">
        <v>-1.15459534877681E-3</v>
      </c>
      <c r="C26" s="3">
        <v>2.82523559089745E-2</v>
      </c>
      <c r="D26" s="3">
        <v>5.76593071667258E-2</v>
      </c>
      <c r="E26" s="3">
        <v>0.18390421737222901</v>
      </c>
      <c r="F26" s="3">
        <v>0.15362538343419599</v>
      </c>
      <c r="G26" s="3">
        <v>5.3252355908974501E-2</v>
      </c>
      <c r="H26" s="3">
        <v>0.7</v>
      </c>
      <c r="I26" s="96">
        <v>25598</v>
      </c>
      <c r="J26" s="96">
        <v>45777</v>
      </c>
    </row>
    <row r="27" spans="1:10" x14ac:dyDescent="0.2">
      <c r="A27" t="s">
        <v>1315</v>
      </c>
      <c r="B27" s="3">
        <v>2.74370548378081E-2</v>
      </c>
      <c r="C27" s="3">
        <v>5.6359980577740498E-2</v>
      </c>
      <c r="D27" s="3">
        <v>8.5282906317672894E-2</v>
      </c>
      <c r="E27" s="3">
        <v>0.17096972354367099</v>
      </c>
      <c r="F27" s="3">
        <v>0.32964889577857998</v>
      </c>
      <c r="G27" s="3">
        <v>8.1359980577740507E-2</v>
      </c>
      <c r="H27" s="3">
        <v>0.7</v>
      </c>
      <c r="I27" s="96">
        <v>25626</v>
      </c>
      <c r="J27" s="96">
        <v>45777</v>
      </c>
    </row>
    <row r="28" spans="1:10" x14ac:dyDescent="0.2">
      <c r="A28" t="s">
        <v>1316</v>
      </c>
      <c r="B28" s="3">
        <v>3.5865028766390701E-2</v>
      </c>
      <c r="C28" s="3">
        <v>7.5241692772873098E-2</v>
      </c>
      <c r="D28" s="3">
        <v>0.114618356779355</v>
      </c>
      <c r="E28" s="3">
        <v>0.23276405090531699</v>
      </c>
      <c r="F28" s="3">
        <v>0.32325306455282199</v>
      </c>
      <c r="G28" s="3">
        <v>0.100241692772873</v>
      </c>
      <c r="H28" s="3">
        <v>0</v>
      </c>
      <c r="I28" s="96">
        <v>32171</v>
      </c>
      <c r="J28" s="96">
        <v>45777</v>
      </c>
    </row>
    <row r="29" spans="1:10" x14ac:dyDescent="0.2">
      <c r="A29" t="s">
        <v>1317</v>
      </c>
      <c r="B29" s="3">
        <v>3.9211523567242897E-2</v>
      </c>
      <c r="C29" s="3">
        <v>6.4800724140040705E-2</v>
      </c>
      <c r="D29" s="3">
        <v>9.0389924712838396E-2</v>
      </c>
      <c r="E29" s="3">
        <v>0.14797197236920701</v>
      </c>
      <c r="F29" s="3">
        <v>0.43792566323543602</v>
      </c>
      <c r="G29" s="3">
        <v>8.98007241400407E-2</v>
      </c>
      <c r="H29" s="3">
        <v>0.7</v>
      </c>
      <c r="I29" s="96">
        <v>32720</v>
      </c>
      <c r="J29" s="96">
        <v>45777</v>
      </c>
    </row>
    <row r="30" spans="1:10" x14ac:dyDescent="0.2">
      <c r="A30" t="s">
        <v>161</v>
      </c>
      <c r="B30" s="3">
        <v>1.6403181443203799E-2</v>
      </c>
      <c r="C30" s="3">
        <v>4.4976836696510598E-2</v>
      </c>
      <c r="D30" s="3">
        <v>7.3550491949817401E-2</v>
      </c>
      <c r="E30" s="3">
        <v>0.139789727557039</v>
      </c>
      <c r="F30" s="3">
        <v>0.32174636493341902</v>
      </c>
      <c r="G30" s="3">
        <v>6.99768366965106E-2</v>
      </c>
      <c r="H30" s="3">
        <v>0.7</v>
      </c>
      <c r="I30" s="96">
        <v>36189</v>
      </c>
      <c r="J30" s="96">
        <v>45777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EEE7-EF43-8949-BD56-DAE13E7B9E91}">
  <dimension ref="A1:M39"/>
  <sheetViews>
    <sheetView zoomScale="130" zoomScaleNormal="130" workbookViewId="0">
      <selection activeCell="I22" sqref="I22:J22"/>
    </sheetView>
  </sheetViews>
  <sheetFormatPr baseColWidth="10" defaultRowHeight="15" x14ac:dyDescent="0.2"/>
  <cols>
    <col min="1" max="1" width="51.33203125" bestFit="1" customWidth="1"/>
    <col min="2" max="2" width="10.1640625" style="3" customWidth="1"/>
    <col min="3" max="3" width="13.1640625" style="3" customWidth="1"/>
    <col min="4" max="6" width="10.83203125" style="3"/>
    <col min="7" max="7" width="12.1640625" style="3" bestFit="1" customWidth="1"/>
    <col min="8" max="13" width="10.83203125" style="3"/>
  </cols>
  <sheetData>
    <row r="1" spans="1:13" ht="32" customHeight="1" x14ac:dyDescent="0.2">
      <c r="A1" s="4"/>
      <c r="B1" s="145" t="s">
        <v>98</v>
      </c>
      <c r="C1" s="145"/>
      <c r="D1" s="145"/>
      <c r="E1" s="145"/>
      <c r="F1" s="145"/>
      <c r="G1" s="145"/>
      <c r="H1" s="98"/>
      <c r="I1" s="145" t="s">
        <v>168</v>
      </c>
      <c r="J1" s="145"/>
      <c r="K1" s="5"/>
      <c r="L1" s="5"/>
      <c r="M1" s="5"/>
    </row>
    <row r="2" spans="1:13" s="10" customFormat="1" ht="64" x14ac:dyDescent="0.2">
      <c r="A2" s="102"/>
      <c r="B2" s="103" t="s">
        <v>162</v>
      </c>
      <c r="C2" s="104" t="s">
        <v>163</v>
      </c>
      <c r="D2" s="103" t="s">
        <v>164</v>
      </c>
      <c r="E2" s="103" t="s">
        <v>32</v>
      </c>
      <c r="F2" s="103" t="s">
        <v>31</v>
      </c>
      <c r="G2" s="104" t="s">
        <v>165</v>
      </c>
      <c r="H2" s="103" t="s">
        <v>69</v>
      </c>
      <c r="I2" s="103" t="s">
        <v>166</v>
      </c>
      <c r="J2" s="103" t="s">
        <v>167</v>
      </c>
      <c r="K2" s="127" t="s">
        <v>169</v>
      </c>
      <c r="L2" s="103" t="s">
        <v>170</v>
      </c>
      <c r="M2" s="119" t="s">
        <v>171</v>
      </c>
    </row>
    <row r="3" spans="1:13" x14ac:dyDescent="0.2">
      <c r="A3" s="4" t="s">
        <v>139</v>
      </c>
      <c r="B3" s="99"/>
      <c r="C3" s="99"/>
      <c r="D3" s="99"/>
      <c r="E3" s="99"/>
      <c r="F3" s="100"/>
      <c r="G3" s="99"/>
      <c r="H3" s="99"/>
      <c r="I3" s="105"/>
      <c r="J3" s="105"/>
      <c r="K3" s="128"/>
      <c r="L3" s="120"/>
      <c r="M3" s="121"/>
    </row>
    <row r="4" spans="1:13" x14ac:dyDescent="0.2">
      <c r="A4" s="4" t="s">
        <v>149</v>
      </c>
      <c r="B4" s="99">
        <v>5.7241236937856403E-3</v>
      </c>
      <c r="C4" s="99">
        <v>1.08524678406041E-2</v>
      </c>
      <c r="D4" s="99">
        <v>1.59808119874227E-2</v>
      </c>
      <c r="E4" s="99">
        <v>3.2071468696963902E-2</v>
      </c>
      <c r="F4" s="100">
        <v>0.33838387456298602</v>
      </c>
      <c r="G4" s="99">
        <v>3.5852467840604099E-2</v>
      </c>
      <c r="H4" s="99">
        <v>0</v>
      </c>
      <c r="I4" s="106">
        <v>26723</v>
      </c>
      <c r="J4" s="106">
        <v>45777</v>
      </c>
      <c r="K4" s="129">
        <f>Assumptions!D4</f>
        <v>1.0999999999999999E-2</v>
      </c>
      <c r="L4" s="122">
        <f>C4</f>
        <v>1.08524678406041E-2</v>
      </c>
      <c r="M4" s="123">
        <f>L4-K4</f>
        <v>-1.4753215939589982E-4</v>
      </c>
    </row>
    <row r="5" spans="1:13" x14ac:dyDescent="0.2">
      <c r="A5" s="4" t="s">
        <v>150</v>
      </c>
      <c r="B5" s="99">
        <v>4.32971260588862E-4</v>
      </c>
      <c r="C5" s="99">
        <v>3.0821903711752401E-3</v>
      </c>
      <c r="D5" s="99">
        <v>5.73140948176162E-3</v>
      </c>
      <c r="E5" s="99">
        <v>1.4716286970652999E-2</v>
      </c>
      <c r="F5" s="100">
        <v>0.20944076296702299</v>
      </c>
      <c r="G5" s="99">
        <v>2.8082190371175202E-2</v>
      </c>
      <c r="H5" s="99">
        <v>0</v>
      </c>
      <c r="I5" s="106">
        <v>33662</v>
      </c>
      <c r="J5" s="106">
        <v>45777</v>
      </c>
      <c r="K5" s="129">
        <f>Assumptions!D5</f>
        <v>4.0000000000000001E-3</v>
      </c>
      <c r="L5" s="122">
        <f t="shared" ref="L5:L30" si="0">C5</f>
        <v>3.0821903711752401E-3</v>
      </c>
      <c r="M5" s="123">
        <f t="shared" ref="M5:M30" si="1">L5-K5</f>
        <v>-9.1780962882475996E-4</v>
      </c>
    </row>
    <row r="6" spans="1:13" x14ac:dyDescent="0.2">
      <c r="A6" s="4" t="s">
        <v>6</v>
      </c>
      <c r="B6" s="99"/>
      <c r="C6" s="99"/>
      <c r="D6" s="99"/>
      <c r="E6" s="99"/>
      <c r="F6" s="100"/>
      <c r="G6" s="99"/>
      <c r="H6" s="99"/>
      <c r="I6" s="106"/>
      <c r="J6" s="106"/>
      <c r="K6" s="129"/>
      <c r="L6" s="122"/>
      <c r="M6" s="123"/>
    </row>
    <row r="7" spans="1:13" x14ac:dyDescent="0.2">
      <c r="A7" s="115" t="s">
        <v>154</v>
      </c>
      <c r="B7" s="116">
        <v>2.64039774019777E-2</v>
      </c>
      <c r="C7" s="116">
        <v>4.3364015406650899E-2</v>
      </c>
      <c r="D7" s="116">
        <v>6.0324053411324102E-2</v>
      </c>
      <c r="E7" s="116">
        <v>0.106064123700363</v>
      </c>
      <c r="F7" s="117">
        <v>0.40884715673658401</v>
      </c>
      <c r="G7" s="116">
        <v>6.8364015406650894E-2</v>
      </c>
      <c r="H7" s="116">
        <v>0</v>
      </c>
      <c r="I7" s="118">
        <v>30589</v>
      </c>
      <c r="J7" s="118">
        <v>45777</v>
      </c>
      <c r="K7" s="130">
        <f>Assumptions!D7</f>
        <v>3.5000000000000003E-2</v>
      </c>
      <c r="L7" s="124">
        <f t="shared" si="0"/>
        <v>4.3364015406650899E-2</v>
      </c>
      <c r="M7" s="125">
        <f t="shared" si="1"/>
        <v>8.3640154066508959E-3</v>
      </c>
    </row>
    <row r="8" spans="1:13" x14ac:dyDescent="0.2">
      <c r="A8" s="4" t="s">
        <v>8</v>
      </c>
      <c r="B8" s="99"/>
      <c r="C8" s="99"/>
      <c r="D8" s="99"/>
      <c r="E8" s="99"/>
      <c r="F8" s="100"/>
      <c r="G8" s="99"/>
      <c r="H8" s="99"/>
      <c r="I8" s="106"/>
      <c r="J8" s="106"/>
      <c r="K8" s="129"/>
      <c r="L8" s="122"/>
      <c r="M8" s="123"/>
    </row>
    <row r="9" spans="1:13" x14ac:dyDescent="0.2">
      <c r="A9" s="115" t="s">
        <v>140</v>
      </c>
      <c r="B9" s="116">
        <v>1.7523010713942501E-2</v>
      </c>
      <c r="C9" s="116">
        <v>4.4567317353041203E-2</v>
      </c>
      <c r="D9" s="116">
        <v>7.1611623992139897E-2</v>
      </c>
      <c r="E9" s="116">
        <v>0.16912878874266299</v>
      </c>
      <c r="F9" s="117">
        <v>0.26351112477280397</v>
      </c>
      <c r="G9" s="116">
        <v>6.9567317353041197E-2</v>
      </c>
      <c r="H9" s="116">
        <v>0</v>
      </c>
      <c r="I9" s="118">
        <v>28886</v>
      </c>
      <c r="J9" s="118">
        <v>45777</v>
      </c>
      <c r="K9" s="130">
        <f>Assumptions!D9</f>
        <v>5.3999999999999999E-2</v>
      </c>
      <c r="L9" s="124">
        <f t="shared" si="0"/>
        <v>4.4567317353041203E-2</v>
      </c>
      <c r="M9" s="125">
        <f t="shared" si="1"/>
        <v>-9.4326826469587968E-3</v>
      </c>
    </row>
    <row r="10" spans="1:13" x14ac:dyDescent="0.2">
      <c r="A10" s="4" t="s">
        <v>141</v>
      </c>
      <c r="B10" s="99">
        <v>3.7739774522967298E-2</v>
      </c>
      <c r="C10" s="99">
        <v>6.09896272276437E-2</v>
      </c>
      <c r="D10" s="99">
        <v>8.4239479932320005E-2</v>
      </c>
      <c r="E10" s="99">
        <v>0.145399158457341</v>
      </c>
      <c r="F10" s="100">
        <v>0.41946341281980098</v>
      </c>
      <c r="G10" s="99">
        <v>8.5989627227643695E-2</v>
      </c>
      <c r="H10" s="99">
        <v>0</v>
      </c>
      <c r="I10" s="106">
        <v>28886</v>
      </c>
      <c r="J10" s="106">
        <v>45777</v>
      </c>
      <c r="K10" s="129">
        <f>Assumptions!D10</f>
        <v>0.06</v>
      </c>
      <c r="L10" s="122">
        <f t="shared" si="0"/>
        <v>6.09896272276437E-2</v>
      </c>
      <c r="M10" s="123">
        <f t="shared" si="1"/>
        <v>9.8962722764370237E-4</v>
      </c>
    </row>
    <row r="11" spans="1:13" x14ac:dyDescent="0.2">
      <c r="A11" s="115" t="s">
        <v>142</v>
      </c>
      <c r="B11" s="116">
        <v>3.9116118459153602E-2</v>
      </c>
      <c r="C11" s="116">
        <v>6.9881103642633002E-2</v>
      </c>
      <c r="D11" s="116">
        <v>0.10064608882611201</v>
      </c>
      <c r="E11" s="116">
        <v>0.19239704493830101</v>
      </c>
      <c r="F11" s="117">
        <v>0.36321297795942198</v>
      </c>
      <c r="G11" s="116">
        <v>9.4881103642632997E-2</v>
      </c>
      <c r="H11" s="116">
        <v>0</v>
      </c>
      <c r="I11" s="118">
        <v>28886</v>
      </c>
      <c r="J11" s="118">
        <v>45777</v>
      </c>
      <c r="K11" s="130">
        <f>Assumptions!D11</f>
        <v>6.3E-2</v>
      </c>
      <c r="L11" s="124">
        <f t="shared" si="0"/>
        <v>6.9881103642633002E-2</v>
      </c>
      <c r="M11" s="125">
        <f t="shared" si="1"/>
        <v>6.8811036426330019E-3</v>
      </c>
    </row>
    <row r="12" spans="1:13" x14ac:dyDescent="0.2">
      <c r="A12" s="4" t="s">
        <v>143</v>
      </c>
      <c r="B12" s="99">
        <v>2.0982633206710101E-2</v>
      </c>
      <c r="C12" s="99">
        <v>4.7043208728656999E-2</v>
      </c>
      <c r="D12" s="99">
        <v>7.3103784250604098E-2</v>
      </c>
      <c r="E12" s="99">
        <v>0.16297676367829</v>
      </c>
      <c r="F12" s="100">
        <v>0.288649790724268</v>
      </c>
      <c r="G12" s="99">
        <v>7.2043208728657104E-2</v>
      </c>
      <c r="H12" s="99">
        <v>0.7</v>
      </c>
      <c r="I12" s="106">
        <v>25626</v>
      </c>
      <c r="J12" s="106">
        <v>45777</v>
      </c>
      <c r="K12" s="129">
        <f>Assumptions!D12</f>
        <v>4.8000000000000001E-2</v>
      </c>
      <c r="L12" s="122">
        <f t="shared" si="0"/>
        <v>4.7043208728656999E-2</v>
      </c>
      <c r="M12" s="123">
        <f t="shared" si="1"/>
        <v>-9.5679127134300213E-4</v>
      </c>
    </row>
    <row r="13" spans="1:13" x14ac:dyDescent="0.2">
      <c r="A13" s="4" t="s">
        <v>144</v>
      </c>
      <c r="B13" s="99">
        <v>2.5237430201924101E-2</v>
      </c>
      <c r="C13" s="99">
        <v>4.8975926757622301E-2</v>
      </c>
      <c r="D13" s="99">
        <v>7.2714423313320495E-2</v>
      </c>
      <c r="E13" s="99">
        <v>0.14845502318157899</v>
      </c>
      <c r="F13" s="100">
        <v>0.32990414004192098</v>
      </c>
      <c r="G13" s="99">
        <v>7.3975926757622296E-2</v>
      </c>
      <c r="H13" s="99">
        <v>0.7</v>
      </c>
      <c r="I13" s="106">
        <v>25598</v>
      </c>
      <c r="J13" s="106">
        <v>45777</v>
      </c>
      <c r="K13" s="129">
        <f>Assumptions!D13</f>
        <v>5.0999999999999997E-2</v>
      </c>
      <c r="L13" s="122">
        <f t="shared" si="0"/>
        <v>4.8975926757622301E-2</v>
      </c>
      <c r="M13" s="123">
        <f t="shared" si="1"/>
        <v>-2.0240732423776955E-3</v>
      </c>
    </row>
    <row r="14" spans="1:13" x14ac:dyDescent="0.2">
      <c r="A14" s="4" t="s">
        <v>145</v>
      </c>
      <c r="B14" s="99">
        <v>-1.15459534877681E-3</v>
      </c>
      <c r="C14" s="99">
        <v>2.82523559089745E-2</v>
      </c>
      <c r="D14" s="99">
        <v>5.76593071667258E-2</v>
      </c>
      <c r="E14" s="99">
        <v>0.18390421737222901</v>
      </c>
      <c r="F14" s="100">
        <v>0.15362538343419599</v>
      </c>
      <c r="G14" s="99">
        <v>5.3252355908974501E-2</v>
      </c>
      <c r="H14" s="99">
        <v>0.7</v>
      </c>
      <c r="I14" s="106">
        <v>25598</v>
      </c>
      <c r="J14" s="106">
        <v>45777</v>
      </c>
      <c r="K14" s="129">
        <f>Assumptions!D14</f>
        <v>2.5999999999999999E-2</v>
      </c>
      <c r="L14" s="122">
        <f t="shared" si="0"/>
        <v>2.82523559089745E-2</v>
      </c>
      <c r="M14" s="123">
        <f t="shared" si="1"/>
        <v>2.2523559089745009E-3</v>
      </c>
    </row>
    <row r="15" spans="1:13" x14ac:dyDescent="0.2">
      <c r="A15" s="115" t="s">
        <v>146</v>
      </c>
      <c r="B15" s="116">
        <v>2.74370548378081E-2</v>
      </c>
      <c r="C15" s="116">
        <v>5.6359980577740498E-2</v>
      </c>
      <c r="D15" s="116">
        <v>8.5282906317672894E-2</v>
      </c>
      <c r="E15" s="116">
        <v>0.17096972354367099</v>
      </c>
      <c r="F15" s="117">
        <v>0.32964889577857998</v>
      </c>
      <c r="G15" s="116">
        <v>8.1359980577740507E-2</v>
      </c>
      <c r="H15" s="116">
        <v>0.7</v>
      </c>
      <c r="I15" s="118">
        <v>25626</v>
      </c>
      <c r="J15" s="118">
        <v>45777</v>
      </c>
      <c r="K15" s="130">
        <f>Assumptions!D15</f>
        <v>6.9000000000000006E-2</v>
      </c>
      <c r="L15" s="124">
        <f t="shared" si="0"/>
        <v>5.6359980577740498E-2</v>
      </c>
      <c r="M15" s="125">
        <f t="shared" si="1"/>
        <v>-1.2640019422259507E-2</v>
      </c>
    </row>
    <row r="16" spans="1:13" x14ac:dyDescent="0.2">
      <c r="A16" s="115" t="s">
        <v>147</v>
      </c>
      <c r="B16" s="116">
        <v>3.5865028766390701E-2</v>
      </c>
      <c r="C16" s="116">
        <v>7.5241692772873098E-2</v>
      </c>
      <c r="D16" s="116">
        <v>0.114618356779355</v>
      </c>
      <c r="E16" s="116">
        <v>0.23276405090531699</v>
      </c>
      <c r="F16" s="117">
        <v>0.32325306455282199</v>
      </c>
      <c r="G16" s="116">
        <v>0.100241692772873</v>
      </c>
      <c r="H16" s="116">
        <v>0</v>
      </c>
      <c r="I16" s="118">
        <v>32171</v>
      </c>
      <c r="J16" s="118">
        <v>45777</v>
      </c>
      <c r="K16" s="130">
        <f>Assumptions!D16</f>
        <v>8.5999999999999993E-2</v>
      </c>
      <c r="L16" s="124">
        <f t="shared" si="0"/>
        <v>7.5241692772873098E-2</v>
      </c>
      <c r="M16" s="125">
        <f t="shared" si="1"/>
        <v>-1.0758307227126895E-2</v>
      </c>
    </row>
    <row r="17" spans="1:13" x14ac:dyDescent="0.2">
      <c r="A17" s="4" t="s">
        <v>148</v>
      </c>
      <c r="B17" s="99">
        <v>3.9211523567242897E-2</v>
      </c>
      <c r="C17" s="99">
        <v>6.4800724140040705E-2</v>
      </c>
      <c r="D17" s="99">
        <v>9.0389924712838396E-2</v>
      </c>
      <c r="E17" s="99">
        <v>0.14797197236920701</v>
      </c>
      <c r="F17" s="100">
        <v>0.43792566323543602</v>
      </c>
      <c r="G17" s="99">
        <v>8.98007241400407E-2</v>
      </c>
      <c r="H17" s="99">
        <v>0.7</v>
      </c>
      <c r="I17" s="106">
        <v>32720</v>
      </c>
      <c r="J17" s="106">
        <v>45777</v>
      </c>
      <c r="K17" s="129">
        <f>Assumptions!D17</f>
        <v>6.0999999999999999E-2</v>
      </c>
      <c r="L17" s="122">
        <f t="shared" si="0"/>
        <v>6.4800724140040705E-2</v>
      </c>
      <c r="M17" s="123">
        <f t="shared" si="1"/>
        <v>3.8007241400407066E-3</v>
      </c>
    </row>
    <row r="18" spans="1:13" x14ac:dyDescent="0.2">
      <c r="A18" s="4" t="s">
        <v>161</v>
      </c>
      <c r="B18" s="99">
        <v>1.6403181443203799E-2</v>
      </c>
      <c r="C18" s="99">
        <v>4.4976836696510598E-2</v>
      </c>
      <c r="D18" s="99">
        <v>7.3550491949817401E-2</v>
      </c>
      <c r="E18" s="99">
        <v>0.139789727557039</v>
      </c>
      <c r="F18" s="100">
        <v>0.32174636493341902</v>
      </c>
      <c r="G18" s="99">
        <v>6.99768366965106E-2</v>
      </c>
      <c r="H18" s="99">
        <v>0.7</v>
      </c>
      <c r="I18" s="106">
        <v>36189</v>
      </c>
      <c r="J18" s="106">
        <v>45777</v>
      </c>
      <c r="K18" s="129">
        <f>Assumptions!D18</f>
        <v>4.8000000000000001E-2</v>
      </c>
      <c r="L18" s="122">
        <f t="shared" si="0"/>
        <v>4.4976836696510598E-2</v>
      </c>
      <c r="M18" s="123">
        <f t="shared" si="1"/>
        <v>-3.0231633034894026E-3</v>
      </c>
    </row>
    <row r="19" spans="1:13" x14ac:dyDescent="0.2">
      <c r="A19" s="4" t="s">
        <v>18</v>
      </c>
      <c r="B19" s="99"/>
      <c r="C19" s="99"/>
      <c r="D19" s="99"/>
      <c r="E19" s="99"/>
      <c r="F19" s="100"/>
      <c r="G19" s="99"/>
      <c r="H19" s="99"/>
      <c r="I19" s="106"/>
      <c r="J19" s="106"/>
      <c r="K19" s="129"/>
      <c r="L19" s="122"/>
      <c r="M19" s="123"/>
    </row>
    <row r="20" spans="1:13" x14ac:dyDescent="0.2">
      <c r="A20" s="4" t="s">
        <v>151</v>
      </c>
      <c r="B20" s="99">
        <v>7.6750631221554899E-3</v>
      </c>
      <c r="C20" s="99">
        <v>1.9169505465816701E-2</v>
      </c>
      <c r="D20" s="99">
        <v>3.0663947809477999E-2</v>
      </c>
      <c r="E20" s="99">
        <v>6.1826317761391997E-2</v>
      </c>
      <c r="F20" s="100">
        <v>0.31005413487178901</v>
      </c>
      <c r="G20" s="99">
        <v>4.41695054658168E-2</v>
      </c>
      <c r="H20" s="99">
        <v>1</v>
      </c>
      <c r="I20" s="106">
        <v>34365</v>
      </c>
      <c r="J20" s="106">
        <v>45777</v>
      </c>
      <c r="K20" s="129">
        <f>Assumptions!D20</f>
        <v>1.9E-2</v>
      </c>
      <c r="L20" s="122">
        <f t="shared" si="0"/>
        <v>1.9169505465816701E-2</v>
      </c>
      <c r="M20" s="123">
        <f t="shared" si="1"/>
        <v>1.6950546581670153E-4</v>
      </c>
    </row>
    <row r="21" spans="1:13" x14ac:dyDescent="0.2">
      <c r="A21" s="115" t="s">
        <v>152</v>
      </c>
      <c r="B21" s="116">
        <v>4.3657888915111303E-3</v>
      </c>
      <c r="C21" s="116">
        <v>2.0771382280796301E-2</v>
      </c>
      <c r="D21" s="116">
        <v>3.7176975670081602E-2</v>
      </c>
      <c r="E21" s="116">
        <v>8.8242421826534606E-2</v>
      </c>
      <c r="F21" s="117">
        <v>0.23538998421449001</v>
      </c>
      <c r="G21" s="116">
        <v>4.5771382280796302E-2</v>
      </c>
      <c r="H21" s="116">
        <v>1</v>
      </c>
      <c r="I21" s="118">
        <v>34365</v>
      </c>
      <c r="J21" s="118">
        <v>45777</v>
      </c>
      <c r="K21" s="130">
        <f>Assumptions!D21</f>
        <v>2.7E-2</v>
      </c>
      <c r="L21" s="124">
        <f t="shared" si="0"/>
        <v>2.0771382280796301E-2</v>
      </c>
      <c r="M21" s="125">
        <f t="shared" si="1"/>
        <v>-6.2286177192036989E-3</v>
      </c>
    </row>
    <row r="22" spans="1:13" x14ac:dyDescent="0.2">
      <c r="A22" s="115" t="s">
        <v>153</v>
      </c>
      <c r="B22" s="116">
        <v>3.4812134452342201E-3</v>
      </c>
      <c r="C22" s="116">
        <v>1.8658048030354601E-2</v>
      </c>
      <c r="D22" s="116">
        <v>3.3834882615475001E-2</v>
      </c>
      <c r="E22" s="116">
        <v>8.1633172764504602E-2</v>
      </c>
      <c r="F22" s="117">
        <v>0.228559633277753</v>
      </c>
      <c r="G22" s="116">
        <v>4.3658048030354599E-2</v>
      </c>
      <c r="H22" s="116">
        <v>1</v>
      </c>
      <c r="I22" s="118">
        <v>34365</v>
      </c>
      <c r="J22" s="118">
        <v>45777</v>
      </c>
      <c r="K22" s="130">
        <f>Assumptions!D22</f>
        <v>2.9000000000000001E-2</v>
      </c>
      <c r="L22" s="124">
        <f t="shared" si="0"/>
        <v>1.8658048030354601E-2</v>
      </c>
      <c r="M22" s="125">
        <f t="shared" si="1"/>
        <v>-1.0341951969645401E-2</v>
      </c>
    </row>
    <row r="23" spans="1:13" x14ac:dyDescent="0.2">
      <c r="A23" s="4" t="s">
        <v>22</v>
      </c>
      <c r="B23" s="99"/>
      <c r="C23" s="99"/>
      <c r="D23" s="99"/>
      <c r="E23" s="99"/>
      <c r="F23" s="100"/>
      <c r="G23" s="99"/>
      <c r="H23" s="99"/>
      <c r="I23" s="106"/>
      <c r="J23" s="106"/>
      <c r="K23" s="129"/>
      <c r="L23" s="122"/>
      <c r="M23" s="123"/>
    </row>
    <row r="24" spans="1:13" x14ac:dyDescent="0.2">
      <c r="A24" s="4" t="s">
        <v>158</v>
      </c>
      <c r="B24" s="99">
        <v>2.6608812004023499E-2</v>
      </c>
      <c r="C24" s="99">
        <v>5.0216749358222103E-2</v>
      </c>
      <c r="D24" s="99">
        <v>7.3824686712420803E-2</v>
      </c>
      <c r="E24" s="99">
        <v>0.14763853637333799</v>
      </c>
      <c r="F24" s="100">
        <v>0.340133074952987</v>
      </c>
      <c r="G24" s="99">
        <v>7.5216749358222104E-2</v>
      </c>
      <c r="H24" s="99">
        <v>0</v>
      </c>
      <c r="I24" s="106">
        <v>25598</v>
      </c>
      <c r="J24" s="106">
        <v>45777</v>
      </c>
      <c r="K24" s="129">
        <f>Assumptions!D24</f>
        <v>0.08</v>
      </c>
      <c r="L24" s="122">
        <f t="shared" si="0"/>
        <v>5.0216749358222103E-2</v>
      </c>
      <c r="M24" s="123">
        <f t="shared" si="1"/>
        <v>-2.9783250641777899E-2</v>
      </c>
    </row>
    <row r="25" spans="1:13" x14ac:dyDescent="0.2">
      <c r="A25" s="4" t="s">
        <v>159</v>
      </c>
      <c r="B25" s="99">
        <v>1.78707608365977E-2</v>
      </c>
      <c r="C25" s="99">
        <v>3.5944264317563202E-2</v>
      </c>
      <c r="D25" s="99">
        <v>5.40177677985288E-2</v>
      </c>
      <c r="E25" s="99">
        <v>9.7213778264937697E-2</v>
      </c>
      <c r="F25" s="100">
        <v>0.369744546082799</v>
      </c>
      <c r="G25" s="99">
        <v>6.0944264317563203E-2</v>
      </c>
      <c r="H25" s="99">
        <v>0</v>
      </c>
      <c r="I25" s="106">
        <v>34365</v>
      </c>
      <c r="J25" s="106">
        <v>45777</v>
      </c>
      <c r="K25" s="129">
        <f>Assumptions!D25</f>
        <v>8.2000000000000003E-2</v>
      </c>
      <c r="L25" s="122">
        <f t="shared" si="0"/>
        <v>3.5944264317563202E-2</v>
      </c>
      <c r="M25" s="123">
        <f t="shared" si="1"/>
        <v>-4.6055735682436802E-2</v>
      </c>
    </row>
    <row r="26" spans="1:13" x14ac:dyDescent="0.2">
      <c r="A26" s="4" t="s">
        <v>160</v>
      </c>
      <c r="B26" s="99">
        <v>1.3852677823030299E-2</v>
      </c>
      <c r="C26" s="99">
        <v>4.7598983442139302E-2</v>
      </c>
      <c r="D26" s="99">
        <v>8.1345289061248299E-2</v>
      </c>
      <c r="E26" s="99">
        <v>0.21081962919687999</v>
      </c>
      <c r="F26" s="100">
        <v>0.225780605076804</v>
      </c>
      <c r="G26" s="99">
        <v>7.2598983442139303E-2</v>
      </c>
      <c r="H26" s="99">
        <v>0</v>
      </c>
      <c r="I26" s="106">
        <v>30680</v>
      </c>
      <c r="J26" s="106">
        <v>44925</v>
      </c>
      <c r="K26" s="129">
        <f>Assumptions!D26</f>
        <v>7.2999999999999995E-2</v>
      </c>
      <c r="L26" s="122">
        <f t="shared" si="0"/>
        <v>4.7598983442139302E-2</v>
      </c>
      <c r="M26" s="123">
        <f t="shared" si="1"/>
        <v>-2.5401016557860694E-2</v>
      </c>
    </row>
    <row r="27" spans="1:13" x14ac:dyDescent="0.2">
      <c r="A27" s="4" t="s">
        <v>26</v>
      </c>
      <c r="B27" s="99"/>
      <c r="C27" s="99"/>
      <c r="D27" s="99"/>
      <c r="E27" s="99"/>
      <c r="F27" s="100"/>
      <c r="G27" s="99"/>
      <c r="H27" s="99"/>
      <c r="I27" s="106"/>
      <c r="J27" s="106"/>
      <c r="K27" s="129"/>
      <c r="L27" s="122"/>
      <c r="M27" s="123"/>
    </row>
    <row r="28" spans="1:13" x14ac:dyDescent="0.2">
      <c r="A28" s="4" t="s">
        <v>155</v>
      </c>
      <c r="B28" s="99">
        <v>2.64039774019777E-2</v>
      </c>
      <c r="C28" s="99">
        <v>4.3364015406650899E-2</v>
      </c>
      <c r="D28" s="99">
        <v>6.0324053411324102E-2</v>
      </c>
      <c r="E28" s="99">
        <v>0.106064123700363</v>
      </c>
      <c r="F28" s="100">
        <v>0.40884715673658401</v>
      </c>
      <c r="G28" s="99">
        <v>6.8364015406650894E-2</v>
      </c>
      <c r="H28" s="99">
        <v>0</v>
      </c>
      <c r="I28" s="106">
        <v>30589</v>
      </c>
      <c r="J28" s="106">
        <v>45777</v>
      </c>
      <c r="K28" s="129">
        <f>Assumptions!D28</f>
        <v>4.3999999999999997E-2</v>
      </c>
      <c r="L28" s="122">
        <f t="shared" si="0"/>
        <v>4.3364015406650899E-2</v>
      </c>
      <c r="M28" s="123">
        <f t="shared" si="1"/>
        <v>-6.3598459334909818E-4</v>
      </c>
    </row>
    <row r="29" spans="1:13" x14ac:dyDescent="0.2">
      <c r="A29" s="107" t="s">
        <v>156</v>
      </c>
      <c r="B29" s="108">
        <v>3.9132178171297799E-2</v>
      </c>
      <c r="C29" s="108">
        <v>6.2011235623535797E-2</v>
      </c>
      <c r="D29" s="108">
        <v>8.4890293075773796E-2</v>
      </c>
      <c r="E29" s="108">
        <v>0.143080291393996</v>
      </c>
      <c r="F29" s="109">
        <v>0.43340165874262299</v>
      </c>
      <c r="G29" s="108">
        <v>8.7011235623535799E-2</v>
      </c>
      <c r="H29" s="108">
        <v>0</v>
      </c>
      <c r="I29" s="110">
        <v>30650</v>
      </c>
      <c r="J29" s="110">
        <v>44925</v>
      </c>
      <c r="K29" s="129">
        <f>Assumptions!D29</f>
        <v>3.7999999999999999E-2</v>
      </c>
      <c r="L29" s="122">
        <f t="shared" si="0"/>
        <v>6.2011235623535797E-2</v>
      </c>
      <c r="M29" s="123">
        <f t="shared" si="1"/>
        <v>2.4011235623535798E-2</v>
      </c>
    </row>
    <row r="30" spans="1:13" x14ac:dyDescent="0.2">
      <c r="A30" s="101" t="s">
        <v>157</v>
      </c>
      <c r="B30" s="111">
        <v>1.3852677823030299E-2</v>
      </c>
      <c r="C30" s="111">
        <v>4.7598983442139302E-2</v>
      </c>
      <c r="D30" s="111">
        <v>8.1345289061248299E-2</v>
      </c>
      <c r="E30" s="111">
        <v>0.21081962919687999</v>
      </c>
      <c r="F30" s="112">
        <v>0.225780605076804</v>
      </c>
      <c r="G30" s="111">
        <v>7.2598983442139303E-2</v>
      </c>
      <c r="H30" s="111">
        <v>0</v>
      </c>
      <c r="I30" s="113">
        <v>30680</v>
      </c>
      <c r="J30" s="113">
        <v>44925</v>
      </c>
      <c r="K30" s="131">
        <f>Assumptions!D30</f>
        <v>4.2999999999999997E-2</v>
      </c>
      <c r="L30" s="114">
        <f t="shared" si="0"/>
        <v>4.7598983442139302E-2</v>
      </c>
      <c r="M30" s="126">
        <f t="shared" si="1"/>
        <v>4.5989834421393053E-3</v>
      </c>
    </row>
    <row r="31" spans="1:13" x14ac:dyDescent="0.2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 x14ac:dyDescent="0.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 x14ac:dyDescent="0.2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 x14ac:dyDescent="0.2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spans="1:13" x14ac:dyDescent="0.2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13" x14ac:dyDescent="0.2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13" x14ac:dyDescent="0.2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</sheetData>
  <mergeCells count="2">
    <mergeCell ref="B1:G1"/>
    <mergeCell ref="I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9B5D2-E01F-BC4E-8844-EDB77E4D8D14}">
  <dimension ref="A1:J519"/>
  <sheetViews>
    <sheetView topLeftCell="A471" workbookViewId="0">
      <selection activeCell="H513" sqref="A513:H513"/>
    </sheetView>
  </sheetViews>
  <sheetFormatPr baseColWidth="10" defaultRowHeight="15" x14ac:dyDescent="0.2"/>
  <cols>
    <col min="2" max="2" width="10.33203125" bestFit="1" customWidth="1"/>
    <col min="3" max="3" width="104.5" bestFit="1" customWidth="1"/>
    <col min="4" max="4" width="24" style="3" bestFit="1" customWidth="1"/>
    <col min="5" max="5" width="10.83203125" style="3"/>
    <col min="6" max="6" width="20.5" style="3" bestFit="1" customWidth="1"/>
    <col min="7" max="7" width="17.33203125" style="3" bestFit="1" customWidth="1"/>
    <col min="8" max="10" width="10.83203125" style="3"/>
  </cols>
  <sheetData>
    <row r="1" spans="1:9" x14ac:dyDescent="0.2">
      <c r="A1" t="s">
        <v>172</v>
      </c>
      <c r="B1" t="s">
        <v>173</v>
      </c>
      <c r="C1" t="s">
        <v>174</v>
      </c>
      <c r="D1" s="3" t="s">
        <v>175</v>
      </c>
      <c r="E1" s="3" t="s">
        <v>128</v>
      </c>
      <c r="F1" s="3" t="s">
        <v>176</v>
      </c>
      <c r="G1" s="3" t="s">
        <v>177</v>
      </c>
      <c r="H1" s="3" t="s">
        <v>178</v>
      </c>
      <c r="I1" s="3" t="s">
        <v>179</v>
      </c>
    </row>
    <row r="2" spans="1:9" x14ac:dyDescent="0.2">
      <c r="A2">
        <v>17974</v>
      </c>
      <c r="B2" t="s">
        <v>180</v>
      </c>
      <c r="C2" t="s">
        <v>181</v>
      </c>
      <c r="D2" s="3" t="s">
        <v>182</v>
      </c>
      <c r="E2" s="3" t="s">
        <v>129</v>
      </c>
      <c r="F2" s="3" t="s">
        <v>183</v>
      </c>
      <c r="G2" s="3" t="s">
        <v>183</v>
      </c>
      <c r="H2" s="3" t="s">
        <v>180</v>
      </c>
      <c r="I2" s="3" t="s">
        <v>68</v>
      </c>
    </row>
    <row r="3" spans="1:9" x14ac:dyDescent="0.2">
      <c r="A3">
        <v>17975</v>
      </c>
      <c r="B3" t="s">
        <v>184</v>
      </c>
      <c r="C3" t="s">
        <v>185</v>
      </c>
      <c r="D3" s="3" t="s">
        <v>182</v>
      </c>
      <c r="E3" s="3" t="s">
        <v>129</v>
      </c>
      <c r="F3" s="3" t="s">
        <v>183</v>
      </c>
      <c r="G3" s="3" t="s">
        <v>183</v>
      </c>
      <c r="H3" s="3" t="s">
        <v>184</v>
      </c>
      <c r="I3" s="3" t="s">
        <v>68</v>
      </c>
    </row>
    <row r="4" spans="1:9" x14ac:dyDescent="0.2">
      <c r="A4">
        <v>17976</v>
      </c>
      <c r="B4" t="s">
        <v>186</v>
      </c>
      <c r="C4" t="s">
        <v>187</v>
      </c>
      <c r="D4" s="3" t="s">
        <v>182</v>
      </c>
      <c r="E4" s="3" t="s">
        <v>129</v>
      </c>
      <c r="F4" s="3" t="s">
        <v>183</v>
      </c>
      <c r="G4" s="3" t="s">
        <v>183</v>
      </c>
      <c r="H4" s="3" t="s">
        <v>186</v>
      </c>
      <c r="I4" s="3" t="s">
        <v>68</v>
      </c>
    </row>
    <row r="5" spans="1:9" x14ac:dyDescent="0.2">
      <c r="A5">
        <v>17977</v>
      </c>
      <c r="B5" t="s">
        <v>188</v>
      </c>
      <c r="C5" t="s">
        <v>189</v>
      </c>
      <c r="D5" s="3" t="s">
        <v>182</v>
      </c>
      <c r="E5" s="3" t="s">
        <v>129</v>
      </c>
      <c r="F5" s="3" t="s">
        <v>183</v>
      </c>
      <c r="G5" s="3" t="s">
        <v>183</v>
      </c>
      <c r="H5" s="3" t="s">
        <v>188</v>
      </c>
      <c r="I5" s="3" t="s">
        <v>68</v>
      </c>
    </row>
    <row r="6" spans="1:9" x14ac:dyDescent="0.2">
      <c r="A6">
        <v>17978</v>
      </c>
      <c r="B6" t="s">
        <v>190</v>
      </c>
      <c r="C6" t="s">
        <v>191</v>
      </c>
      <c r="D6" s="3" t="s">
        <v>182</v>
      </c>
      <c r="E6" s="3" t="s">
        <v>129</v>
      </c>
      <c r="F6" s="3" t="s">
        <v>183</v>
      </c>
      <c r="G6" s="3" t="s">
        <v>183</v>
      </c>
      <c r="H6" s="3" t="s">
        <v>190</v>
      </c>
      <c r="I6" s="3" t="s">
        <v>68</v>
      </c>
    </row>
    <row r="7" spans="1:9" x14ac:dyDescent="0.2">
      <c r="A7">
        <v>17979</v>
      </c>
      <c r="B7" t="s">
        <v>192</v>
      </c>
      <c r="C7" t="s">
        <v>193</v>
      </c>
      <c r="D7" s="3" t="s">
        <v>182</v>
      </c>
      <c r="E7" s="3" t="s">
        <v>129</v>
      </c>
      <c r="F7" s="3" t="s">
        <v>183</v>
      </c>
      <c r="G7" s="3" t="s">
        <v>183</v>
      </c>
      <c r="H7" s="3" t="s">
        <v>192</v>
      </c>
      <c r="I7" s="3" t="s">
        <v>68</v>
      </c>
    </row>
    <row r="8" spans="1:9" x14ac:dyDescent="0.2">
      <c r="A8">
        <v>17980</v>
      </c>
      <c r="B8" t="s">
        <v>194</v>
      </c>
      <c r="C8" t="s">
        <v>195</v>
      </c>
      <c r="D8" s="3" t="s">
        <v>182</v>
      </c>
      <c r="E8" s="3" t="s">
        <v>129</v>
      </c>
      <c r="F8" s="3" t="s">
        <v>183</v>
      </c>
      <c r="G8" s="3" t="s">
        <v>183</v>
      </c>
      <c r="H8" s="3" t="s">
        <v>194</v>
      </c>
      <c r="I8" s="3" t="s">
        <v>68</v>
      </c>
    </row>
    <row r="9" spans="1:9" x14ac:dyDescent="0.2">
      <c r="A9">
        <v>17981</v>
      </c>
      <c r="B9" t="s">
        <v>196</v>
      </c>
      <c r="C9" t="s">
        <v>197</v>
      </c>
      <c r="D9" s="3" t="s">
        <v>182</v>
      </c>
      <c r="E9" s="3" t="s">
        <v>129</v>
      </c>
      <c r="F9" s="3" t="s">
        <v>183</v>
      </c>
      <c r="G9" s="3" t="s">
        <v>183</v>
      </c>
      <c r="H9" s="3" t="s">
        <v>196</v>
      </c>
      <c r="I9" s="3" t="s">
        <v>68</v>
      </c>
    </row>
    <row r="10" spans="1:9" x14ac:dyDescent="0.2">
      <c r="A10">
        <v>17982</v>
      </c>
      <c r="B10" t="s">
        <v>198</v>
      </c>
      <c r="C10" t="s">
        <v>199</v>
      </c>
      <c r="D10" s="3" t="s">
        <v>182</v>
      </c>
      <c r="E10" s="3" t="s">
        <v>129</v>
      </c>
      <c r="F10" s="3" t="s">
        <v>183</v>
      </c>
      <c r="G10" s="3" t="s">
        <v>183</v>
      </c>
      <c r="H10" s="3" t="s">
        <v>198</v>
      </c>
      <c r="I10" s="3" t="s">
        <v>68</v>
      </c>
    </row>
    <row r="11" spans="1:9" x14ac:dyDescent="0.2">
      <c r="A11">
        <v>17983</v>
      </c>
      <c r="B11" t="s">
        <v>200</v>
      </c>
      <c r="C11" t="s">
        <v>201</v>
      </c>
      <c r="D11" s="3" t="s">
        <v>182</v>
      </c>
      <c r="E11" s="3" t="s">
        <v>129</v>
      </c>
      <c r="F11" s="3" t="s">
        <v>183</v>
      </c>
      <c r="G11" s="3" t="s">
        <v>183</v>
      </c>
      <c r="H11" s="3" t="s">
        <v>200</v>
      </c>
      <c r="I11" s="3" t="s">
        <v>68</v>
      </c>
    </row>
    <row r="12" spans="1:9" x14ac:dyDescent="0.2">
      <c r="A12">
        <v>17984</v>
      </c>
      <c r="B12" t="s">
        <v>202</v>
      </c>
      <c r="C12" t="s">
        <v>203</v>
      </c>
      <c r="D12" s="3" t="s">
        <v>182</v>
      </c>
      <c r="E12" s="3" t="s">
        <v>129</v>
      </c>
      <c r="F12" s="3" t="s">
        <v>183</v>
      </c>
      <c r="G12" s="3" t="s">
        <v>183</v>
      </c>
      <c r="H12" s="3" t="s">
        <v>202</v>
      </c>
      <c r="I12" s="3" t="s">
        <v>68</v>
      </c>
    </row>
    <row r="13" spans="1:9" x14ac:dyDescent="0.2">
      <c r="A13">
        <v>17985</v>
      </c>
      <c r="B13" t="s">
        <v>204</v>
      </c>
      <c r="C13" t="s">
        <v>205</v>
      </c>
      <c r="D13" s="3" t="s">
        <v>182</v>
      </c>
      <c r="E13" s="3" t="s">
        <v>129</v>
      </c>
      <c r="F13" s="3" t="s">
        <v>183</v>
      </c>
      <c r="G13" s="3" t="s">
        <v>183</v>
      </c>
      <c r="H13" s="3" t="s">
        <v>204</v>
      </c>
      <c r="I13" s="3" t="s">
        <v>68</v>
      </c>
    </row>
    <row r="14" spans="1:9" x14ac:dyDescent="0.2">
      <c r="A14">
        <v>17986</v>
      </c>
      <c r="B14" t="s">
        <v>206</v>
      </c>
      <c r="C14" t="s">
        <v>207</v>
      </c>
      <c r="D14" s="3" t="s">
        <v>182</v>
      </c>
      <c r="E14" s="3" t="s">
        <v>129</v>
      </c>
      <c r="F14" s="3" t="s">
        <v>183</v>
      </c>
      <c r="G14" s="3" t="s">
        <v>183</v>
      </c>
      <c r="H14" s="3" t="s">
        <v>206</v>
      </c>
      <c r="I14" s="3" t="s">
        <v>68</v>
      </c>
    </row>
    <row r="15" spans="1:9" x14ac:dyDescent="0.2">
      <c r="A15">
        <v>17987</v>
      </c>
      <c r="B15" t="s">
        <v>208</v>
      </c>
      <c r="C15" t="s">
        <v>209</v>
      </c>
      <c r="D15" s="3" t="s">
        <v>182</v>
      </c>
      <c r="E15" s="3" t="s">
        <v>129</v>
      </c>
      <c r="F15" s="3" t="s">
        <v>183</v>
      </c>
      <c r="G15" s="3" t="s">
        <v>183</v>
      </c>
      <c r="H15" s="3" t="s">
        <v>208</v>
      </c>
      <c r="I15" s="3" t="s">
        <v>68</v>
      </c>
    </row>
    <row r="16" spans="1:9" x14ac:dyDescent="0.2">
      <c r="A16">
        <v>17988</v>
      </c>
      <c r="B16" t="s">
        <v>210</v>
      </c>
      <c r="C16" t="s">
        <v>211</v>
      </c>
      <c r="D16" s="3" t="s">
        <v>182</v>
      </c>
      <c r="E16" s="3" t="s">
        <v>129</v>
      </c>
      <c r="F16" s="3" t="s">
        <v>183</v>
      </c>
      <c r="G16" s="3" t="s">
        <v>183</v>
      </c>
      <c r="H16" s="3" t="s">
        <v>210</v>
      </c>
      <c r="I16" s="3" t="s">
        <v>68</v>
      </c>
    </row>
    <row r="17" spans="1:9" x14ac:dyDescent="0.2">
      <c r="A17">
        <v>17989</v>
      </c>
      <c r="B17" t="s">
        <v>212</v>
      </c>
      <c r="C17" t="s">
        <v>213</v>
      </c>
      <c r="D17" s="3" t="s">
        <v>182</v>
      </c>
      <c r="E17" s="3" t="s">
        <v>129</v>
      </c>
      <c r="F17" s="3" t="s">
        <v>183</v>
      </c>
      <c r="G17" s="3" t="s">
        <v>183</v>
      </c>
      <c r="H17" s="3" t="s">
        <v>212</v>
      </c>
      <c r="I17" s="3" t="s">
        <v>68</v>
      </c>
    </row>
    <row r="18" spans="1:9" x14ac:dyDescent="0.2">
      <c r="A18">
        <v>17990</v>
      </c>
      <c r="B18" t="s">
        <v>214</v>
      </c>
      <c r="C18" t="s">
        <v>215</v>
      </c>
      <c r="D18" s="3" t="s">
        <v>182</v>
      </c>
      <c r="E18" s="3" t="s">
        <v>129</v>
      </c>
      <c r="F18" s="3" t="s">
        <v>183</v>
      </c>
      <c r="G18" s="3" t="s">
        <v>183</v>
      </c>
      <c r="H18" s="3" t="s">
        <v>214</v>
      </c>
      <c r="I18" s="3" t="s">
        <v>68</v>
      </c>
    </row>
    <row r="19" spans="1:9" x14ac:dyDescent="0.2">
      <c r="A19">
        <v>17991</v>
      </c>
      <c r="B19" t="s">
        <v>216</v>
      </c>
      <c r="C19" t="s">
        <v>217</v>
      </c>
      <c r="D19" s="3" t="s">
        <v>182</v>
      </c>
      <c r="E19" s="3" t="s">
        <v>129</v>
      </c>
      <c r="F19" s="3" t="s">
        <v>183</v>
      </c>
      <c r="G19" s="3" t="s">
        <v>183</v>
      </c>
      <c r="H19" s="3" t="s">
        <v>216</v>
      </c>
      <c r="I19" s="3" t="s">
        <v>68</v>
      </c>
    </row>
    <row r="20" spans="1:9" x14ac:dyDescent="0.2">
      <c r="A20">
        <v>17992</v>
      </c>
      <c r="B20" t="s">
        <v>218</v>
      </c>
      <c r="C20" t="s">
        <v>219</v>
      </c>
      <c r="D20" s="3" t="s">
        <v>182</v>
      </c>
      <c r="E20" s="3" t="s">
        <v>129</v>
      </c>
      <c r="F20" s="3" t="s">
        <v>183</v>
      </c>
      <c r="G20" s="3" t="s">
        <v>183</v>
      </c>
      <c r="H20" s="3" t="s">
        <v>218</v>
      </c>
      <c r="I20" s="3" t="s">
        <v>68</v>
      </c>
    </row>
    <row r="21" spans="1:9" x14ac:dyDescent="0.2">
      <c r="A21">
        <v>17993</v>
      </c>
      <c r="B21" t="s">
        <v>220</v>
      </c>
      <c r="C21" t="s">
        <v>221</v>
      </c>
      <c r="D21" s="3" t="s">
        <v>182</v>
      </c>
      <c r="E21" s="3" t="s">
        <v>129</v>
      </c>
      <c r="F21" s="3" t="s">
        <v>183</v>
      </c>
      <c r="G21" s="3" t="s">
        <v>183</v>
      </c>
      <c r="H21" s="3" t="s">
        <v>220</v>
      </c>
      <c r="I21" s="3" t="s">
        <v>68</v>
      </c>
    </row>
    <row r="22" spans="1:9" x14ac:dyDescent="0.2">
      <c r="A22">
        <v>17994</v>
      </c>
      <c r="B22" t="s">
        <v>222</v>
      </c>
      <c r="C22" t="s">
        <v>223</v>
      </c>
      <c r="D22" s="3" t="s">
        <v>182</v>
      </c>
      <c r="E22" s="3" t="s">
        <v>129</v>
      </c>
      <c r="F22" s="3" t="s">
        <v>183</v>
      </c>
      <c r="G22" s="3" t="s">
        <v>183</v>
      </c>
      <c r="H22" s="3" t="s">
        <v>222</v>
      </c>
      <c r="I22" s="3" t="s">
        <v>68</v>
      </c>
    </row>
    <row r="23" spans="1:9" x14ac:dyDescent="0.2">
      <c r="A23">
        <v>17995</v>
      </c>
      <c r="B23" t="s">
        <v>224</v>
      </c>
      <c r="C23" t="s">
        <v>225</v>
      </c>
      <c r="D23" s="3" t="s">
        <v>182</v>
      </c>
      <c r="E23" s="3" t="s">
        <v>129</v>
      </c>
      <c r="F23" s="3" t="s">
        <v>183</v>
      </c>
      <c r="G23" s="3" t="s">
        <v>183</v>
      </c>
      <c r="H23" s="3" t="s">
        <v>224</v>
      </c>
      <c r="I23" s="3" t="s">
        <v>68</v>
      </c>
    </row>
    <row r="24" spans="1:9" x14ac:dyDescent="0.2">
      <c r="A24">
        <v>17996</v>
      </c>
      <c r="B24" t="s">
        <v>226</v>
      </c>
      <c r="C24" t="s">
        <v>227</v>
      </c>
      <c r="D24" s="3" t="s">
        <v>182</v>
      </c>
      <c r="E24" s="3" t="s">
        <v>129</v>
      </c>
      <c r="F24" s="3" t="s">
        <v>183</v>
      </c>
      <c r="G24" s="3" t="s">
        <v>183</v>
      </c>
      <c r="H24" s="3" t="s">
        <v>226</v>
      </c>
      <c r="I24" s="3" t="s">
        <v>68</v>
      </c>
    </row>
    <row r="25" spans="1:9" x14ac:dyDescent="0.2">
      <c r="A25">
        <v>17997</v>
      </c>
      <c r="B25" t="s">
        <v>228</v>
      </c>
      <c r="C25" t="s">
        <v>229</v>
      </c>
      <c r="D25" s="3" t="s">
        <v>182</v>
      </c>
      <c r="E25" s="3" t="s">
        <v>129</v>
      </c>
      <c r="F25" s="3" t="s">
        <v>183</v>
      </c>
      <c r="G25" s="3" t="s">
        <v>183</v>
      </c>
      <c r="H25" s="3" t="s">
        <v>228</v>
      </c>
      <c r="I25" s="3" t="s">
        <v>68</v>
      </c>
    </row>
    <row r="26" spans="1:9" x14ac:dyDescent="0.2">
      <c r="A26">
        <v>17998</v>
      </c>
      <c r="B26" t="s">
        <v>230</v>
      </c>
      <c r="C26" t="s">
        <v>231</v>
      </c>
      <c r="D26" s="3" t="s">
        <v>182</v>
      </c>
      <c r="E26" s="3" t="s">
        <v>129</v>
      </c>
      <c r="F26" s="3" t="s">
        <v>183</v>
      </c>
      <c r="G26" s="3" t="s">
        <v>183</v>
      </c>
      <c r="H26" s="3" t="s">
        <v>230</v>
      </c>
      <c r="I26" s="3" t="s">
        <v>68</v>
      </c>
    </row>
    <row r="27" spans="1:9" x14ac:dyDescent="0.2">
      <c r="A27">
        <v>17999</v>
      </c>
      <c r="B27" t="s">
        <v>232</v>
      </c>
      <c r="C27" t="s">
        <v>233</v>
      </c>
      <c r="D27" s="3" t="s">
        <v>182</v>
      </c>
      <c r="E27" s="3" t="s">
        <v>129</v>
      </c>
      <c r="F27" s="3" t="s">
        <v>183</v>
      </c>
      <c r="G27" s="3" t="s">
        <v>183</v>
      </c>
      <c r="H27" s="3" t="s">
        <v>232</v>
      </c>
      <c r="I27" s="3" t="s">
        <v>68</v>
      </c>
    </row>
    <row r="28" spans="1:9" x14ac:dyDescent="0.2">
      <c r="A28">
        <v>18000</v>
      </c>
      <c r="B28" t="s">
        <v>234</v>
      </c>
      <c r="C28" t="s">
        <v>235</v>
      </c>
      <c r="D28" s="3" t="s">
        <v>182</v>
      </c>
      <c r="E28" s="3" t="s">
        <v>129</v>
      </c>
      <c r="F28" s="3" t="s">
        <v>183</v>
      </c>
      <c r="G28" s="3" t="s">
        <v>183</v>
      </c>
      <c r="H28" s="3" t="s">
        <v>234</v>
      </c>
      <c r="I28" s="3" t="s">
        <v>68</v>
      </c>
    </row>
    <row r="29" spans="1:9" x14ac:dyDescent="0.2">
      <c r="A29">
        <v>18001</v>
      </c>
      <c r="B29" t="s">
        <v>236</v>
      </c>
      <c r="C29" t="s">
        <v>237</v>
      </c>
      <c r="D29" s="3" t="s">
        <v>182</v>
      </c>
      <c r="E29" s="3" t="s">
        <v>129</v>
      </c>
      <c r="F29" s="3" t="s">
        <v>183</v>
      </c>
      <c r="G29" s="3" t="s">
        <v>183</v>
      </c>
      <c r="H29" s="3" t="s">
        <v>236</v>
      </c>
      <c r="I29" s="3" t="s">
        <v>68</v>
      </c>
    </row>
    <row r="30" spans="1:9" x14ac:dyDescent="0.2">
      <c r="A30">
        <v>18002</v>
      </c>
      <c r="B30" t="s">
        <v>238</v>
      </c>
      <c r="C30" t="s">
        <v>239</v>
      </c>
      <c r="D30" s="3" t="s">
        <v>182</v>
      </c>
      <c r="E30" s="3" t="s">
        <v>129</v>
      </c>
      <c r="F30" s="3" t="s">
        <v>183</v>
      </c>
      <c r="G30" s="3" t="s">
        <v>183</v>
      </c>
      <c r="H30" s="3" t="s">
        <v>238</v>
      </c>
      <c r="I30" s="3" t="s">
        <v>68</v>
      </c>
    </row>
    <row r="31" spans="1:9" x14ac:dyDescent="0.2">
      <c r="A31">
        <v>18003</v>
      </c>
      <c r="B31" t="s">
        <v>240</v>
      </c>
      <c r="C31" t="s">
        <v>241</v>
      </c>
      <c r="D31" s="3" t="s">
        <v>182</v>
      </c>
      <c r="E31" s="3" t="s">
        <v>129</v>
      </c>
      <c r="F31" s="3" t="s">
        <v>183</v>
      </c>
      <c r="G31" s="3" t="s">
        <v>183</v>
      </c>
      <c r="H31" s="3" t="s">
        <v>240</v>
      </c>
      <c r="I31" s="3" t="s">
        <v>68</v>
      </c>
    </row>
    <row r="32" spans="1:9" x14ac:dyDescent="0.2">
      <c r="A32">
        <v>18004</v>
      </c>
      <c r="B32" t="s">
        <v>242</v>
      </c>
      <c r="C32" t="s">
        <v>243</v>
      </c>
      <c r="D32" s="3" t="s">
        <v>182</v>
      </c>
      <c r="E32" s="3" t="s">
        <v>129</v>
      </c>
      <c r="F32" s="3" t="s">
        <v>183</v>
      </c>
      <c r="G32" s="3" t="s">
        <v>183</v>
      </c>
      <c r="H32" s="3" t="s">
        <v>242</v>
      </c>
      <c r="I32" s="3" t="s">
        <v>68</v>
      </c>
    </row>
    <row r="33" spans="1:9" x14ac:dyDescent="0.2">
      <c r="A33">
        <v>18005</v>
      </c>
      <c r="B33" t="s">
        <v>244</v>
      </c>
      <c r="C33" t="s">
        <v>245</v>
      </c>
      <c r="D33" s="3" t="s">
        <v>182</v>
      </c>
      <c r="E33" s="3" t="s">
        <v>129</v>
      </c>
      <c r="F33" s="3" t="s">
        <v>183</v>
      </c>
      <c r="G33" s="3" t="s">
        <v>183</v>
      </c>
      <c r="H33" s="3" t="s">
        <v>244</v>
      </c>
      <c r="I33" s="3" t="s">
        <v>68</v>
      </c>
    </row>
    <row r="34" spans="1:9" x14ac:dyDescent="0.2">
      <c r="A34">
        <v>18006</v>
      </c>
      <c r="B34" t="s">
        <v>246</v>
      </c>
      <c r="C34" t="s">
        <v>247</v>
      </c>
      <c r="D34" s="3" t="s">
        <v>182</v>
      </c>
      <c r="E34" s="3" t="s">
        <v>129</v>
      </c>
      <c r="F34" s="3" t="s">
        <v>183</v>
      </c>
      <c r="G34" s="3" t="s">
        <v>183</v>
      </c>
      <c r="H34" s="3" t="s">
        <v>246</v>
      </c>
      <c r="I34" s="3" t="s">
        <v>68</v>
      </c>
    </row>
    <row r="35" spans="1:9" x14ac:dyDescent="0.2">
      <c r="A35">
        <v>18007</v>
      </c>
      <c r="B35" t="s">
        <v>248</v>
      </c>
      <c r="C35" t="s">
        <v>249</v>
      </c>
      <c r="D35" s="3" t="s">
        <v>182</v>
      </c>
      <c r="E35" s="3" t="s">
        <v>129</v>
      </c>
      <c r="F35" s="3" t="s">
        <v>183</v>
      </c>
      <c r="G35" s="3" t="s">
        <v>183</v>
      </c>
      <c r="H35" s="3" t="s">
        <v>248</v>
      </c>
      <c r="I35" s="3" t="s">
        <v>68</v>
      </c>
    </row>
    <row r="36" spans="1:9" x14ac:dyDescent="0.2">
      <c r="A36">
        <v>18008</v>
      </c>
      <c r="B36" t="s">
        <v>250</v>
      </c>
      <c r="C36" t="s">
        <v>251</v>
      </c>
      <c r="D36" s="3" t="s">
        <v>182</v>
      </c>
      <c r="E36" s="3" t="s">
        <v>129</v>
      </c>
      <c r="F36" s="3" t="s">
        <v>183</v>
      </c>
      <c r="G36" s="3" t="s">
        <v>183</v>
      </c>
      <c r="H36" s="3" t="s">
        <v>250</v>
      </c>
      <c r="I36" s="3" t="s">
        <v>68</v>
      </c>
    </row>
    <row r="37" spans="1:9" x14ac:dyDescent="0.2">
      <c r="A37">
        <v>18009</v>
      </c>
      <c r="B37" t="s">
        <v>252</v>
      </c>
      <c r="C37" t="s">
        <v>253</v>
      </c>
      <c r="D37" s="3" t="s">
        <v>182</v>
      </c>
      <c r="E37" s="3" t="s">
        <v>129</v>
      </c>
      <c r="F37" s="3" t="s">
        <v>183</v>
      </c>
      <c r="G37" s="3" t="s">
        <v>183</v>
      </c>
      <c r="H37" s="3" t="s">
        <v>252</v>
      </c>
      <c r="I37" s="3" t="s">
        <v>68</v>
      </c>
    </row>
    <row r="38" spans="1:9" x14ac:dyDescent="0.2">
      <c r="A38">
        <v>18010</v>
      </c>
      <c r="B38" t="s">
        <v>254</v>
      </c>
      <c r="C38" t="s">
        <v>255</v>
      </c>
      <c r="D38" s="3" t="s">
        <v>182</v>
      </c>
      <c r="E38" s="3" t="s">
        <v>129</v>
      </c>
      <c r="F38" s="3" t="s">
        <v>183</v>
      </c>
      <c r="G38" s="3" t="s">
        <v>183</v>
      </c>
      <c r="H38" s="3" t="s">
        <v>254</v>
      </c>
      <c r="I38" s="3" t="s">
        <v>68</v>
      </c>
    </row>
    <row r="39" spans="1:9" x14ac:dyDescent="0.2">
      <c r="A39">
        <v>18011</v>
      </c>
      <c r="B39" t="s">
        <v>256</v>
      </c>
      <c r="C39" t="s">
        <v>257</v>
      </c>
      <c r="D39" s="3" t="s">
        <v>182</v>
      </c>
      <c r="E39" s="3" t="s">
        <v>129</v>
      </c>
      <c r="F39" s="3" t="s">
        <v>183</v>
      </c>
      <c r="G39" s="3" t="s">
        <v>183</v>
      </c>
      <c r="H39" s="3" t="s">
        <v>256</v>
      </c>
      <c r="I39" s="3" t="s">
        <v>68</v>
      </c>
    </row>
    <row r="40" spans="1:9" x14ac:dyDescent="0.2">
      <c r="A40">
        <v>18012</v>
      </c>
      <c r="B40" t="s">
        <v>258</v>
      </c>
      <c r="C40" t="s">
        <v>259</v>
      </c>
      <c r="D40" s="3" t="s">
        <v>182</v>
      </c>
      <c r="E40" s="3" t="s">
        <v>129</v>
      </c>
      <c r="F40" s="3" t="s">
        <v>183</v>
      </c>
      <c r="G40" s="3" t="s">
        <v>183</v>
      </c>
      <c r="H40" s="3" t="s">
        <v>258</v>
      </c>
      <c r="I40" s="3" t="s">
        <v>68</v>
      </c>
    </row>
    <row r="41" spans="1:9" x14ac:dyDescent="0.2">
      <c r="A41">
        <v>18013</v>
      </c>
      <c r="B41" t="s">
        <v>260</v>
      </c>
      <c r="C41" t="s">
        <v>261</v>
      </c>
      <c r="D41" s="3" t="s">
        <v>182</v>
      </c>
      <c r="E41" s="3" t="s">
        <v>129</v>
      </c>
      <c r="F41" s="3" t="s">
        <v>183</v>
      </c>
      <c r="G41" s="3" t="s">
        <v>183</v>
      </c>
      <c r="H41" s="3" t="s">
        <v>260</v>
      </c>
      <c r="I41" s="3" t="s">
        <v>68</v>
      </c>
    </row>
    <row r="42" spans="1:9" x14ac:dyDescent="0.2">
      <c r="A42">
        <v>18014</v>
      </c>
      <c r="B42" t="s">
        <v>262</v>
      </c>
      <c r="C42" t="s">
        <v>263</v>
      </c>
      <c r="D42" s="3" t="s">
        <v>182</v>
      </c>
      <c r="E42" s="3" t="s">
        <v>129</v>
      </c>
      <c r="F42" s="3" t="s">
        <v>183</v>
      </c>
      <c r="G42" s="3" t="s">
        <v>183</v>
      </c>
      <c r="H42" s="3" t="s">
        <v>262</v>
      </c>
      <c r="I42" s="3" t="s">
        <v>68</v>
      </c>
    </row>
    <row r="43" spans="1:9" x14ac:dyDescent="0.2">
      <c r="A43">
        <v>18015</v>
      </c>
      <c r="B43" t="s">
        <v>264</v>
      </c>
      <c r="C43" t="s">
        <v>265</v>
      </c>
      <c r="D43" s="3" t="s">
        <v>182</v>
      </c>
      <c r="E43" s="3" t="s">
        <v>129</v>
      </c>
      <c r="F43" s="3" t="s">
        <v>183</v>
      </c>
      <c r="G43" s="3" t="s">
        <v>183</v>
      </c>
      <c r="H43" s="3" t="s">
        <v>264</v>
      </c>
      <c r="I43" s="3" t="s">
        <v>68</v>
      </c>
    </row>
    <row r="44" spans="1:9" x14ac:dyDescent="0.2">
      <c r="A44">
        <v>18016</v>
      </c>
      <c r="B44" t="s">
        <v>266</v>
      </c>
      <c r="C44" t="s">
        <v>267</v>
      </c>
      <c r="D44" s="3" t="s">
        <v>182</v>
      </c>
      <c r="E44" s="3" t="s">
        <v>129</v>
      </c>
      <c r="F44" s="3" t="s">
        <v>183</v>
      </c>
      <c r="G44" s="3" t="s">
        <v>183</v>
      </c>
      <c r="H44" s="3" t="s">
        <v>266</v>
      </c>
      <c r="I44" s="3" t="s">
        <v>68</v>
      </c>
    </row>
    <row r="45" spans="1:9" x14ac:dyDescent="0.2">
      <c r="A45">
        <v>18017</v>
      </c>
      <c r="B45" t="s">
        <v>268</v>
      </c>
      <c r="C45" t="s">
        <v>269</v>
      </c>
      <c r="D45" s="3" t="s">
        <v>182</v>
      </c>
      <c r="E45" s="3" t="s">
        <v>129</v>
      </c>
      <c r="F45" s="3" t="s">
        <v>183</v>
      </c>
      <c r="G45" s="3" t="s">
        <v>183</v>
      </c>
      <c r="H45" s="3" t="s">
        <v>268</v>
      </c>
      <c r="I45" s="3" t="s">
        <v>68</v>
      </c>
    </row>
    <row r="46" spans="1:9" x14ac:dyDescent="0.2">
      <c r="A46">
        <v>18018</v>
      </c>
      <c r="B46" t="s">
        <v>270</v>
      </c>
      <c r="C46" t="s">
        <v>271</v>
      </c>
      <c r="D46" s="3" t="s">
        <v>182</v>
      </c>
      <c r="E46" s="3" t="s">
        <v>129</v>
      </c>
      <c r="F46" s="3" t="s">
        <v>183</v>
      </c>
      <c r="G46" s="3" t="s">
        <v>183</v>
      </c>
      <c r="H46" s="3" t="s">
        <v>270</v>
      </c>
      <c r="I46" s="3" t="s">
        <v>68</v>
      </c>
    </row>
    <row r="47" spans="1:9" x14ac:dyDescent="0.2">
      <c r="A47">
        <v>18019</v>
      </c>
      <c r="B47" t="s">
        <v>272</v>
      </c>
      <c r="C47" t="s">
        <v>273</v>
      </c>
      <c r="D47" s="3" t="s">
        <v>182</v>
      </c>
      <c r="E47" s="3" t="s">
        <v>129</v>
      </c>
      <c r="F47" s="3" t="s">
        <v>183</v>
      </c>
      <c r="G47" s="3" t="s">
        <v>183</v>
      </c>
      <c r="H47" s="3" t="s">
        <v>272</v>
      </c>
      <c r="I47" s="3" t="s">
        <v>68</v>
      </c>
    </row>
    <row r="48" spans="1:9" x14ac:dyDescent="0.2">
      <c r="A48">
        <v>18020</v>
      </c>
      <c r="B48" t="s">
        <v>274</v>
      </c>
      <c r="C48" t="s">
        <v>275</v>
      </c>
      <c r="D48" s="3" t="s">
        <v>182</v>
      </c>
      <c r="E48" s="3" t="s">
        <v>129</v>
      </c>
      <c r="F48" s="3" t="s">
        <v>183</v>
      </c>
      <c r="G48" s="3" t="s">
        <v>183</v>
      </c>
      <c r="H48" s="3" t="s">
        <v>274</v>
      </c>
      <c r="I48" s="3" t="s">
        <v>68</v>
      </c>
    </row>
    <row r="49" spans="1:9" x14ac:dyDescent="0.2">
      <c r="A49">
        <v>18021</v>
      </c>
      <c r="B49" t="s">
        <v>276</v>
      </c>
      <c r="C49" t="s">
        <v>277</v>
      </c>
      <c r="D49" s="3" t="s">
        <v>182</v>
      </c>
      <c r="E49" s="3" t="s">
        <v>129</v>
      </c>
      <c r="F49" s="3" t="s">
        <v>183</v>
      </c>
      <c r="G49" s="3" t="s">
        <v>183</v>
      </c>
      <c r="H49" s="3" t="s">
        <v>276</v>
      </c>
      <c r="I49" s="3" t="s">
        <v>68</v>
      </c>
    </row>
    <row r="50" spans="1:9" x14ac:dyDescent="0.2">
      <c r="A50">
        <v>18022</v>
      </c>
      <c r="B50" t="s">
        <v>278</v>
      </c>
      <c r="C50" t="s">
        <v>279</v>
      </c>
      <c r="D50" s="3" t="s">
        <v>182</v>
      </c>
      <c r="E50" s="3" t="s">
        <v>129</v>
      </c>
      <c r="F50" s="3" t="s">
        <v>183</v>
      </c>
      <c r="G50" s="3" t="s">
        <v>183</v>
      </c>
      <c r="H50" s="3" t="s">
        <v>278</v>
      </c>
      <c r="I50" s="3" t="s">
        <v>68</v>
      </c>
    </row>
    <row r="51" spans="1:9" x14ac:dyDescent="0.2">
      <c r="A51">
        <v>18023</v>
      </c>
      <c r="B51" t="s">
        <v>280</v>
      </c>
      <c r="C51" t="s">
        <v>281</v>
      </c>
      <c r="D51" s="3" t="s">
        <v>182</v>
      </c>
      <c r="E51" s="3" t="s">
        <v>129</v>
      </c>
      <c r="F51" s="3" t="s">
        <v>183</v>
      </c>
      <c r="G51" s="3" t="s">
        <v>183</v>
      </c>
      <c r="H51" s="3" t="s">
        <v>280</v>
      </c>
      <c r="I51" s="3" t="s">
        <v>68</v>
      </c>
    </row>
    <row r="52" spans="1:9" x14ac:dyDescent="0.2">
      <c r="A52">
        <v>18024</v>
      </c>
      <c r="B52" t="s">
        <v>282</v>
      </c>
      <c r="C52" t="s">
        <v>283</v>
      </c>
      <c r="D52" s="3" t="s">
        <v>182</v>
      </c>
      <c r="E52" s="3" t="s">
        <v>129</v>
      </c>
      <c r="F52" s="3" t="s">
        <v>183</v>
      </c>
      <c r="G52" s="3" t="s">
        <v>183</v>
      </c>
      <c r="H52" s="3" t="s">
        <v>282</v>
      </c>
      <c r="I52" s="3" t="s">
        <v>68</v>
      </c>
    </row>
    <row r="53" spans="1:9" x14ac:dyDescent="0.2">
      <c r="A53">
        <v>18025</v>
      </c>
      <c r="B53" t="s">
        <v>284</v>
      </c>
      <c r="C53" t="s">
        <v>285</v>
      </c>
      <c r="D53" s="3" t="s">
        <v>182</v>
      </c>
      <c r="E53" s="3" t="s">
        <v>129</v>
      </c>
      <c r="F53" s="3" t="s">
        <v>183</v>
      </c>
      <c r="G53" s="3" t="s">
        <v>183</v>
      </c>
      <c r="H53" s="3" t="s">
        <v>284</v>
      </c>
      <c r="I53" s="3" t="s">
        <v>68</v>
      </c>
    </row>
    <row r="54" spans="1:9" x14ac:dyDescent="0.2">
      <c r="A54">
        <v>18026</v>
      </c>
      <c r="B54" t="s">
        <v>286</v>
      </c>
      <c r="C54" t="s">
        <v>287</v>
      </c>
      <c r="D54" s="3" t="s">
        <v>182</v>
      </c>
      <c r="E54" s="3" t="s">
        <v>129</v>
      </c>
      <c r="F54" s="3" t="s">
        <v>183</v>
      </c>
      <c r="G54" s="3" t="s">
        <v>183</v>
      </c>
      <c r="H54" s="3" t="s">
        <v>286</v>
      </c>
      <c r="I54" s="3" t="s">
        <v>68</v>
      </c>
    </row>
    <row r="55" spans="1:9" x14ac:dyDescent="0.2">
      <c r="A55">
        <v>18027</v>
      </c>
      <c r="B55" t="s">
        <v>288</v>
      </c>
      <c r="C55" t="s">
        <v>289</v>
      </c>
      <c r="D55" s="3" t="s">
        <v>182</v>
      </c>
      <c r="E55" s="3" t="s">
        <v>129</v>
      </c>
      <c r="F55" s="3" t="s">
        <v>183</v>
      </c>
      <c r="G55" s="3" t="s">
        <v>183</v>
      </c>
      <c r="H55" s="3" t="s">
        <v>288</v>
      </c>
      <c r="I55" s="3" t="s">
        <v>68</v>
      </c>
    </row>
    <row r="56" spans="1:9" x14ac:dyDescent="0.2">
      <c r="A56">
        <v>18028</v>
      </c>
      <c r="B56" t="s">
        <v>290</v>
      </c>
      <c r="C56" t="s">
        <v>291</v>
      </c>
      <c r="D56" s="3" t="s">
        <v>182</v>
      </c>
      <c r="E56" s="3" t="s">
        <v>129</v>
      </c>
      <c r="F56" s="3" t="s">
        <v>183</v>
      </c>
      <c r="G56" s="3" t="s">
        <v>183</v>
      </c>
      <c r="H56" s="3" t="s">
        <v>290</v>
      </c>
      <c r="I56" s="3" t="s">
        <v>68</v>
      </c>
    </row>
    <row r="57" spans="1:9" x14ac:dyDescent="0.2">
      <c r="A57">
        <v>18029</v>
      </c>
      <c r="B57" t="s">
        <v>292</v>
      </c>
      <c r="C57" t="s">
        <v>293</v>
      </c>
      <c r="D57" s="3" t="s">
        <v>182</v>
      </c>
      <c r="E57" s="3" t="s">
        <v>129</v>
      </c>
      <c r="F57" s="3" t="s">
        <v>183</v>
      </c>
      <c r="G57" s="3" t="s">
        <v>183</v>
      </c>
      <c r="H57" s="3" t="s">
        <v>292</v>
      </c>
      <c r="I57" s="3" t="s">
        <v>68</v>
      </c>
    </row>
    <row r="58" spans="1:9" x14ac:dyDescent="0.2">
      <c r="A58">
        <v>18030</v>
      </c>
      <c r="B58" t="s">
        <v>294</v>
      </c>
      <c r="C58" t="s">
        <v>295</v>
      </c>
      <c r="D58" s="3" t="s">
        <v>182</v>
      </c>
      <c r="E58" s="3" t="s">
        <v>129</v>
      </c>
      <c r="F58" s="3" t="s">
        <v>183</v>
      </c>
      <c r="G58" s="3" t="s">
        <v>183</v>
      </c>
      <c r="H58" s="3" t="s">
        <v>294</v>
      </c>
      <c r="I58" s="3" t="s">
        <v>68</v>
      </c>
    </row>
    <row r="59" spans="1:9" x14ac:dyDescent="0.2">
      <c r="A59">
        <v>18031</v>
      </c>
      <c r="B59" t="s">
        <v>296</v>
      </c>
      <c r="C59" t="s">
        <v>297</v>
      </c>
      <c r="D59" s="3" t="s">
        <v>182</v>
      </c>
      <c r="E59" s="3" t="s">
        <v>129</v>
      </c>
      <c r="F59" s="3" t="s">
        <v>183</v>
      </c>
      <c r="G59" s="3" t="s">
        <v>183</v>
      </c>
      <c r="H59" s="3" t="s">
        <v>296</v>
      </c>
      <c r="I59" s="3" t="s">
        <v>68</v>
      </c>
    </row>
    <row r="60" spans="1:9" x14ac:dyDescent="0.2">
      <c r="A60">
        <v>18032</v>
      </c>
      <c r="B60" t="s">
        <v>298</v>
      </c>
      <c r="C60" t="s">
        <v>299</v>
      </c>
      <c r="D60" s="3" t="s">
        <v>182</v>
      </c>
      <c r="E60" s="3" t="s">
        <v>129</v>
      </c>
      <c r="F60" s="3" t="s">
        <v>183</v>
      </c>
      <c r="G60" s="3" t="s">
        <v>183</v>
      </c>
      <c r="H60" s="3" t="s">
        <v>298</v>
      </c>
      <c r="I60" s="3" t="s">
        <v>68</v>
      </c>
    </row>
    <row r="61" spans="1:9" x14ac:dyDescent="0.2">
      <c r="A61">
        <v>18033</v>
      </c>
      <c r="B61" t="s">
        <v>300</v>
      </c>
      <c r="C61" t="s">
        <v>301</v>
      </c>
      <c r="D61" s="3" t="s">
        <v>182</v>
      </c>
      <c r="E61" s="3" t="s">
        <v>129</v>
      </c>
      <c r="F61" s="3" t="s">
        <v>183</v>
      </c>
      <c r="G61" s="3" t="s">
        <v>183</v>
      </c>
      <c r="H61" s="3" t="s">
        <v>300</v>
      </c>
      <c r="I61" s="3" t="s">
        <v>68</v>
      </c>
    </row>
    <row r="62" spans="1:9" x14ac:dyDescent="0.2">
      <c r="A62">
        <v>18034</v>
      </c>
      <c r="B62" t="s">
        <v>302</v>
      </c>
      <c r="C62" t="s">
        <v>303</v>
      </c>
      <c r="D62" s="3" t="s">
        <v>182</v>
      </c>
      <c r="E62" s="3" t="s">
        <v>129</v>
      </c>
      <c r="F62" s="3" t="s">
        <v>183</v>
      </c>
      <c r="G62" s="3" t="s">
        <v>183</v>
      </c>
      <c r="H62" s="3" t="s">
        <v>302</v>
      </c>
      <c r="I62" s="3" t="s">
        <v>68</v>
      </c>
    </row>
    <row r="63" spans="1:9" x14ac:dyDescent="0.2">
      <c r="A63">
        <v>18035</v>
      </c>
      <c r="B63" t="s">
        <v>304</v>
      </c>
      <c r="C63" t="s">
        <v>305</v>
      </c>
      <c r="D63" s="3" t="s">
        <v>182</v>
      </c>
      <c r="E63" s="3" t="s">
        <v>129</v>
      </c>
      <c r="F63" s="3" t="s">
        <v>183</v>
      </c>
      <c r="G63" s="3" t="s">
        <v>183</v>
      </c>
      <c r="H63" s="3" t="s">
        <v>304</v>
      </c>
      <c r="I63" s="3" t="s">
        <v>68</v>
      </c>
    </row>
    <row r="64" spans="1:9" x14ac:dyDescent="0.2">
      <c r="A64">
        <v>18036</v>
      </c>
      <c r="B64" t="s">
        <v>306</v>
      </c>
      <c r="C64" t="s">
        <v>307</v>
      </c>
      <c r="D64" s="3" t="s">
        <v>182</v>
      </c>
      <c r="E64" s="3" t="s">
        <v>129</v>
      </c>
      <c r="F64" s="3" t="s">
        <v>183</v>
      </c>
      <c r="G64" s="3" t="s">
        <v>183</v>
      </c>
      <c r="H64" s="3" t="s">
        <v>306</v>
      </c>
      <c r="I64" s="3" t="s">
        <v>68</v>
      </c>
    </row>
    <row r="65" spans="1:9" x14ac:dyDescent="0.2">
      <c r="A65">
        <v>18037</v>
      </c>
      <c r="B65" t="s">
        <v>308</v>
      </c>
      <c r="C65" t="s">
        <v>309</v>
      </c>
      <c r="D65" s="3" t="s">
        <v>182</v>
      </c>
      <c r="E65" s="3" t="s">
        <v>129</v>
      </c>
      <c r="F65" s="3" t="s">
        <v>183</v>
      </c>
      <c r="G65" s="3" t="s">
        <v>183</v>
      </c>
      <c r="H65" s="3" t="s">
        <v>308</v>
      </c>
      <c r="I65" s="3" t="s">
        <v>68</v>
      </c>
    </row>
    <row r="66" spans="1:9" x14ac:dyDescent="0.2">
      <c r="A66">
        <v>18038</v>
      </c>
      <c r="B66" t="s">
        <v>310</v>
      </c>
      <c r="C66" t="s">
        <v>311</v>
      </c>
      <c r="D66" s="3" t="s">
        <v>182</v>
      </c>
      <c r="E66" s="3" t="s">
        <v>129</v>
      </c>
      <c r="F66" s="3" t="s">
        <v>183</v>
      </c>
      <c r="G66" s="3" t="s">
        <v>183</v>
      </c>
      <c r="H66" s="3" t="s">
        <v>310</v>
      </c>
      <c r="I66" s="3" t="s">
        <v>68</v>
      </c>
    </row>
    <row r="67" spans="1:9" x14ac:dyDescent="0.2">
      <c r="A67">
        <v>18039</v>
      </c>
      <c r="B67" t="s">
        <v>312</v>
      </c>
      <c r="C67" t="s">
        <v>313</v>
      </c>
      <c r="D67" s="3" t="s">
        <v>182</v>
      </c>
      <c r="E67" s="3" t="s">
        <v>129</v>
      </c>
      <c r="F67" s="3" t="s">
        <v>183</v>
      </c>
      <c r="G67" s="3" t="s">
        <v>183</v>
      </c>
      <c r="H67" s="3" t="s">
        <v>312</v>
      </c>
      <c r="I67" s="3" t="s">
        <v>68</v>
      </c>
    </row>
    <row r="68" spans="1:9" x14ac:dyDescent="0.2">
      <c r="A68">
        <v>18040</v>
      </c>
      <c r="B68" t="s">
        <v>314</v>
      </c>
      <c r="C68" t="s">
        <v>315</v>
      </c>
      <c r="D68" s="3" t="s">
        <v>182</v>
      </c>
      <c r="E68" s="3" t="s">
        <v>129</v>
      </c>
      <c r="F68" s="3" t="s">
        <v>183</v>
      </c>
      <c r="G68" s="3" t="s">
        <v>183</v>
      </c>
      <c r="H68" s="3" t="s">
        <v>314</v>
      </c>
      <c r="I68" s="3" t="s">
        <v>68</v>
      </c>
    </row>
    <row r="69" spans="1:9" x14ac:dyDescent="0.2">
      <c r="A69">
        <v>18041</v>
      </c>
      <c r="B69" t="s">
        <v>316</v>
      </c>
      <c r="C69" t="s">
        <v>317</v>
      </c>
      <c r="D69" s="3" t="s">
        <v>182</v>
      </c>
      <c r="E69" s="3" t="s">
        <v>129</v>
      </c>
      <c r="F69" s="3" t="s">
        <v>183</v>
      </c>
      <c r="G69" s="3" t="s">
        <v>183</v>
      </c>
      <c r="H69" s="3" t="s">
        <v>316</v>
      </c>
      <c r="I69" s="3" t="s">
        <v>68</v>
      </c>
    </row>
    <row r="70" spans="1:9" x14ac:dyDescent="0.2">
      <c r="A70">
        <v>18042</v>
      </c>
      <c r="B70" t="s">
        <v>318</v>
      </c>
      <c r="C70" t="s">
        <v>319</v>
      </c>
      <c r="D70" s="3" t="s">
        <v>182</v>
      </c>
      <c r="E70" s="3" t="s">
        <v>129</v>
      </c>
      <c r="F70" s="3" t="s">
        <v>183</v>
      </c>
      <c r="G70" s="3" t="s">
        <v>183</v>
      </c>
      <c r="H70" s="3" t="s">
        <v>318</v>
      </c>
      <c r="I70" s="3" t="s">
        <v>68</v>
      </c>
    </row>
    <row r="71" spans="1:9" x14ac:dyDescent="0.2">
      <c r="A71">
        <v>18043</v>
      </c>
      <c r="B71" t="s">
        <v>320</v>
      </c>
      <c r="C71" t="s">
        <v>321</v>
      </c>
      <c r="D71" s="3" t="s">
        <v>182</v>
      </c>
      <c r="E71" s="3" t="s">
        <v>129</v>
      </c>
      <c r="F71" s="3" t="s">
        <v>183</v>
      </c>
      <c r="G71" s="3" t="s">
        <v>183</v>
      </c>
      <c r="H71" s="3" t="s">
        <v>320</v>
      </c>
      <c r="I71" s="3" t="s">
        <v>68</v>
      </c>
    </row>
    <row r="72" spans="1:9" x14ac:dyDescent="0.2">
      <c r="A72">
        <v>18044</v>
      </c>
      <c r="B72" t="s">
        <v>322</v>
      </c>
      <c r="C72" t="s">
        <v>323</v>
      </c>
      <c r="D72" s="3" t="s">
        <v>182</v>
      </c>
      <c r="E72" s="3" t="s">
        <v>129</v>
      </c>
      <c r="F72" s="3" t="s">
        <v>183</v>
      </c>
      <c r="G72" s="3" t="s">
        <v>183</v>
      </c>
      <c r="H72" s="3" t="s">
        <v>322</v>
      </c>
      <c r="I72" s="3" t="s">
        <v>68</v>
      </c>
    </row>
    <row r="73" spans="1:9" x14ac:dyDescent="0.2">
      <c r="A73">
        <v>18045</v>
      </c>
      <c r="B73" t="s">
        <v>324</v>
      </c>
      <c r="C73" t="s">
        <v>325</v>
      </c>
      <c r="D73" s="3" t="s">
        <v>182</v>
      </c>
      <c r="E73" s="3" t="s">
        <v>129</v>
      </c>
      <c r="F73" s="3" t="s">
        <v>183</v>
      </c>
      <c r="G73" s="3" t="s">
        <v>183</v>
      </c>
      <c r="H73" s="3" t="s">
        <v>324</v>
      </c>
      <c r="I73" s="3" t="s">
        <v>68</v>
      </c>
    </row>
    <row r="74" spans="1:9" x14ac:dyDescent="0.2">
      <c r="A74">
        <v>18046</v>
      </c>
      <c r="B74" t="s">
        <v>326</v>
      </c>
      <c r="C74" t="s">
        <v>327</v>
      </c>
      <c r="D74" s="3" t="s">
        <v>182</v>
      </c>
      <c r="E74" s="3" t="s">
        <v>129</v>
      </c>
      <c r="F74" s="3" t="s">
        <v>183</v>
      </c>
      <c r="G74" s="3" t="s">
        <v>183</v>
      </c>
      <c r="H74" s="3" t="s">
        <v>326</v>
      </c>
      <c r="I74" s="3" t="s">
        <v>68</v>
      </c>
    </row>
    <row r="75" spans="1:9" x14ac:dyDescent="0.2">
      <c r="A75">
        <v>18047</v>
      </c>
      <c r="B75" t="s">
        <v>328</v>
      </c>
      <c r="C75" t="s">
        <v>329</v>
      </c>
      <c r="D75" s="3" t="s">
        <v>182</v>
      </c>
      <c r="E75" s="3" t="s">
        <v>129</v>
      </c>
      <c r="F75" s="3" t="s">
        <v>183</v>
      </c>
      <c r="G75" s="3" t="s">
        <v>183</v>
      </c>
      <c r="H75" s="3" t="s">
        <v>328</v>
      </c>
      <c r="I75" s="3" t="s">
        <v>68</v>
      </c>
    </row>
    <row r="76" spans="1:9" x14ac:dyDescent="0.2">
      <c r="A76">
        <v>18048</v>
      </c>
      <c r="B76" t="s">
        <v>330</v>
      </c>
      <c r="C76" t="s">
        <v>331</v>
      </c>
      <c r="D76" s="3" t="s">
        <v>182</v>
      </c>
      <c r="E76" s="3" t="s">
        <v>129</v>
      </c>
      <c r="F76" s="3" t="s">
        <v>183</v>
      </c>
      <c r="G76" s="3" t="s">
        <v>183</v>
      </c>
      <c r="H76" s="3" t="s">
        <v>330</v>
      </c>
      <c r="I76" s="3" t="s">
        <v>68</v>
      </c>
    </row>
    <row r="77" spans="1:9" x14ac:dyDescent="0.2">
      <c r="A77">
        <v>18049</v>
      </c>
      <c r="B77" t="s">
        <v>332</v>
      </c>
      <c r="C77" t="s">
        <v>333</v>
      </c>
      <c r="D77" s="3" t="s">
        <v>182</v>
      </c>
      <c r="E77" s="3" t="s">
        <v>129</v>
      </c>
      <c r="F77" s="3" t="s">
        <v>183</v>
      </c>
      <c r="G77" s="3" t="s">
        <v>183</v>
      </c>
      <c r="H77" s="3" t="s">
        <v>332</v>
      </c>
      <c r="I77" s="3" t="s">
        <v>68</v>
      </c>
    </row>
    <row r="78" spans="1:9" x14ac:dyDescent="0.2">
      <c r="A78">
        <v>18050</v>
      </c>
      <c r="B78" t="s">
        <v>334</v>
      </c>
      <c r="C78" t="s">
        <v>335</v>
      </c>
      <c r="D78" s="3" t="s">
        <v>182</v>
      </c>
      <c r="E78" s="3" t="s">
        <v>129</v>
      </c>
      <c r="F78" s="3" t="s">
        <v>183</v>
      </c>
      <c r="G78" s="3" t="s">
        <v>183</v>
      </c>
      <c r="H78" s="3" t="s">
        <v>334</v>
      </c>
      <c r="I78" s="3" t="s">
        <v>68</v>
      </c>
    </row>
    <row r="79" spans="1:9" x14ac:dyDescent="0.2">
      <c r="A79">
        <v>18051</v>
      </c>
      <c r="B79" t="s">
        <v>336</v>
      </c>
      <c r="C79" t="s">
        <v>337</v>
      </c>
      <c r="D79" s="3" t="s">
        <v>182</v>
      </c>
      <c r="E79" s="3" t="s">
        <v>129</v>
      </c>
      <c r="F79" s="3" t="s">
        <v>183</v>
      </c>
      <c r="G79" s="3" t="s">
        <v>183</v>
      </c>
      <c r="H79" s="3" t="s">
        <v>336</v>
      </c>
      <c r="I79" s="3" t="s">
        <v>68</v>
      </c>
    </row>
    <row r="80" spans="1:9" x14ac:dyDescent="0.2">
      <c r="A80">
        <v>18052</v>
      </c>
      <c r="B80" t="s">
        <v>338</v>
      </c>
      <c r="C80" t="s">
        <v>339</v>
      </c>
      <c r="D80" s="3" t="s">
        <v>182</v>
      </c>
      <c r="E80" s="3" t="s">
        <v>129</v>
      </c>
      <c r="F80" s="3" t="s">
        <v>183</v>
      </c>
      <c r="G80" s="3" t="s">
        <v>183</v>
      </c>
      <c r="H80" s="3" t="s">
        <v>338</v>
      </c>
      <c r="I80" s="3" t="s">
        <v>68</v>
      </c>
    </row>
    <row r="81" spans="1:9" x14ac:dyDescent="0.2">
      <c r="A81">
        <v>18053</v>
      </c>
      <c r="B81" t="s">
        <v>340</v>
      </c>
      <c r="C81" t="s">
        <v>341</v>
      </c>
      <c r="D81" s="3" t="s">
        <v>182</v>
      </c>
      <c r="E81" s="3" t="s">
        <v>129</v>
      </c>
      <c r="F81" s="3" t="s">
        <v>183</v>
      </c>
      <c r="G81" s="3" t="s">
        <v>183</v>
      </c>
      <c r="H81" s="3" t="s">
        <v>340</v>
      </c>
      <c r="I81" s="3" t="s">
        <v>68</v>
      </c>
    </row>
    <row r="82" spans="1:9" x14ac:dyDescent="0.2">
      <c r="A82">
        <v>18054</v>
      </c>
      <c r="B82" t="s">
        <v>342</v>
      </c>
      <c r="C82" t="s">
        <v>343</v>
      </c>
      <c r="D82" s="3" t="s">
        <v>182</v>
      </c>
      <c r="E82" s="3" t="s">
        <v>129</v>
      </c>
      <c r="F82" s="3" t="s">
        <v>183</v>
      </c>
      <c r="G82" s="3" t="s">
        <v>183</v>
      </c>
      <c r="H82" s="3" t="s">
        <v>342</v>
      </c>
      <c r="I82" s="3" t="s">
        <v>68</v>
      </c>
    </row>
    <row r="83" spans="1:9" x14ac:dyDescent="0.2">
      <c r="A83">
        <v>18055</v>
      </c>
      <c r="B83" t="s">
        <v>344</v>
      </c>
      <c r="C83" t="s">
        <v>345</v>
      </c>
      <c r="D83" s="3" t="s">
        <v>182</v>
      </c>
      <c r="E83" s="3" t="s">
        <v>129</v>
      </c>
      <c r="F83" s="3" t="s">
        <v>183</v>
      </c>
      <c r="G83" s="3" t="s">
        <v>183</v>
      </c>
      <c r="H83" s="3" t="s">
        <v>344</v>
      </c>
      <c r="I83" s="3" t="s">
        <v>68</v>
      </c>
    </row>
    <row r="84" spans="1:9" x14ac:dyDescent="0.2">
      <c r="A84">
        <v>18056</v>
      </c>
      <c r="B84" t="s">
        <v>346</v>
      </c>
      <c r="C84" t="s">
        <v>347</v>
      </c>
      <c r="D84" s="3" t="s">
        <v>182</v>
      </c>
      <c r="E84" s="3" t="s">
        <v>129</v>
      </c>
      <c r="F84" s="3" t="s">
        <v>183</v>
      </c>
      <c r="G84" s="3" t="s">
        <v>183</v>
      </c>
      <c r="H84" s="3" t="s">
        <v>346</v>
      </c>
      <c r="I84" s="3" t="s">
        <v>68</v>
      </c>
    </row>
    <row r="85" spans="1:9" x14ac:dyDescent="0.2">
      <c r="A85">
        <v>18057</v>
      </c>
      <c r="B85" t="s">
        <v>348</v>
      </c>
      <c r="C85" t="s">
        <v>349</v>
      </c>
      <c r="D85" s="3" t="s">
        <v>182</v>
      </c>
      <c r="E85" s="3" t="s">
        <v>129</v>
      </c>
      <c r="F85" s="3" t="s">
        <v>183</v>
      </c>
      <c r="G85" s="3" t="s">
        <v>183</v>
      </c>
      <c r="H85" s="3" t="s">
        <v>348</v>
      </c>
      <c r="I85" s="3" t="s">
        <v>68</v>
      </c>
    </row>
    <row r="86" spans="1:9" x14ac:dyDescent="0.2">
      <c r="A86">
        <v>18058</v>
      </c>
      <c r="B86" t="s">
        <v>350</v>
      </c>
      <c r="C86" t="s">
        <v>351</v>
      </c>
      <c r="D86" s="3" t="s">
        <v>182</v>
      </c>
      <c r="E86" s="3" t="s">
        <v>129</v>
      </c>
      <c r="F86" s="3" t="s">
        <v>183</v>
      </c>
      <c r="G86" s="3" t="s">
        <v>183</v>
      </c>
      <c r="H86" s="3" t="s">
        <v>350</v>
      </c>
      <c r="I86" s="3" t="s">
        <v>68</v>
      </c>
    </row>
    <row r="87" spans="1:9" x14ac:dyDescent="0.2">
      <c r="A87">
        <v>18059</v>
      </c>
      <c r="B87" t="s">
        <v>352</v>
      </c>
      <c r="C87" t="s">
        <v>353</v>
      </c>
      <c r="D87" s="3" t="s">
        <v>182</v>
      </c>
      <c r="E87" s="3" t="s">
        <v>129</v>
      </c>
      <c r="F87" s="3" t="s">
        <v>183</v>
      </c>
      <c r="G87" s="3" t="s">
        <v>183</v>
      </c>
      <c r="H87" s="3" t="s">
        <v>352</v>
      </c>
      <c r="I87" s="3" t="s">
        <v>68</v>
      </c>
    </row>
    <row r="88" spans="1:9" x14ac:dyDescent="0.2">
      <c r="A88">
        <v>18060</v>
      </c>
      <c r="B88" t="s">
        <v>354</v>
      </c>
      <c r="C88" t="s">
        <v>355</v>
      </c>
      <c r="D88" s="3" t="s">
        <v>182</v>
      </c>
      <c r="E88" s="3" t="s">
        <v>129</v>
      </c>
      <c r="F88" s="3" t="s">
        <v>183</v>
      </c>
      <c r="G88" s="3" t="s">
        <v>183</v>
      </c>
      <c r="H88" s="3" t="s">
        <v>354</v>
      </c>
      <c r="I88" s="3" t="s">
        <v>68</v>
      </c>
    </row>
    <row r="89" spans="1:9" x14ac:dyDescent="0.2">
      <c r="A89">
        <v>18061</v>
      </c>
      <c r="B89" t="s">
        <v>356</v>
      </c>
      <c r="C89" t="s">
        <v>357</v>
      </c>
      <c r="D89" s="3" t="s">
        <v>182</v>
      </c>
      <c r="E89" s="3" t="s">
        <v>129</v>
      </c>
      <c r="F89" s="3" t="s">
        <v>183</v>
      </c>
      <c r="G89" s="3" t="s">
        <v>183</v>
      </c>
      <c r="H89" s="3" t="s">
        <v>356</v>
      </c>
      <c r="I89" s="3" t="s">
        <v>68</v>
      </c>
    </row>
    <row r="90" spans="1:9" x14ac:dyDescent="0.2">
      <c r="A90">
        <v>18062</v>
      </c>
      <c r="B90" t="s">
        <v>358</v>
      </c>
      <c r="C90" t="s">
        <v>359</v>
      </c>
      <c r="D90" s="3" t="s">
        <v>182</v>
      </c>
      <c r="E90" s="3" t="s">
        <v>129</v>
      </c>
      <c r="F90" s="3" t="s">
        <v>183</v>
      </c>
      <c r="G90" s="3" t="s">
        <v>183</v>
      </c>
      <c r="H90" s="3" t="s">
        <v>358</v>
      </c>
      <c r="I90" s="3" t="s">
        <v>68</v>
      </c>
    </row>
    <row r="91" spans="1:9" x14ac:dyDescent="0.2">
      <c r="A91">
        <v>18063</v>
      </c>
      <c r="B91" t="s">
        <v>360</v>
      </c>
      <c r="C91" t="s">
        <v>361</v>
      </c>
      <c r="D91" s="3" t="s">
        <v>182</v>
      </c>
      <c r="E91" s="3" t="s">
        <v>129</v>
      </c>
      <c r="F91" s="3" t="s">
        <v>183</v>
      </c>
      <c r="G91" s="3" t="s">
        <v>183</v>
      </c>
      <c r="H91" s="3" t="s">
        <v>360</v>
      </c>
      <c r="I91" s="3" t="s">
        <v>68</v>
      </c>
    </row>
    <row r="92" spans="1:9" x14ac:dyDescent="0.2">
      <c r="A92">
        <v>18064</v>
      </c>
      <c r="B92" t="s">
        <v>362</v>
      </c>
      <c r="C92" t="s">
        <v>363</v>
      </c>
      <c r="D92" s="3" t="s">
        <v>182</v>
      </c>
      <c r="E92" s="3" t="s">
        <v>129</v>
      </c>
      <c r="F92" s="3" t="s">
        <v>183</v>
      </c>
      <c r="G92" s="3" t="s">
        <v>183</v>
      </c>
      <c r="H92" s="3" t="s">
        <v>362</v>
      </c>
      <c r="I92" s="3" t="s">
        <v>68</v>
      </c>
    </row>
    <row r="93" spans="1:9" x14ac:dyDescent="0.2">
      <c r="A93">
        <v>18065</v>
      </c>
      <c r="B93" t="s">
        <v>364</v>
      </c>
      <c r="C93" t="s">
        <v>365</v>
      </c>
      <c r="D93" s="3" t="s">
        <v>182</v>
      </c>
      <c r="E93" s="3" t="s">
        <v>129</v>
      </c>
      <c r="F93" s="3" t="s">
        <v>183</v>
      </c>
      <c r="G93" s="3" t="s">
        <v>183</v>
      </c>
      <c r="H93" s="3" t="s">
        <v>364</v>
      </c>
      <c r="I93" s="3" t="s">
        <v>68</v>
      </c>
    </row>
    <row r="94" spans="1:9" x14ac:dyDescent="0.2">
      <c r="A94">
        <v>18066</v>
      </c>
      <c r="B94" t="s">
        <v>366</v>
      </c>
      <c r="C94" t="s">
        <v>367</v>
      </c>
      <c r="D94" s="3" t="s">
        <v>182</v>
      </c>
      <c r="E94" s="3" t="s">
        <v>129</v>
      </c>
      <c r="F94" s="3" t="s">
        <v>183</v>
      </c>
      <c r="G94" s="3" t="s">
        <v>183</v>
      </c>
      <c r="H94" s="3" t="s">
        <v>366</v>
      </c>
      <c r="I94" s="3" t="s">
        <v>68</v>
      </c>
    </row>
    <row r="95" spans="1:9" x14ac:dyDescent="0.2">
      <c r="A95">
        <v>18067</v>
      </c>
      <c r="B95" t="s">
        <v>368</v>
      </c>
      <c r="C95" t="s">
        <v>369</v>
      </c>
      <c r="D95" s="3" t="s">
        <v>182</v>
      </c>
      <c r="E95" s="3" t="s">
        <v>129</v>
      </c>
      <c r="F95" s="3" t="s">
        <v>183</v>
      </c>
      <c r="G95" s="3" t="s">
        <v>183</v>
      </c>
      <c r="H95" s="3" t="s">
        <v>368</v>
      </c>
      <c r="I95" s="3" t="s">
        <v>68</v>
      </c>
    </row>
    <row r="96" spans="1:9" x14ac:dyDescent="0.2">
      <c r="A96">
        <v>18068</v>
      </c>
      <c r="B96" t="s">
        <v>370</v>
      </c>
      <c r="C96" t="s">
        <v>371</v>
      </c>
      <c r="D96" s="3" t="s">
        <v>372</v>
      </c>
      <c r="E96" s="3" t="s">
        <v>129</v>
      </c>
      <c r="F96" s="3" t="s">
        <v>373</v>
      </c>
      <c r="G96" s="3" t="s">
        <v>183</v>
      </c>
      <c r="H96" s="3" t="s">
        <v>370</v>
      </c>
      <c r="I96" s="3" t="s">
        <v>68</v>
      </c>
    </row>
    <row r="97" spans="1:9" x14ac:dyDescent="0.2">
      <c r="A97">
        <v>18069</v>
      </c>
      <c r="B97" t="s">
        <v>374</v>
      </c>
      <c r="C97" t="s">
        <v>375</v>
      </c>
      <c r="D97" s="3" t="s">
        <v>182</v>
      </c>
      <c r="E97" s="3" t="s">
        <v>129</v>
      </c>
      <c r="F97" s="3" t="s">
        <v>373</v>
      </c>
      <c r="G97" s="3" t="s">
        <v>183</v>
      </c>
      <c r="H97" s="3" t="s">
        <v>374</v>
      </c>
      <c r="I97" s="3" t="s">
        <v>68</v>
      </c>
    </row>
    <row r="98" spans="1:9" x14ac:dyDescent="0.2">
      <c r="A98">
        <v>18070</v>
      </c>
      <c r="B98" t="s">
        <v>376</v>
      </c>
      <c r="C98" t="s">
        <v>377</v>
      </c>
      <c r="D98" s="3" t="s">
        <v>378</v>
      </c>
      <c r="E98" s="3" t="s">
        <v>129</v>
      </c>
      <c r="F98" s="3" t="s">
        <v>373</v>
      </c>
      <c r="G98" s="3" t="s">
        <v>183</v>
      </c>
      <c r="H98" s="3" t="s">
        <v>376</v>
      </c>
      <c r="I98" s="3" t="s">
        <v>68</v>
      </c>
    </row>
    <row r="99" spans="1:9" x14ac:dyDescent="0.2">
      <c r="A99">
        <v>18071</v>
      </c>
      <c r="B99" t="s">
        <v>379</v>
      </c>
      <c r="C99" t="s">
        <v>380</v>
      </c>
      <c r="D99" s="3" t="s">
        <v>381</v>
      </c>
      <c r="E99" s="3" t="s">
        <v>129</v>
      </c>
      <c r="F99" s="3" t="s">
        <v>373</v>
      </c>
      <c r="G99" s="3" t="s">
        <v>183</v>
      </c>
      <c r="H99" s="3" t="s">
        <v>379</v>
      </c>
      <c r="I99" s="3" t="s">
        <v>68</v>
      </c>
    </row>
    <row r="100" spans="1:9" x14ac:dyDescent="0.2">
      <c r="A100">
        <v>18072</v>
      </c>
      <c r="B100" t="s">
        <v>382</v>
      </c>
      <c r="C100" t="s">
        <v>383</v>
      </c>
      <c r="D100" s="3" t="s">
        <v>381</v>
      </c>
      <c r="E100" s="3" t="s">
        <v>129</v>
      </c>
      <c r="F100" s="3" t="s">
        <v>373</v>
      </c>
      <c r="G100" s="3" t="s">
        <v>183</v>
      </c>
      <c r="H100" s="3" t="s">
        <v>382</v>
      </c>
      <c r="I100" s="3" t="s">
        <v>68</v>
      </c>
    </row>
    <row r="101" spans="1:9" x14ac:dyDescent="0.2">
      <c r="A101">
        <v>18073</v>
      </c>
      <c r="B101" t="s">
        <v>384</v>
      </c>
      <c r="C101" t="s">
        <v>385</v>
      </c>
      <c r="D101" s="3" t="s">
        <v>381</v>
      </c>
      <c r="E101" s="3" t="s">
        <v>129</v>
      </c>
      <c r="F101" s="3" t="s">
        <v>373</v>
      </c>
      <c r="G101" s="3" t="s">
        <v>183</v>
      </c>
      <c r="H101" s="3" t="s">
        <v>384</v>
      </c>
      <c r="I101" s="3" t="s">
        <v>68</v>
      </c>
    </row>
    <row r="102" spans="1:9" x14ac:dyDescent="0.2">
      <c r="A102">
        <v>18074</v>
      </c>
      <c r="B102" t="s">
        <v>386</v>
      </c>
      <c r="C102" t="s">
        <v>387</v>
      </c>
      <c r="D102" s="3" t="s">
        <v>378</v>
      </c>
      <c r="E102" s="3" t="s">
        <v>129</v>
      </c>
      <c r="F102" s="3" t="s">
        <v>373</v>
      </c>
      <c r="G102" s="3" t="s">
        <v>183</v>
      </c>
      <c r="H102" s="3" t="s">
        <v>386</v>
      </c>
      <c r="I102" s="3" t="s">
        <v>68</v>
      </c>
    </row>
    <row r="103" spans="1:9" x14ac:dyDescent="0.2">
      <c r="A103">
        <v>18075</v>
      </c>
      <c r="B103" t="s">
        <v>388</v>
      </c>
      <c r="C103" t="s">
        <v>389</v>
      </c>
      <c r="D103" s="3" t="s">
        <v>378</v>
      </c>
      <c r="E103" s="3" t="s">
        <v>129</v>
      </c>
      <c r="F103" s="3" t="s">
        <v>373</v>
      </c>
      <c r="G103" s="3" t="s">
        <v>183</v>
      </c>
      <c r="H103" s="3" t="s">
        <v>388</v>
      </c>
      <c r="I103" s="3" t="s">
        <v>68</v>
      </c>
    </row>
    <row r="104" spans="1:9" x14ac:dyDescent="0.2">
      <c r="A104">
        <v>18076</v>
      </c>
      <c r="B104" t="s">
        <v>390</v>
      </c>
      <c r="C104" t="s">
        <v>391</v>
      </c>
      <c r="D104" s="3" t="s">
        <v>392</v>
      </c>
      <c r="E104" s="3" t="s">
        <v>129</v>
      </c>
      <c r="F104" s="3" t="s">
        <v>373</v>
      </c>
      <c r="G104" s="3" t="s">
        <v>183</v>
      </c>
      <c r="H104" s="3" t="s">
        <v>390</v>
      </c>
      <c r="I104" s="3" t="s">
        <v>68</v>
      </c>
    </row>
    <row r="105" spans="1:9" x14ac:dyDescent="0.2">
      <c r="A105">
        <v>18077</v>
      </c>
      <c r="B105" t="s">
        <v>393</v>
      </c>
      <c r="C105" t="s">
        <v>394</v>
      </c>
      <c r="D105" s="3" t="s">
        <v>372</v>
      </c>
      <c r="E105" s="3" t="s">
        <v>129</v>
      </c>
      <c r="F105" s="3" t="s">
        <v>373</v>
      </c>
      <c r="G105" s="3" t="s">
        <v>183</v>
      </c>
      <c r="H105" s="3" t="s">
        <v>393</v>
      </c>
      <c r="I105" s="3" t="s">
        <v>68</v>
      </c>
    </row>
    <row r="106" spans="1:9" x14ac:dyDescent="0.2">
      <c r="A106">
        <v>18078</v>
      </c>
      <c r="B106" t="s">
        <v>395</v>
      </c>
      <c r="C106" t="s">
        <v>396</v>
      </c>
      <c r="D106" s="3" t="s">
        <v>372</v>
      </c>
      <c r="E106" s="3" t="s">
        <v>129</v>
      </c>
      <c r="F106" s="3" t="s">
        <v>373</v>
      </c>
      <c r="G106" s="3" t="s">
        <v>183</v>
      </c>
      <c r="H106" s="3" t="s">
        <v>395</v>
      </c>
      <c r="I106" s="3" t="s">
        <v>68</v>
      </c>
    </row>
    <row r="107" spans="1:9" x14ac:dyDescent="0.2">
      <c r="A107">
        <v>18079</v>
      </c>
      <c r="B107" t="s">
        <v>397</v>
      </c>
      <c r="C107" t="s">
        <v>398</v>
      </c>
      <c r="D107" s="3" t="s">
        <v>182</v>
      </c>
      <c r="E107" s="3" t="s">
        <v>129</v>
      </c>
      <c r="F107" s="3" t="s">
        <v>373</v>
      </c>
      <c r="G107" s="3" t="s">
        <v>183</v>
      </c>
      <c r="H107" s="3" t="s">
        <v>397</v>
      </c>
      <c r="I107" s="3" t="s">
        <v>68</v>
      </c>
    </row>
    <row r="108" spans="1:9" x14ac:dyDescent="0.2">
      <c r="A108">
        <v>18080</v>
      </c>
      <c r="B108" t="s">
        <v>399</v>
      </c>
      <c r="C108" t="s">
        <v>400</v>
      </c>
      <c r="D108" s="3" t="s">
        <v>182</v>
      </c>
      <c r="E108" s="3" t="s">
        <v>129</v>
      </c>
      <c r="F108" s="3" t="s">
        <v>373</v>
      </c>
      <c r="G108" s="3" t="s">
        <v>183</v>
      </c>
      <c r="H108" s="3" t="s">
        <v>399</v>
      </c>
      <c r="I108" s="3" t="s">
        <v>68</v>
      </c>
    </row>
    <row r="109" spans="1:9" x14ac:dyDescent="0.2">
      <c r="A109">
        <v>18081</v>
      </c>
      <c r="B109" t="s">
        <v>401</v>
      </c>
      <c r="C109" t="s">
        <v>402</v>
      </c>
      <c r="D109" s="3" t="s">
        <v>403</v>
      </c>
      <c r="E109" s="3" t="s">
        <v>129</v>
      </c>
      <c r="F109" s="3" t="s">
        <v>373</v>
      </c>
      <c r="G109" s="3" t="s">
        <v>183</v>
      </c>
      <c r="H109" s="3" t="s">
        <v>401</v>
      </c>
      <c r="I109" s="3" t="s">
        <v>68</v>
      </c>
    </row>
    <row r="110" spans="1:9" x14ac:dyDescent="0.2">
      <c r="A110">
        <v>18082</v>
      </c>
      <c r="B110" t="s">
        <v>404</v>
      </c>
      <c r="C110" t="s">
        <v>405</v>
      </c>
      <c r="D110" s="3" t="s">
        <v>403</v>
      </c>
      <c r="E110" s="3" t="s">
        <v>129</v>
      </c>
      <c r="F110" s="3" t="s">
        <v>373</v>
      </c>
      <c r="G110" s="3" t="s">
        <v>183</v>
      </c>
      <c r="H110" s="3" t="s">
        <v>404</v>
      </c>
      <c r="I110" s="3" t="s">
        <v>68</v>
      </c>
    </row>
    <row r="111" spans="1:9" x14ac:dyDescent="0.2">
      <c r="A111">
        <v>18083</v>
      </c>
      <c r="B111" t="s">
        <v>406</v>
      </c>
      <c r="C111" t="s">
        <v>407</v>
      </c>
      <c r="D111" s="3" t="s">
        <v>403</v>
      </c>
      <c r="E111" s="3" t="s">
        <v>129</v>
      </c>
      <c r="F111" s="3" t="s">
        <v>373</v>
      </c>
      <c r="G111" s="3" t="s">
        <v>183</v>
      </c>
      <c r="H111" s="3" t="s">
        <v>406</v>
      </c>
      <c r="I111" s="3" t="s">
        <v>68</v>
      </c>
    </row>
    <row r="112" spans="1:9" x14ac:dyDescent="0.2">
      <c r="A112">
        <v>18084</v>
      </c>
      <c r="B112" t="s">
        <v>408</v>
      </c>
      <c r="C112" t="s">
        <v>409</v>
      </c>
      <c r="D112" s="3" t="s">
        <v>410</v>
      </c>
      <c r="E112" s="3" t="s">
        <v>129</v>
      </c>
      <c r="F112" s="3" t="s">
        <v>373</v>
      </c>
      <c r="G112" s="3" t="s">
        <v>183</v>
      </c>
      <c r="H112" s="3" t="s">
        <v>408</v>
      </c>
      <c r="I112" s="3" t="s">
        <v>68</v>
      </c>
    </row>
    <row r="113" spans="1:9" x14ac:dyDescent="0.2">
      <c r="A113">
        <v>18085</v>
      </c>
      <c r="B113" t="s">
        <v>411</v>
      </c>
      <c r="C113" t="s">
        <v>412</v>
      </c>
      <c r="D113" s="3" t="s">
        <v>410</v>
      </c>
      <c r="E113" s="3" t="s">
        <v>129</v>
      </c>
      <c r="F113" s="3" t="s">
        <v>373</v>
      </c>
      <c r="G113" s="3" t="s">
        <v>183</v>
      </c>
      <c r="H113" s="3" t="s">
        <v>411</v>
      </c>
      <c r="I113" s="3" t="s">
        <v>68</v>
      </c>
    </row>
    <row r="114" spans="1:9" x14ac:dyDescent="0.2">
      <c r="A114">
        <v>18086</v>
      </c>
      <c r="B114" t="s">
        <v>413</v>
      </c>
      <c r="C114" t="s">
        <v>414</v>
      </c>
      <c r="D114" s="3" t="s">
        <v>415</v>
      </c>
      <c r="E114" s="3" t="s">
        <v>129</v>
      </c>
      <c r="F114" s="3" t="s">
        <v>373</v>
      </c>
      <c r="G114" s="3" t="s">
        <v>183</v>
      </c>
      <c r="H114" s="3" t="s">
        <v>413</v>
      </c>
      <c r="I114" s="3" t="s">
        <v>68</v>
      </c>
    </row>
    <row r="115" spans="1:9" x14ac:dyDescent="0.2">
      <c r="A115">
        <v>18087</v>
      </c>
      <c r="B115" t="s">
        <v>416</v>
      </c>
      <c r="C115" t="s">
        <v>417</v>
      </c>
      <c r="D115" s="3" t="s">
        <v>415</v>
      </c>
      <c r="E115" s="3" t="s">
        <v>129</v>
      </c>
      <c r="F115" s="3" t="s">
        <v>373</v>
      </c>
      <c r="G115" s="3" t="s">
        <v>183</v>
      </c>
      <c r="H115" s="3" t="s">
        <v>416</v>
      </c>
      <c r="I115" s="3" t="s">
        <v>68</v>
      </c>
    </row>
    <row r="116" spans="1:9" x14ac:dyDescent="0.2">
      <c r="A116">
        <v>18088</v>
      </c>
      <c r="B116" t="s">
        <v>418</v>
      </c>
      <c r="C116" t="s">
        <v>419</v>
      </c>
      <c r="D116" s="3" t="s">
        <v>415</v>
      </c>
      <c r="E116" s="3" t="s">
        <v>129</v>
      </c>
      <c r="F116" s="3" t="s">
        <v>373</v>
      </c>
      <c r="G116" s="3" t="s">
        <v>183</v>
      </c>
      <c r="H116" s="3" t="s">
        <v>418</v>
      </c>
      <c r="I116" s="3" t="s">
        <v>68</v>
      </c>
    </row>
    <row r="117" spans="1:9" x14ac:dyDescent="0.2">
      <c r="A117">
        <v>18089</v>
      </c>
      <c r="B117" t="s">
        <v>420</v>
      </c>
      <c r="C117" t="s">
        <v>421</v>
      </c>
      <c r="D117" s="3" t="s">
        <v>422</v>
      </c>
      <c r="E117" s="3" t="s">
        <v>129</v>
      </c>
      <c r="F117" s="3" t="s">
        <v>373</v>
      </c>
      <c r="G117" s="3" t="s">
        <v>183</v>
      </c>
      <c r="H117" s="3" t="s">
        <v>420</v>
      </c>
      <c r="I117" s="3" t="s">
        <v>68</v>
      </c>
    </row>
    <row r="118" spans="1:9" x14ac:dyDescent="0.2">
      <c r="A118">
        <v>18090</v>
      </c>
      <c r="B118" t="s">
        <v>423</v>
      </c>
      <c r="C118" t="s">
        <v>424</v>
      </c>
      <c r="D118" s="3" t="s">
        <v>422</v>
      </c>
      <c r="E118" s="3" t="s">
        <v>129</v>
      </c>
      <c r="F118" s="3" t="s">
        <v>373</v>
      </c>
      <c r="G118" s="3" t="s">
        <v>183</v>
      </c>
      <c r="H118" s="3" t="s">
        <v>423</v>
      </c>
      <c r="I118" s="3" t="s">
        <v>68</v>
      </c>
    </row>
    <row r="119" spans="1:9" x14ac:dyDescent="0.2">
      <c r="A119">
        <v>18091</v>
      </c>
      <c r="B119" t="s">
        <v>425</v>
      </c>
      <c r="C119" t="s">
        <v>426</v>
      </c>
      <c r="D119" s="3" t="s">
        <v>427</v>
      </c>
      <c r="E119" s="3" t="s">
        <v>129</v>
      </c>
      <c r="F119" s="3" t="s">
        <v>373</v>
      </c>
      <c r="G119" s="3" t="s">
        <v>183</v>
      </c>
      <c r="H119" s="3" t="s">
        <v>425</v>
      </c>
      <c r="I119" s="3" t="s">
        <v>68</v>
      </c>
    </row>
    <row r="120" spans="1:9" x14ac:dyDescent="0.2">
      <c r="A120">
        <v>18092</v>
      </c>
      <c r="B120" t="s">
        <v>428</v>
      </c>
      <c r="C120" t="s">
        <v>429</v>
      </c>
      <c r="D120" s="3" t="s">
        <v>427</v>
      </c>
      <c r="E120" s="3" t="s">
        <v>129</v>
      </c>
      <c r="F120" s="3" t="s">
        <v>373</v>
      </c>
      <c r="G120" s="3" t="s">
        <v>183</v>
      </c>
      <c r="H120" s="3" t="s">
        <v>428</v>
      </c>
      <c r="I120" s="3" t="s">
        <v>68</v>
      </c>
    </row>
    <row r="121" spans="1:9" x14ac:dyDescent="0.2">
      <c r="A121">
        <v>18093</v>
      </c>
      <c r="B121" t="s">
        <v>430</v>
      </c>
      <c r="C121" t="s">
        <v>431</v>
      </c>
      <c r="D121" s="3" t="s">
        <v>427</v>
      </c>
      <c r="E121" s="3" t="s">
        <v>129</v>
      </c>
      <c r="F121" s="3" t="s">
        <v>373</v>
      </c>
      <c r="G121" s="3" t="s">
        <v>183</v>
      </c>
      <c r="H121" s="3" t="s">
        <v>430</v>
      </c>
      <c r="I121" s="3" t="s">
        <v>68</v>
      </c>
    </row>
    <row r="122" spans="1:9" x14ac:dyDescent="0.2">
      <c r="A122">
        <v>18094</v>
      </c>
      <c r="B122" t="s">
        <v>432</v>
      </c>
      <c r="C122" t="s">
        <v>433</v>
      </c>
      <c r="D122" s="3" t="s">
        <v>182</v>
      </c>
      <c r="E122" s="3" t="s">
        <v>129</v>
      </c>
      <c r="F122" s="3" t="s">
        <v>183</v>
      </c>
      <c r="G122" s="3" t="s">
        <v>183</v>
      </c>
      <c r="H122" s="3" t="s">
        <v>432</v>
      </c>
      <c r="I122" s="3" t="s">
        <v>68</v>
      </c>
    </row>
    <row r="123" spans="1:9" x14ac:dyDescent="0.2">
      <c r="A123">
        <v>18095</v>
      </c>
      <c r="B123" t="s">
        <v>434</v>
      </c>
      <c r="C123" t="s">
        <v>435</v>
      </c>
      <c r="D123" s="3" t="s">
        <v>182</v>
      </c>
      <c r="E123" s="3" t="s">
        <v>129</v>
      </c>
      <c r="F123" s="3" t="s">
        <v>183</v>
      </c>
      <c r="G123" s="3" t="s">
        <v>183</v>
      </c>
      <c r="H123" s="3" t="s">
        <v>434</v>
      </c>
      <c r="I123" s="3" t="s">
        <v>68</v>
      </c>
    </row>
    <row r="124" spans="1:9" x14ac:dyDescent="0.2">
      <c r="A124">
        <v>18096</v>
      </c>
      <c r="B124" t="s">
        <v>436</v>
      </c>
      <c r="C124" t="s">
        <v>437</v>
      </c>
      <c r="D124" s="3" t="s">
        <v>182</v>
      </c>
      <c r="E124" s="3" t="s">
        <v>129</v>
      </c>
      <c r="F124" s="3" t="s">
        <v>183</v>
      </c>
      <c r="G124" s="3" t="s">
        <v>183</v>
      </c>
      <c r="H124" s="3" t="s">
        <v>436</v>
      </c>
      <c r="I124" s="3" t="s">
        <v>68</v>
      </c>
    </row>
    <row r="125" spans="1:9" x14ac:dyDescent="0.2">
      <c r="A125">
        <v>18097</v>
      </c>
      <c r="B125" t="s">
        <v>438</v>
      </c>
      <c r="C125" t="s">
        <v>439</v>
      </c>
      <c r="D125" s="3" t="s">
        <v>182</v>
      </c>
      <c r="E125" s="3" t="s">
        <v>129</v>
      </c>
      <c r="F125" s="3" t="s">
        <v>183</v>
      </c>
      <c r="G125" s="3" t="s">
        <v>183</v>
      </c>
      <c r="H125" s="3" t="s">
        <v>438</v>
      </c>
      <c r="I125" s="3" t="s">
        <v>68</v>
      </c>
    </row>
    <row r="126" spans="1:9" x14ac:dyDescent="0.2">
      <c r="A126">
        <v>18098</v>
      </c>
      <c r="B126" t="s">
        <v>440</v>
      </c>
      <c r="C126" t="s">
        <v>441</v>
      </c>
      <c r="D126" s="3" t="s">
        <v>182</v>
      </c>
      <c r="E126" s="3" t="s">
        <v>129</v>
      </c>
      <c r="F126" s="3" t="s">
        <v>183</v>
      </c>
      <c r="G126" s="3" t="s">
        <v>183</v>
      </c>
      <c r="H126" s="3" t="s">
        <v>440</v>
      </c>
      <c r="I126" s="3" t="s">
        <v>68</v>
      </c>
    </row>
    <row r="127" spans="1:9" x14ac:dyDescent="0.2">
      <c r="A127">
        <v>18099</v>
      </c>
      <c r="B127" t="s">
        <v>442</v>
      </c>
      <c r="C127" t="s">
        <v>443</v>
      </c>
      <c r="D127" s="3" t="s">
        <v>182</v>
      </c>
      <c r="E127" s="3" t="s">
        <v>129</v>
      </c>
      <c r="F127" s="3" t="s">
        <v>183</v>
      </c>
      <c r="G127" s="3" t="s">
        <v>183</v>
      </c>
      <c r="H127" s="3" t="s">
        <v>442</v>
      </c>
      <c r="I127" s="3" t="s">
        <v>68</v>
      </c>
    </row>
    <row r="128" spans="1:9" x14ac:dyDescent="0.2">
      <c r="A128">
        <v>18100</v>
      </c>
      <c r="B128" t="s">
        <v>444</v>
      </c>
      <c r="C128" t="s">
        <v>445</v>
      </c>
      <c r="D128" s="3" t="s">
        <v>182</v>
      </c>
      <c r="E128" s="3" t="s">
        <v>129</v>
      </c>
      <c r="F128" s="3" t="s">
        <v>183</v>
      </c>
      <c r="G128" s="3" t="s">
        <v>183</v>
      </c>
      <c r="H128" s="3" t="s">
        <v>444</v>
      </c>
      <c r="I128" s="3" t="s">
        <v>68</v>
      </c>
    </row>
    <row r="129" spans="1:9" x14ac:dyDescent="0.2">
      <c r="A129">
        <v>18101</v>
      </c>
      <c r="B129" t="s">
        <v>446</v>
      </c>
      <c r="C129" t="s">
        <v>447</v>
      </c>
      <c r="D129" s="3" t="s">
        <v>182</v>
      </c>
      <c r="E129" s="3" t="s">
        <v>129</v>
      </c>
      <c r="F129" s="3" t="s">
        <v>183</v>
      </c>
      <c r="G129" s="3" t="s">
        <v>183</v>
      </c>
      <c r="H129" s="3" t="s">
        <v>446</v>
      </c>
      <c r="I129" s="3" t="s">
        <v>68</v>
      </c>
    </row>
    <row r="130" spans="1:9" x14ac:dyDescent="0.2">
      <c r="A130">
        <v>18102</v>
      </c>
      <c r="B130" t="s">
        <v>448</v>
      </c>
      <c r="C130" t="s">
        <v>449</v>
      </c>
      <c r="D130" s="3" t="s">
        <v>182</v>
      </c>
      <c r="E130" s="3" t="s">
        <v>129</v>
      </c>
      <c r="F130" s="3" t="s">
        <v>183</v>
      </c>
      <c r="G130" s="3" t="s">
        <v>183</v>
      </c>
      <c r="H130" s="3" t="s">
        <v>448</v>
      </c>
      <c r="I130" s="3" t="s">
        <v>68</v>
      </c>
    </row>
    <row r="131" spans="1:9" x14ac:dyDescent="0.2">
      <c r="A131">
        <v>18103</v>
      </c>
      <c r="B131" t="s">
        <v>450</v>
      </c>
      <c r="C131" t="s">
        <v>451</v>
      </c>
      <c r="D131" s="3" t="s">
        <v>182</v>
      </c>
      <c r="E131" s="3" t="s">
        <v>129</v>
      </c>
      <c r="F131" s="3" t="s">
        <v>183</v>
      </c>
      <c r="G131" s="3" t="s">
        <v>183</v>
      </c>
      <c r="H131" s="3" t="s">
        <v>450</v>
      </c>
      <c r="I131" s="3" t="s">
        <v>68</v>
      </c>
    </row>
    <row r="132" spans="1:9" x14ac:dyDescent="0.2">
      <c r="A132">
        <v>18104</v>
      </c>
      <c r="B132" t="s">
        <v>452</v>
      </c>
      <c r="C132" t="s">
        <v>453</v>
      </c>
      <c r="D132" s="3" t="s">
        <v>182</v>
      </c>
      <c r="E132" s="3" t="s">
        <v>129</v>
      </c>
      <c r="F132" s="3" t="s">
        <v>183</v>
      </c>
      <c r="G132" s="3" t="s">
        <v>183</v>
      </c>
      <c r="H132" s="3" t="s">
        <v>452</v>
      </c>
      <c r="I132" s="3" t="s">
        <v>68</v>
      </c>
    </row>
    <row r="133" spans="1:9" x14ac:dyDescent="0.2">
      <c r="A133">
        <v>18105</v>
      </c>
      <c r="B133" t="s">
        <v>454</v>
      </c>
      <c r="C133" t="s">
        <v>455</v>
      </c>
      <c r="D133" s="3" t="s">
        <v>182</v>
      </c>
      <c r="E133" s="3" t="s">
        <v>129</v>
      </c>
      <c r="F133" s="3" t="s">
        <v>183</v>
      </c>
      <c r="G133" s="3" t="s">
        <v>183</v>
      </c>
      <c r="H133" s="3" t="s">
        <v>454</v>
      </c>
      <c r="I133" s="3" t="s">
        <v>68</v>
      </c>
    </row>
    <row r="134" spans="1:9" x14ac:dyDescent="0.2">
      <c r="A134">
        <v>18106</v>
      </c>
      <c r="B134" t="s">
        <v>456</v>
      </c>
      <c r="C134" t="s">
        <v>457</v>
      </c>
      <c r="D134" s="3" t="s">
        <v>182</v>
      </c>
      <c r="E134" s="3" t="s">
        <v>129</v>
      </c>
      <c r="F134" s="3" t="s">
        <v>183</v>
      </c>
      <c r="G134" s="3" t="s">
        <v>183</v>
      </c>
      <c r="H134" s="3" t="s">
        <v>456</v>
      </c>
      <c r="I134" s="3" t="s">
        <v>68</v>
      </c>
    </row>
    <row r="135" spans="1:9" x14ac:dyDescent="0.2">
      <c r="A135">
        <v>18107</v>
      </c>
      <c r="B135" t="s">
        <v>458</v>
      </c>
      <c r="C135" t="s">
        <v>459</v>
      </c>
      <c r="D135" s="3" t="s">
        <v>182</v>
      </c>
      <c r="E135" s="3" t="s">
        <v>129</v>
      </c>
      <c r="F135" s="3" t="s">
        <v>183</v>
      </c>
      <c r="G135" s="3" t="s">
        <v>183</v>
      </c>
      <c r="H135" s="3" t="s">
        <v>458</v>
      </c>
      <c r="I135" s="3" t="s">
        <v>68</v>
      </c>
    </row>
    <row r="136" spans="1:9" x14ac:dyDescent="0.2">
      <c r="A136">
        <v>18108</v>
      </c>
      <c r="B136" t="s">
        <v>460</v>
      </c>
      <c r="C136" t="s">
        <v>461</v>
      </c>
      <c r="D136" s="3" t="s">
        <v>182</v>
      </c>
      <c r="E136" s="3" t="s">
        <v>129</v>
      </c>
      <c r="F136" s="3" t="s">
        <v>183</v>
      </c>
      <c r="G136" s="3" t="s">
        <v>183</v>
      </c>
      <c r="H136" s="3" t="s">
        <v>460</v>
      </c>
      <c r="I136" s="3" t="s">
        <v>68</v>
      </c>
    </row>
    <row r="137" spans="1:9" x14ac:dyDescent="0.2">
      <c r="A137">
        <v>18109</v>
      </c>
      <c r="B137" t="s">
        <v>462</v>
      </c>
      <c r="C137" t="s">
        <v>463</v>
      </c>
      <c r="D137" s="3" t="s">
        <v>182</v>
      </c>
      <c r="E137" s="3" t="s">
        <v>129</v>
      </c>
      <c r="F137" s="3" t="s">
        <v>183</v>
      </c>
      <c r="G137" s="3" t="s">
        <v>183</v>
      </c>
      <c r="H137" s="3" t="s">
        <v>462</v>
      </c>
      <c r="I137" s="3" t="s">
        <v>68</v>
      </c>
    </row>
    <row r="138" spans="1:9" x14ac:dyDescent="0.2">
      <c r="A138">
        <v>18110</v>
      </c>
      <c r="B138" t="s">
        <v>464</v>
      </c>
      <c r="C138" t="s">
        <v>465</v>
      </c>
      <c r="D138" s="3" t="s">
        <v>182</v>
      </c>
      <c r="E138" s="3" t="s">
        <v>129</v>
      </c>
      <c r="F138" s="3" t="s">
        <v>183</v>
      </c>
      <c r="G138" s="3" t="s">
        <v>183</v>
      </c>
      <c r="H138" s="3" t="s">
        <v>464</v>
      </c>
      <c r="I138" s="3" t="s">
        <v>68</v>
      </c>
    </row>
    <row r="139" spans="1:9" x14ac:dyDescent="0.2">
      <c r="A139">
        <v>18111</v>
      </c>
      <c r="B139" t="s">
        <v>466</v>
      </c>
      <c r="C139" t="s">
        <v>467</v>
      </c>
      <c r="D139" s="3" t="s">
        <v>182</v>
      </c>
      <c r="E139" s="3" t="s">
        <v>129</v>
      </c>
      <c r="F139" s="3" t="s">
        <v>183</v>
      </c>
      <c r="G139" s="3" t="s">
        <v>183</v>
      </c>
      <c r="H139" s="3" t="s">
        <v>466</v>
      </c>
      <c r="I139" s="3" t="s">
        <v>68</v>
      </c>
    </row>
    <row r="140" spans="1:9" x14ac:dyDescent="0.2">
      <c r="A140">
        <v>18112</v>
      </c>
      <c r="B140" t="s">
        <v>468</v>
      </c>
      <c r="C140" t="s">
        <v>469</v>
      </c>
      <c r="D140" s="3" t="s">
        <v>182</v>
      </c>
      <c r="E140" s="3" t="s">
        <v>129</v>
      </c>
      <c r="F140" s="3" t="s">
        <v>183</v>
      </c>
      <c r="G140" s="3" t="s">
        <v>183</v>
      </c>
      <c r="H140" s="3" t="s">
        <v>468</v>
      </c>
      <c r="I140" s="3" t="s">
        <v>68</v>
      </c>
    </row>
    <row r="141" spans="1:9" x14ac:dyDescent="0.2">
      <c r="A141">
        <v>18113</v>
      </c>
      <c r="B141" t="s">
        <v>470</v>
      </c>
      <c r="C141" t="s">
        <v>471</v>
      </c>
      <c r="D141" s="3" t="s">
        <v>182</v>
      </c>
      <c r="E141" s="3" t="s">
        <v>129</v>
      </c>
      <c r="F141" s="3" t="s">
        <v>183</v>
      </c>
      <c r="G141" s="3" t="s">
        <v>183</v>
      </c>
      <c r="H141" s="3" t="s">
        <v>470</v>
      </c>
      <c r="I141" s="3" t="s">
        <v>68</v>
      </c>
    </row>
    <row r="142" spans="1:9" x14ac:dyDescent="0.2">
      <c r="A142">
        <v>18114</v>
      </c>
      <c r="B142" t="s">
        <v>472</v>
      </c>
      <c r="C142" t="s">
        <v>473</v>
      </c>
      <c r="D142" s="3" t="s">
        <v>182</v>
      </c>
      <c r="E142" s="3" t="s">
        <v>129</v>
      </c>
      <c r="F142" s="3" t="s">
        <v>183</v>
      </c>
      <c r="G142" s="3" t="s">
        <v>183</v>
      </c>
      <c r="H142" s="3" t="s">
        <v>472</v>
      </c>
      <c r="I142" s="3" t="s">
        <v>68</v>
      </c>
    </row>
    <row r="143" spans="1:9" x14ac:dyDescent="0.2">
      <c r="A143">
        <v>18115</v>
      </c>
      <c r="B143" t="s">
        <v>474</v>
      </c>
      <c r="C143" t="s">
        <v>475</v>
      </c>
      <c r="D143" s="3" t="s">
        <v>182</v>
      </c>
      <c r="E143" s="3" t="s">
        <v>129</v>
      </c>
      <c r="F143" s="3" t="s">
        <v>183</v>
      </c>
      <c r="G143" s="3" t="s">
        <v>183</v>
      </c>
      <c r="H143" s="3" t="s">
        <v>474</v>
      </c>
      <c r="I143" s="3" t="s">
        <v>68</v>
      </c>
    </row>
    <row r="144" spans="1:9" x14ac:dyDescent="0.2">
      <c r="A144">
        <v>18116</v>
      </c>
      <c r="B144" t="s">
        <v>476</v>
      </c>
      <c r="C144" t="s">
        <v>477</v>
      </c>
      <c r="D144" s="3" t="s">
        <v>182</v>
      </c>
      <c r="E144" s="3" t="s">
        <v>129</v>
      </c>
      <c r="F144" s="3" t="s">
        <v>183</v>
      </c>
      <c r="G144" s="3" t="s">
        <v>183</v>
      </c>
      <c r="H144" s="3" t="s">
        <v>476</v>
      </c>
      <c r="I144" s="3" t="s">
        <v>68</v>
      </c>
    </row>
    <row r="145" spans="1:9" x14ac:dyDescent="0.2">
      <c r="A145">
        <v>18117</v>
      </c>
      <c r="B145" t="s">
        <v>478</v>
      </c>
      <c r="C145" t="s">
        <v>479</v>
      </c>
      <c r="D145" s="3" t="s">
        <v>182</v>
      </c>
      <c r="E145" s="3" t="s">
        <v>129</v>
      </c>
      <c r="F145" s="3" t="s">
        <v>183</v>
      </c>
      <c r="G145" s="3" t="s">
        <v>183</v>
      </c>
      <c r="H145" s="3" t="s">
        <v>478</v>
      </c>
      <c r="I145" s="3" t="s">
        <v>68</v>
      </c>
    </row>
    <row r="146" spans="1:9" x14ac:dyDescent="0.2">
      <c r="A146">
        <v>18118</v>
      </c>
      <c r="B146" t="s">
        <v>480</v>
      </c>
      <c r="C146" t="s">
        <v>481</v>
      </c>
      <c r="D146" s="3" t="s">
        <v>182</v>
      </c>
      <c r="E146" s="3" t="s">
        <v>129</v>
      </c>
      <c r="F146" s="3" t="s">
        <v>183</v>
      </c>
      <c r="G146" s="3" t="s">
        <v>183</v>
      </c>
      <c r="H146" s="3" t="s">
        <v>480</v>
      </c>
      <c r="I146" s="3" t="s">
        <v>68</v>
      </c>
    </row>
    <row r="147" spans="1:9" x14ac:dyDescent="0.2">
      <c r="A147">
        <v>18119</v>
      </c>
      <c r="B147" t="s">
        <v>482</v>
      </c>
      <c r="C147" t="s">
        <v>483</v>
      </c>
      <c r="D147" s="3" t="s">
        <v>182</v>
      </c>
      <c r="E147" s="3" t="s">
        <v>129</v>
      </c>
      <c r="F147" s="3" t="s">
        <v>183</v>
      </c>
      <c r="G147" s="3" t="s">
        <v>183</v>
      </c>
      <c r="H147" s="3" t="s">
        <v>482</v>
      </c>
      <c r="I147" s="3" t="s">
        <v>68</v>
      </c>
    </row>
    <row r="148" spans="1:9" x14ac:dyDescent="0.2">
      <c r="A148">
        <v>18120</v>
      </c>
      <c r="B148" t="s">
        <v>484</v>
      </c>
      <c r="C148" t="s">
        <v>485</v>
      </c>
      <c r="D148" s="3" t="s">
        <v>182</v>
      </c>
      <c r="E148" s="3" t="s">
        <v>129</v>
      </c>
      <c r="F148" s="3" t="s">
        <v>183</v>
      </c>
      <c r="G148" s="3" t="s">
        <v>183</v>
      </c>
      <c r="H148" s="3" t="s">
        <v>484</v>
      </c>
      <c r="I148" s="3" t="s">
        <v>68</v>
      </c>
    </row>
    <row r="149" spans="1:9" x14ac:dyDescent="0.2">
      <c r="A149">
        <v>18121</v>
      </c>
      <c r="B149" t="s">
        <v>486</v>
      </c>
      <c r="C149" t="s">
        <v>487</v>
      </c>
      <c r="D149" s="3" t="s">
        <v>182</v>
      </c>
      <c r="E149" s="3" t="s">
        <v>129</v>
      </c>
      <c r="F149" s="3" t="s">
        <v>183</v>
      </c>
      <c r="G149" s="3" t="s">
        <v>183</v>
      </c>
      <c r="H149" s="3" t="s">
        <v>486</v>
      </c>
      <c r="I149" s="3" t="s">
        <v>68</v>
      </c>
    </row>
    <row r="150" spans="1:9" x14ac:dyDescent="0.2">
      <c r="A150">
        <v>18122</v>
      </c>
      <c r="B150" t="s">
        <v>488</v>
      </c>
      <c r="C150" t="s">
        <v>489</v>
      </c>
      <c r="D150" s="3" t="s">
        <v>182</v>
      </c>
      <c r="E150" s="3" t="s">
        <v>129</v>
      </c>
      <c r="F150" s="3" t="s">
        <v>183</v>
      </c>
      <c r="G150" s="3" t="s">
        <v>183</v>
      </c>
      <c r="H150" s="3" t="s">
        <v>488</v>
      </c>
      <c r="I150" s="3" t="s">
        <v>68</v>
      </c>
    </row>
    <row r="151" spans="1:9" x14ac:dyDescent="0.2">
      <c r="A151">
        <v>18123</v>
      </c>
      <c r="B151" t="s">
        <v>490</v>
      </c>
      <c r="C151" t="s">
        <v>491</v>
      </c>
      <c r="D151" s="3" t="s">
        <v>182</v>
      </c>
      <c r="E151" s="3" t="s">
        <v>129</v>
      </c>
      <c r="F151" s="3" t="s">
        <v>183</v>
      </c>
      <c r="G151" s="3" t="s">
        <v>183</v>
      </c>
      <c r="H151" s="3" t="s">
        <v>490</v>
      </c>
      <c r="I151" s="3" t="s">
        <v>68</v>
      </c>
    </row>
    <row r="152" spans="1:9" x14ac:dyDescent="0.2">
      <c r="A152">
        <v>18124</v>
      </c>
      <c r="B152" t="s">
        <v>492</v>
      </c>
      <c r="C152" t="s">
        <v>493</v>
      </c>
      <c r="D152" s="3" t="s">
        <v>182</v>
      </c>
      <c r="E152" s="3" t="s">
        <v>129</v>
      </c>
      <c r="F152" s="3" t="s">
        <v>183</v>
      </c>
      <c r="G152" s="3" t="s">
        <v>183</v>
      </c>
      <c r="H152" s="3" t="s">
        <v>492</v>
      </c>
      <c r="I152" s="3" t="s">
        <v>68</v>
      </c>
    </row>
    <row r="153" spans="1:9" x14ac:dyDescent="0.2">
      <c r="A153">
        <v>18125</v>
      </c>
      <c r="B153" t="s">
        <v>494</v>
      </c>
      <c r="C153" t="s">
        <v>495</v>
      </c>
      <c r="D153" s="3" t="s">
        <v>182</v>
      </c>
      <c r="E153" s="3" t="s">
        <v>129</v>
      </c>
      <c r="F153" s="3" t="s">
        <v>183</v>
      </c>
      <c r="G153" s="3" t="s">
        <v>183</v>
      </c>
      <c r="H153" s="3" t="s">
        <v>494</v>
      </c>
      <c r="I153" s="3" t="s">
        <v>68</v>
      </c>
    </row>
    <row r="154" spans="1:9" x14ac:dyDescent="0.2">
      <c r="A154">
        <v>18126</v>
      </c>
      <c r="B154" t="s">
        <v>496</v>
      </c>
      <c r="C154" t="s">
        <v>497</v>
      </c>
      <c r="D154" s="3" t="s">
        <v>182</v>
      </c>
      <c r="E154" s="3" t="s">
        <v>129</v>
      </c>
      <c r="F154" s="3" t="s">
        <v>183</v>
      </c>
      <c r="G154" s="3" t="s">
        <v>183</v>
      </c>
      <c r="H154" s="3" t="s">
        <v>496</v>
      </c>
      <c r="I154" s="3" t="s">
        <v>68</v>
      </c>
    </row>
    <row r="155" spans="1:9" x14ac:dyDescent="0.2">
      <c r="A155">
        <v>18127</v>
      </c>
      <c r="B155" t="s">
        <v>498</v>
      </c>
      <c r="C155" t="s">
        <v>499</v>
      </c>
      <c r="D155" s="3" t="s">
        <v>182</v>
      </c>
      <c r="E155" s="3" t="s">
        <v>129</v>
      </c>
      <c r="F155" s="3" t="s">
        <v>183</v>
      </c>
      <c r="G155" s="3" t="s">
        <v>183</v>
      </c>
      <c r="H155" s="3" t="s">
        <v>498</v>
      </c>
      <c r="I155" s="3" t="s">
        <v>68</v>
      </c>
    </row>
    <row r="156" spans="1:9" x14ac:dyDescent="0.2">
      <c r="A156">
        <v>18128</v>
      </c>
      <c r="B156" t="s">
        <v>500</v>
      </c>
      <c r="C156" t="s">
        <v>501</v>
      </c>
      <c r="D156" s="3" t="s">
        <v>182</v>
      </c>
      <c r="E156" s="3" t="s">
        <v>129</v>
      </c>
      <c r="F156" s="3" t="s">
        <v>183</v>
      </c>
      <c r="G156" s="3" t="s">
        <v>183</v>
      </c>
      <c r="H156" s="3" t="s">
        <v>500</v>
      </c>
      <c r="I156" s="3" t="s">
        <v>68</v>
      </c>
    </row>
    <row r="157" spans="1:9" x14ac:dyDescent="0.2">
      <c r="A157">
        <v>18129</v>
      </c>
      <c r="B157" t="s">
        <v>502</v>
      </c>
      <c r="C157" t="s">
        <v>503</v>
      </c>
      <c r="D157" s="3" t="s">
        <v>182</v>
      </c>
      <c r="E157" s="3" t="s">
        <v>129</v>
      </c>
      <c r="F157" s="3" t="s">
        <v>183</v>
      </c>
      <c r="G157" s="3" t="s">
        <v>183</v>
      </c>
      <c r="H157" s="3" t="s">
        <v>502</v>
      </c>
      <c r="I157" s="3" t="s">
        <v>68</v>
      </c>
    </row>
    <row r="158" spans="1:9" x14ac:dyDescent="0.2">
      <c r="A158">
        <v>18130</v>
      </c>
      <c r="B158" t="s">
        <v>504</v>
      </c>
      <c r="C158" t="s">
        <v>505</v>
      </c>
      <c r="D158" s="3" t="s">
        <v>182</v>
      </c>
      <c r="E158" s="3" t="s">
        <v>129</v>
      </c>
      <c r="F158" s="3" t="s">
        <v>183</v>
      </c>
      <c r="G158" s="3" t="s">
        <v>183</v>
      </c>
      <c r="H158" s="3" t="s">
        <v>504</v>
      </c>
      <c r="I158" s="3" t="s">
        <v>68</v>
      </c>
    </row>
    <row r="159" spans="1:9" x14ac:dyDescent="0.2">
      <c r="A159">
        <v>18131</v>
      </c>
      <c r="B159" t="s">
        <v>506</v>
      </c>
      <c r="C159" t="s">
        <v>507</v>
      </c>
      <c r="D159" s="3" t="s">
        <v>182</v>
      </c>
      <c r="E159" s="3" t="s">
        <v>129</v>
      </c>
      <c r="F159" s="3" t="s">
        <v>183</v>
      </c>
      <c r="G159" s="3" t="s">
        <v>183</v>
      </c>
      <c r="H159" s="3" t="s">
        <v>506</v>
      </c>
      <c r="I159" s="3" t="s">
        <v>68</v>
      </c>
    </row>
    <row r="160" spans="1:9" x14ac:dyDescent="0.2">
      <c r="A160">
        <v>18132</v>
      </c>
      <c r="B160" t="s">
        <v>508</v>
      </c>
      <c r="C160" t="s">
        <v>509</v>
      </c>
      <c r="D160" s="3" t="s">
        <v>182</v>
      </c>
      <c r="E160" s="3" t="s">
        <v>129</v>
      </c>
      <c r="F160" s="3" t="s">
        <v>183</v>
      </c>
      <c r="G160" s="3" t="s">
        <v>183</v>
      </c>
      <c r="H160" s="3" t="s">
        <v>508</v>
      </c>
      <c r="I160" s="3" t="s">
        <v>68</v>
      </c>
    </row>
    <row r="161" spans="1:9" x14ac:dyDescent="0.2">
      <c r="A161">
        <v>18133</v>
      </c>
      <c r="B161" t="s">
        <v>510</v>
      </c>
      <c r="C161" t="s">
        <v>511</v>
      </c>
      <c r="D161" s="3" t="s">
        <v>182</v>
      </c>
      <c r="E161" s="3" t="s">
        <v>129</v>
      </c>
      <c r="F161" s="3" t="s">
        <v>183</v>
      </c>
      <c r="G161" s="3" t="s">
        <v>183</v>
      </c>
      <c r="H161" s="3" t="s">
        <v>510</v>
      </c>
      <c r="I161" s="3" t="s">
        <v>68</v>
      </c>
    </row>
    <row r="162" spans="1:9" x14ac:dyDescent="0.2">
      <c r="A162">
        <v>18134</v>
      </c>
      <c r="B162" t="s">
        <v>512</v>
      </c>
      <c r="C162" t="s">
        <v>513</v>
      </c>
      <c r="D162" s="3" t="s">
        <v>182</v>
      </c>
      <c r="E162" s="3" t="s">
        <v>129</v>
      </c>
      <c r="F162" s="3" t="s">
        <v>183</v>
      </c>
      <c r="G162" s="3" t="s">
        <v>183</v>
      </c>
      <c r="H162" s="3" t="s">
        <v>512</v>
      </c>
      <c r="I162" s="3" t="s">
        <v>68</v>
      </c>
    </row>
    <row r="163" spans="1:9" x14ac:dyDescent="0.2">
      <c r="A163">
        <v>18135</v>
      </c>
      <c r="B163" t="s">
        <v>514</v>
      </c>
      <c r="C163" t="s">
        <v>515</v>
      </c>
      <c r="D163" s="3" t="s">
        <v>182</v>
      </c>
      <c r="E163" s="3" t="s">
        <v>129</v>
      </c>
      <c r="F163" s="3" t="s">
        <v>183</v>
      </c>
      <c r="G163" s="3" t="s">
        <v>183</v>
      </c>
      <c r="H163" s="3" t="s">
        <v>514</v>
      </c>
      <c r="I163" s="3" t="s">
        <v>68</v>
      </c>
    </row>
    <row r="164" spans="1:9" x14ac:dyDescent="0.2">
      <c r="A164">
        <v>18136</v>
      </c>
      <c r="B164" t="s">
        <v>516</v>
      </c>
      <c r="C164" t="s">
        <v>517</v>
      </c>
      <c r="D164" s="3" t="s">
        <v>182</v>
      </c>
      <c r="E164" s="3" t="s">
        <v>129</v>
      </c>
      <c r="F164" s="3" t="s">
        <v>183</v>
      </c>
      <c r="G164" s="3" t="s">
        <v>183</v>
      </c>
      <c r="H164" s="3" t="s">
        <v>516</v>
      </c>
      <c r="I164" s="3" t="s">
        <v>68</v>
      </c>
    </row>
    <row r="165" spans="1:9" x14ac:dyDescent="0.2">
      <c r="A165">
        <v>18137</v>
      </c>
      <c r="B165" t="s">
        <v>518</v>
      </c>
      <c r="C165" t="s">
        <v>519</v>
      </c>
      <c r="D165" s="3" t="s">
        <v>182</v>
      </c>
      <c r="E165" s="3" t="s">
        <v>129</v>
      </c>
      <c r="F165" s="3" t="s">
        <v>183</v>
      </c>
      <c r="G165" s="3" t="s">
        <v>183</v>
      </c>
      <c r="H165" s="3" t="s">
        <v>518</v>
      </c>
      <c r="I165" s="3" t="s">
        <v>68</v>
      </c>
    </row>
    <row r="166" spans="1:9" x14ac:dyDescent="0.2">
      <c r="A166">
        <v>18138</v>
      </c>
      <c r="B166" t="s">
        <v>520</v>
      </c>
      <c r="C166" t="s">
        <v>521</v>
      </c>
      <c r="D166" s="3" t="s">
        <v>182</v>
      </c>
      <c r="E166" s="3" t="s">
        <v>129</v>
      </c>
      <c r="F166" s="3" t="s">
        <v>183</v>
      </c>
      <c r="G166" s="3" t="s">
        <v>183</v>
      </c>
      <c r="H166" s="3" t="s">
        <v>520</v>
      </c>
      <c r="I166" s="3" t="s">
        <v>68</v>
      </c>
    </row>
    <row r="167" spans="1:9" x14ac:dyDescent="0.2">
      <c r="A167">
        <v>18139</v>
      </c>
      <c r="B167" t="s">
        <v>522</v>
      </c>
      <c r="C167" t="s">
        <v>523</v>
      </c>
      <c r="D167" s="3" t="s">
        <v>182</v>
      </c>
      <c r="E167" s="3" t="s">
        <v>129</v>
      </c>
      <c r="F167" s="3" t="s">
        <v>183</v>
      </c>
      <c r="G167" s="3" t="s">
        <v>183</v>
      </c>
      <c r="H167" s="3" t="s">
        <v>522</v>
      </c>
      <c r="I167" s="3" t="s">
        <v>68</v>
      </c>
    </row>
    <row r="168" spans="1:9" x14ac:dyDescent="0.2">
      <c r="A168">
        <v>18140</v>
      </c>
      <c r="B168" t="s">
        <v>524</v>
      </c>
      <c r="C168" t="s">
        <v>525</v>
      </c>
      <c r="D168" s="3" t="s">
        <v>526</v>
      </c>
      <c r="E168" s="3" t="s">
        <v>129</v>
      </c>
      <c r="F168" s="3" t="s">
        <v>527</v>
      </c>
      <c r="G168" s="3" t="s">
        <v>183</v>
      </c>
      <c r="H168" s="3" t="s">
        <v>524</v>
      </c>
      <c r="I168" s="3" t="s">
        <v>68</v>
      </c>
    </row>
    <row r="169" spans="1:9" x14ac:dyDescent="0.2">
      <c r="A169">
        <v>18141</v>
      </c>
      <c r="B169" t="s">
        <v>528</v>
      </c>
      <c r="C169" t="s">
        <v>529</v>
      </c>
      <c r="D169" s="3" t="s">
        <v>526</v>
      </c>
      <c r="E169" s="3" t="s">
        <v>129</v>
      </c>
      <c r="F169" s="3" t="s">
        <v>527</v>
      </c>
      <c r="G169" s="3" t="s">
        <v>183</v>
      </c>
      <c r="H169" s="3" t="s">
        <v>528</v>
      </c>
      <c r="I169" s="3" t="s">
        <v>68</v>
      </c>
    </row>
    <row r="170" spans="1:9" x14ac:dyDescent="0.2">
      <c r="A170">
        <v>18142</v>
      </c>
      <c r="B170" t="s">
        <v>530</v>
      </c>
      <c r="C170" t="s">
        <v>531</v>
      </c>
      <c r="D170" s="3" t="s">
        <v>532</v>
      </c>
      <c r="E170" s="3" t="s">
        <v>129</v>
      </c>
      <c r="F170" s="3" t="s">
        <v>527</v>
      </c>
      <c r="G170" s="3" t="s">
        <v>183</v>
      </c>
      <c r="H170" s="3" t="s">
        <v>530</v>
      </c>
      <c r="I170" s="3" t="s">
        <v>68</v>
      </c>
    </row>
    <row r="171" spans="1:9" x14ac:dyDescent="0.2">
      <c r="A171">
        <v>18143</v>
      </c>
      <c r="B171" t="s">
        <v>533</v>
      </c>
      <c r="C171" t="s">
        <v>534</v>
      </c>
      <c r="D171" s="3" t="s">
        <v>532</v>
      </c>
      <c r="E171" s="3" t="s">
        <v>129</v>
      </c>
      <c r="F171" s="3" t="s">
        <v>527</v>
      </c>
      <c r="G171" s="3" t="s">
        <v>183</v>
      </c>
      <c r="H171" s="3" t="s">
        <v>533</v>
      </c>
      <c r="I171" s="3" t="s">
        <v>68</v>
      </c>
    </row>
    <row r="172" spans="1:9" x14ac:dyDescent="0.2">
      <c r="A172">
        <v>18144</v>
      </c>
      <c r="B172" t="s">
        <v>535</v>
      </c>
      <c r="C172" t="s">
        <v>536</v>
      </c>
      <c r="D172" s="3" t="s">
        <v>537</v>
      </c>
      <c r="E172" s="3" t="s">
        <v>129</v>
      </c>
      <c r="F172" s="3" t="s">
        <v>527</v>
      </c>
      <c r="G172" s="3" t="s">
        <v>183</v>
      </c>
      <c r="H172" s="3" t="s">
        <v>535</v>
      </c>
      <c r="I172" s="3" t="s">
        <v>68</v>
      </c>
    </row>
    <row r="173" spans="1:9" x14ac:dyDescent="0.2">
      <c r="A173">
        <v>18145</v>
      </c>
      <c r="B173" t="s">
        <v>538</v>
      </c>
      <c r="C173" t="s">
        <v>539</v>
      </c>
      <c r="D173" s="3" t="s">
        <v>537</v>
      </c>
      <c r="E173" s="3" t="s">
        <v>129</v>
      </c>
      <c r="F173" s="3" t="s">
        <v>527</v>
      </c>
      <c r="G173" s="3" t="s">
        <v>183</v>
      </c>
      <c r="H173" s="3" t="s">
        <v>538</v>
      </c>
      <c r="I173" s="3" t="s">
        <v>68</v>
      </c>
    </row>
    <row r="174" spans="1:9" x14ac:dyDescent="0.2">
      <c r="A174">
        <v>18146</v>
      </c>
      <c r="B174" t="s">
        <v>540</v>
      </c>
      <c r="C174" t="s">
        <v>541</v>
      </c>
      <c r="D174" s="3" t="s">
        <v>542</v>
      </c>
      <c r="E174" s="3" t="s">
        <v>129</v>
      </c>
      <c r="F174" s="3" t="s">
        <v>527</v>
      </c>
      <c r="G174" s="3" t="s">
        <v>183</v>
      </c>
      <c r="H174" s="3" t="s">
        <v>540</v>
      </c>
      <c r="I174" s="3" t="s">
        <v>68</v>
      </c>
    </row>
    <row r="175" spans="1:9" x14ac:dyDescent="0.2">
      <c r="A175">
        <v>18147</v>
      </c>
      <c r="B175" t="s">
        <v>543</v>
      </c>
      <c r="C175" t="s">
        <v>544</v>
      </c>
      <c r="D175" s="3" t="s">
        <v>542</v>
      </c>
      <c r="E175" s="3" t="s">
        <v>129</v>
      </c>
      <c r="F175" s="3" t="s">
        <v>527</v>
      </c>
      <c r="G175" s="3" t="s">
        <v>183</v>
      </c>
      <c r="H175" s="3" t="s">
        <v>543</v>
      </c>
      <c r="I175" s="3" t="s">
        <v>68</v>
      </c>
    </row>
    <row r="176" spans="1:9" x14ac:dyDescent="0.2">
      <c r="A176">
        <v>18148</v>
      </c>
      <c r="B176" t="s">
        <v>545</v>
      </c>
      <c r="C176" t="s">
        <v>546</v>
      </c>
      <c r="D176" s="3" t="s">
        <v>547</v>
      </c>
      <c r="E176" s="3" t="s">
        <v>129</v>
      </c>
      <c r="F176" s="3" t="s">
        <v>527</v>
      </c>
      <c r="G176" s="3" t="s">
        <v>183</v>
      </c>
      <c r="H176" s="3" t="s">
        <v>545</v>
      </c>
      <c r="I176" s="3" t="s">
        <v>68</v>
      </c>
    </row>
    <row r="177" spans="1:9" x14ac:dyDescent="0.2">
      <c r="A177">
        <v>18149</v>
      </c>
      <c r="B177" t="s">
        <v>548</v>
      </c>
      <c r="C177" t="s">
        <v>549</v>
      </c>
      <c r="D177" s="3" t="s">
        <v>547</v>
      </c>
      <c r="E177" s="3" t="s">
        <v>129</v>
      </c>
      <c r="F177" s="3" t="s">
        <v>527</v>
      </c>
      <c r="G177" s="3" t="s">
        <v>183</v>
      </c>
      <c r="H177" s="3" t="s">
        <v>548</v>
      </c>
      <c r="I177" s="3" t="s">
        <v>68</v>
      </c>
    </row>
    <row r="178" spans="1:9" x14ac:dyDescent="0.2">
      <c r="A178">
        <v>18150</v>
      </c>
      <c r="B178" t="s">
        <v>550</v>
      </c>
      <c r="C178" t="s">
        <v>551</v>
      </c>
      <c r="D178" s="3" t="s">
        <v>552</v>
      </c>
      <c r="E178" s="3" t="s">
        <v>129</v>
      </c>
      <c r="F178" s="3" t="s">
        <v>527</v>
      </c>
      <c r="G178" s="3" t="s">
        <v>183</v>
      </c>
      <c r="H178" s="3" t="s">
        <v>550</v>
      </c>
      <c r="I178" s="3" t="s">
        <v>68</v>
      </c>
    </row>
    <row r="179" spans="1:9" x14ac:dyDescent="0.2">
      <c r="A179">
        <v>18151</v>
      </c>
      <c r="B179" t="s">
        <v>553</v>
      </c>
      <c r="C179" t="s">
        <v>554</v>
      </c>
      <c r="D179" s="3" t="s">
        <v>552</v>
      </c>
      <c r="E179" s="3" t="s">
        <v>129</v>
      </c>
      <c r="F179" s="3" t="s">
        <v>527</v>
      </c>
      <c r="G179" s="3" t="s">
        <v>183</v>
      </c>
      <c r="H179" s="3" t="s">
        <v>553</v>
      </c>
      <c r="I179" s="3" t="s">
        <v>68</v>
      </c>
    </row>
    <row r="180" spans="1:9" x14ac:dyDescent="0.2">
      <c r="A180">
        <v>18152</v>
      </c>
      <c r="B180" t="s">
        <v>555</v>
      </c>
      <c r="C180" t="s">
        <v>556</v>
      </c>
      <c r="D180" s="3" t="s">
        <v>557</v>
      </c>
      <c r="E180" s="3" t="s">
        <v>129</v>
      </c>
      <c r="F180" s="3" t="s">
        <v>527</v>
      </c>
      <c r="G180" s="3" t="s">
        <v>183</v>
      </c>
      <c r="H180" s="3" t="s">
        <v>555</v>
      </c>
      <c r="I180" s="3" t="s">
        <v>68</v>
      </c>
    </row>
    <row r="181" spans="1:9" x14ac:dyDescent="0.2">
      <c r="A181">
        <v>18153</v>
      </c>
      <c r="B181" t="s">
        <v>558</v>
      </c>
      <c r="C181" t="s">
        <v>559</v>
      </c>
      <c r="D181" s="3" t="s">
        <v>560</v>
      </c>
      <c r="E181" s="3" t="s">
        <v>129</v>
      </c>
      <c r="F181" s="3" t="s">
        <v>527</v>
      </c>
      <c r="G181" s="3" t="s">
        <v>183</v>
      </c>
      <c r="H181" s="3" t="s">
        <v>558</v>
      </c>
      <c r="I181" s="3" t="s">
        <v>68</v>
      </c>
    </row>
    <row r="182" spans="1:9" x14ac:dyDescent="0.2">
      <c r="A182">
        <v>18154</v>
      </c>
      <c r="B182" t="s">
        <v>561</v>
      </c>
      <c r="C182" t="s">
        <v>562</v>
      </c>
      <c r="D182" s="3" t="s">
        <v>381</v>
      </c>
      <c r="E182" s="3" t="s">
        <v>129</v>
      </c>
      <c r="F182" s="3" t="s">
        <v>527</v>
      </c>
      <c r="G182" s="3" t="s">
        <v>183</v>
      </c>
      <c r="H182" s="3" t="s">
        <v>561</v>
      </c>
      <c r="I182" s="3" t="s">
        <v>68</v>
      </c>
    </row>
    <row r="183" spans="1:9" x14ac:dyDescent="0.2">
      <c r="A183">
        <v>18155</v>
      </c>
      <c r="B183" t="s">
        <v>563</v>
      </c>
      <c r="C183" t="s">
        <v>564</v>
      </c>
      <c r="D183" s="3" t="s">
        <v>381</v>
      </c>
      <c r="E183" s="3" t="s">
        <v>129</v>
      </c>
      <c r="F183" s="3" t="s">
        <v>527</v>
      </c>
      <c r="G183" s="3" t="s">
        <v>183</v>
      </c>
      <c r="H183" s="3" t="s">
        <v>563</v>
      </c>
      <c r="I183" s="3" t="s">
        <v>68</v>
      </c>
    </row>
    <row r="184" spans="1:9" x14ac:dyDescent="0.2">
      <c r="A184">
        <v>18156</v>
      </c>
      <c r="B184" t="s">
        <v>565</v>
      </c>
      <c r="C184" t="s">
        <v>566</v>
      </c>
      <c r="D184" s="3" t="s">
        <v>567</v>
      </c>
      <c r="E184" s="3" t="s">
        <v>129</v>
      </c>
      <c r="F184" s="3" t="s">
        <v>527</v>
      </c>
      <c r="G184" s="3" t="s">
        <v>183</v>
      </c>
      <c r="H184" s="3" t="s">
        <v>565</v>
      </c>
      <c r="I184" s="3" t="s">
        <v>68</v>
      </c>
    </row>
    <row r="185" spans="1:9" x14ac:dyDescent="0.2">
      <c r="A185">
        <v>18157</v>
      </c>
      <c r="B185" t="s">
        <v>568</v>
      </c>
      <c r="C185" t="s">
        <v>569</v>
      </c>
      <c r="D185" s="3" t="s">
        <v>567</v>
      </c>
      <c r="E185" s="3" t="s">
        <v>129</v>
      </c>
      <c r="F185" s="3" t="s">
        <v>527</v>
      </c>
      <c r="G185" s="3" t="s">
        <v>183</v>
      </c>
      <c r="H185" s="3" t="s">
        <v>568</v>
      </c>
      <c r="I185" s="3" t="s">
        <v>68</v>
      </c>
    </row>
    <row r="186" spans="1:9" x14ac:dyDescent="0.2">
      <c r="A186">
        <v>18158</v>
      </c>
      <c r="B186" t="s">
        <v>570</v>
      </c>
      <c r="C186" t="s">
        <v>571</v>
      </c>
      <c r="D186" s="3" t="s">
        <v>572</v>
      </c>
      <c r="E186" s="3" t="s">
        <v>129</v>
      </c>
      <c r="F186" s="3" t="s">
        <v>527</v>
      </c>
      <c r="G186" s="3" t="s">
        <v>183</v>
      </c>
      <c r="H186" s="3" t="s">
        <v>570</v>
      </c>
      <c r="I186" s="3" t="s">
        <v>68</v>
      </c>
    </row>
    <row r="187" spans="1:9" x14ac:dyDescent="0.2">
      <c r="A187">
        <v>18159</v>
      </c>
      <c r="B187" t="s">
        <v>573</v>
      </c>
      <c r="C187" t="s">
        <v>574</v>
      </c>
      <c r="D187" s="3" t="s">
        <v>572</v>
      </c>
      <c r="E187" s="3" t="s">
        <v>129</v>
      </c>
      <c r="F187" s="3" t="s">
        <v>527</v>
      </c>
      <c r="G187" s="3" t="s">
        <v>183</v>
      </c>
      <c r="H187" s="3" t="s">
        <v>573</v>
      </c>
      <c r="I187" s="3" t="s">
        <v>68</v>
      </c>
    </row>
    <row r="188" spans="1:9" x14ac:dyDescent="0.2">
      <c r="A188">
        <v>18160</v>
      </c>
      <c r="B188" t="s">
        <v>575</v>
      </c>
      <c r="C188" t="s">
        <v>576</v>
      </c>
      <c r="D188" s="3" t="s">
        <v>577</v>
      </c>
      <c r="E188" s="3" t="s">
        <v>129</v>
      </c>
      <c r="F188" s="3" t="s">
        <v>527</v>
      </c>
      <c r="G188" s="3" t="s">
        <v>183</v>
      </c>
      <c r="H188" s="3" t="s">
        <v>575</v>
      </c>
      <c r="I188" s="3" t="s">
        <v>68</v>
      </c>
    </row>
    <row r="189" spans="1:9" x14ac:dyDescent="0.2">
      <c r="A189">
        <v>18161</v>
      </c>
      <c r="B189" t="s">
        <v>578</v>
      </c>
      <c r="C189" t="s">
        <v>579</v>
      </c>
      <c r="D189" s="3" t="s">
        <v>577</v>
      </c>
      <c r="E189" s="3" t="s">
        <v>129</v>
      </c>
      <c r="F189" s="3" t="s">
        <v>527</v>
      </c>
      <c r="G189" s="3" t="s">
        <v>183</v>
      </c>
      <c r="H189" s="3" t="s">
        <v>578</v>
      </c>
      <c r="I189" s="3" t="s">
        <v>68</v>
      </c>
    </row>
    <row r="190" spans="1:9" x14ac:dyDescent="0.2">
      <c r="A190">
        <v>18162</v>
      </c>
      <c r="B190" t="s">
        <v>580</v>
      </c>
      <c r="C190" t="s">
        <v>581</v>
      </c>
      <c r="D190" s="3" t="s">
        <v>582</v>
      </c>
      <c r="E190" s="3" t="s">
        <v>129</v>
      </c>
      <c r="F190" s="3" t="s">
        <v>527</v>
      </c>
      <c r="G190" s="3" t="s">
        <v>183</v>
      </c>
      <c r="H190" s="3" t="s">
        <v>580</v>
      </c>
      <c r="I190" s="3" t="s">
        <v>68</v>
      </c>
    </row>
    <row r="191" spans="1:9" x14ac:dyDescent="0.2">
      <c r="A191">
        <v>18163</v>
      </c>
      <c r="B191" t="s">
        <v>583</v>
      </c>
      <c r="C191" t="s">
        <v>584</v>
      </c>
      <c r="D191" s="3" t="s">
        <v>582</v>
      </c>
      <c r="E191" s="3" t="s">
        <v>129</v>
      </c>
      <c r="F191" s="3" t="s">
        <v>527</v>
      </c>
      <c r="G191" s="3" t="s">
        <v>183</v>
      </c>
      <c r="H191" s="3" t="s">
        <v>583</v>
      </c>
      <c r="I191" s="3" t="s">
        <v>68</v>
      </c>
    </row>
    <row r="192" spans="1:9" x14ac:dyDescent="0.2">
      <c r="A192">
        <v>18164</v>
      </c>
      <c r="B192" t="s">
        <v>585</v>
      </c>
      <c r="C192" t="s">
        <v>586</v>
      </c>
      <c r="D192" s="3" t="s">
        <v>587</v>
      </c>
      <c r="E192" s="3" t="s">
        <v>129</v>
      </c>
      <c r="F192" s="3" t="s">
        <v>527</v>
      </c>
      <c r="G192" s="3" t="s">
        <v>183</v>
      </c>
      <c r="H192" s="3" t="s">
        <v>585</v>
      </c>
      <c r="I192" s="3" t="s">
        <v>68</v>
      </c>
    </row>
    <row r="193" spans="1:9" x14ac:dyDescent="0.2">
      <c r="A193">
        <v>18165</v>
      </c>
      <c r="B193" t="s">
        <v>588</v>
      </c>
      <c r="C193" t="s">
        <v>589</v>
      </c>
      <c r="D193" s="3" t="s">
        <v>587</v>
      </c>
      <c r="E193" s="3" t="s">
        <v>129</v>
      </c>
      <c r="F193" s="3" t="s">
        <v>527</v>
      </c>
      <c r="G193" s="3" t="s">
        <v>183</v>
      </c>
      <c r="H193" s="3" t="s">
        <v>588</v>
      </c>
      <c r="I193" s="3" t="s">
        <v>68</v>
      </c>
    </row>
    <row r="194" spans="1:9" x14ac:dyDescent="0.2">
      <c r="A194">
        <v>18166</v>
      </c>
      <c r="B194" t="s">
        <v>590</v>
      </c>
      <c r="C194" t="s">
        <v>591</v>
      </c>
      <c r="D194" s="3" t="s">
        <v>592</v>
      </c>
      <c r="E194" s="3" t="s">
        <v>129</v>
      </c>
      <c r="F194" s="3" t="s">
        <v>527</v>
      </c>
      <c r="G194" s="3" t="s">
        <v>183</v>
      </c>
      <c r="H194" s="3" t="s">
        <v>590</v>
      </c>
      <c r="I194" s="3" t="s">
        <v>68</v>
      </c>
    </row>
    <row r="195" spans="1:9" x14ac:dyDescent="0.2">
      <c r="A195">
        <v>18167</v>
      </c>
      <c r="B195" t="s">
        <v>593</v>
      </c>
      <c r="C195" t="s">
        <v>594</v>
      </c>
      <c r="D195" s="3" t="s">
        <v>592</v>
      </c>
      <c r="E195" s="3" t="s">
        <v>129</v>
      </c>
      <c r="F195" s="3" t="s">
        <v>527</v>
      </c>
      <c r="G195" s="3" t="s">
        <v>183</v>
      </c>
      <c r="H195" s="3" t="s">
        <v>593</v>
      </c>
      <c r="I195" s="3" t="s">
        <v>68</v>
      </c>
    </row>
    <row r="196" spans="1:9" x14ac:dyDescent="0.2">
      <c r="A196">
        <v>18168</v>
      </c>
      <c r="B196" t="s">
        <v>595</v>
      </c>
      <c r="C196" t="s">
        <v>596</v>
      </c>
      <c r="D196" s="3" t="s">
        <v>392</v>
      </c>
      <c r="E196" s="3" t="s">
        <v>129</v>
      </c>
      <c r="F196" s="3" t="s">
        <v>527</v>
      </c>
      <c r="G196" s="3" t="s">
        <v>183</v>
      </c>
      <c r="H196" s="3" t="s">
        <v>595</v>
      </c>
      <c r="I196" s="3" t="s">
        <v>68</v>
      </c>
    </row>
    <row r="197" spans="1:9" x14ac:dyDescent="0.2">
      <c r="A197">
        <v>18169</v>
      </c>
      <c r="B197" t="s">
        <v>597</v>
      </c>
      <c r="C197" t="s">
        <v>598</v>
      </c>
      <c r="D197" s="3" t="s">
        <v>392</v>
      </c>
      <c r="E197" s="3" t="s">
        <v>129</v>
      </c>
      <c r="F197" s="3" t="s">
        <v>527</v>
      </c>
      <c r="G197" s="3" t="s">
        <v>183</v>
      </c>
      <c r="H197" s="3" t="s">
        <v>597</v>
      </c>
      <c r="I197" s="3" t="s">
        <v>68</v>
      </c>
    </row>
    <row r="198" spans="1:9" x14ac:dyDescent="0.2">
      <c r="A198">
        <v>18170</v>
      </c>
      <c r="B198" t="s">
        <v>599</v>
      </c>
      <c r="C198" t="s">
        <v>600</v>
      </c>
      <c r="D198" s="3" t="s">
        <v>601</v>
      </c>
      <c r="E198" s="3" t="s">
        <v>129</v>
      </c>
      <c r="F198" s="3" t="s">
        <v>527</v>
      </c>
      <c r="G198" s="3" t="s">
        <v>183</v>
      </c>
      <c r="H198" s="3" t="s">
        <v>599</v>
      </c>
      <c r="I198" s="3" t="s">
        <v>68</v>
      </c>
    </row>
    <row r="199" spans="1:9" x14ac:dyDescent="0.2">
      <c r="A199">
        <v>18171</v>
      </c>
      <c r="B199" t="s">
        <v>602</v>
      </c>
      <c r="C199" t="s">
        <v>603</v>
      </c>
      <c r="D199" s="3" t="s">
        <v>601</v>
      </c>
      <c r="E199" s="3" t="s">
        <v>129</v>
      </c>
      <c r="F199" s="3" t="s">
        <v>527</v>
      </c>
      <c r="G199" s="3" t="s">
        <v>183</v>
      </c>
      <c r="H199" s="3" t="s">
        <v>602</v>
      </c>
      <c r="I199" s="3" t="s">
        <v>68</v>
      </c>
    </row>
    <row r="200" spans="1:9" x14ac:dyDescent="0.2">
      <c r="A200">
        <v>18172</v>
      </c>
      <c r="B200" t="s">
        <v>604</v>
      </c>
      <c r="C200" t="s">
        <v>605</v>
      </c>
      <c r="D200" s="3" t="s">
        <v>606</v>
      </c>
      <c r="E200" s="3" t="s">
        <v>129</v>
      </c>
      <c r="F200" s="3" t="s">
        <v>527</v>
      </c>
      <c r="G200" s="3" t="s">
        <v>183</v>
      </c>
      <c r="H200" s="3" t="s">
        <v>604</v>
      </c>
      <c r="I200" s="3" t="s">
        <v>68</v>
      </c>
    </row>
    <row r="201" spans="1:9" x14ac:dyDescent="0.2">
      <c r="A201">
        <v>18173</v>
      </c>
      <c r="B201" t="s">
        <v>607</v>
      </c>
      <c r="C201" t="s">
        <v>608</v>
      </c>
      <c r="D201" s="3" t="s">
        <v>606</v>
      </c>
      <c r="E201" s="3" t="s">
        <v>129</v>
      </c>
      <c r="F201" s="3" t="s">
        <v>527</v>
      </c>
      <c r="G201" s="3" t="s">
        <v>183</v>
      </c>
      <c r="H201" s="3" t="s">
        <v>607</v>
      </c>
      <c r="I201" s="3" t="s">
        <v>68</v>
      </c>
    </row>
    <row r="202" spans="1:9" x14ac:dyDescent="0.2">
      <c r="A202">
        <v>18174</v>
      </c>
      <c r="B202" t="s">
        <v>609</v>
      </c>
      <c r="C202" t="s">
        <v>610</v>
      </c>
      <c r="D202" s="3" t="s">
        <v>182</v>
      </c>
      <c r="E202" s="3" t="s">
        <v>129</v>
      </c>
      <c r="F202" s="3" t="s">
        <v>183</v>
      </c>
      <c r="G202" s="3" t="s">
        <v>183</v>
      </c>
      <c r="H202" s="3" t="s">
        <v>609</v>
      </c>
      <c r="I202" s="3" t="s">
        <v>68</v>
      </c>
    </row>
    <row r="203" spans="1:9" x14ac:dyDescent="0.2">
      <c r="A203">
        <v>18175</v>
      </c>
      <c r="B203" t="s">
        <v>611</v>
      </c>
      <c r="C203" t="s">
        <v>612</v>
      </c>
      <c r="D203" s="3" t="s">
        <v>613</v>
      </c>
      <c r="E203" s="3" t="s">
        <v>129</v>
      </c>
      <c r="F203" s="3" t="s">
        <v>527</v>
      </c>
      <c r="G203" s="3" t="s">
        <v>183</v>
      </c>
      <c r="H203" s="3" t="s">
        <v>611</v>
      </c>
      <c r="I203" s="3" t="s">
        <v>68</v>
      </c>
    </row>
    <row r="204" spans="1:9" x14ac:dyDescent="0.2">
      <c r="A204">
        <v>18176</v>
      </c>
      <c r="B204" t="s">
        <v>614</v>
      </c>
      <c r="C204" t="s">
        <v>615</v>
      </c>
      <c r="D204" s="3" t="s">
        <v>613</v>
      </c>
      <c r="E204" s="3" t="s">
        <v>129</v>
      </c>
      <c r="F204" s="3" t="s">
        <v>527</v>
      </c>
      <c r="G204" s="3" t="s">
        <v>183</v>
      </c>
      <c r="H204" s="3" t="s">
        <v>614</v>
      </c>
      <c r="I204" s="3" t="s">
        <v>68</v>
      </c>
    </row>
    <row r="205" spans="1:9" x14ac:dyDescent="0.2">
      <c r="A205">
        <v>18177</v>
      </c>
      <c r="B205" t="s">
        <v>616</v>
      </c>
      <c r="C205" t="s">
        <v>617</v>
      </c>
      <c r="D205" s="3" t="s">
        <v>618</v>
      </c>
      <c r="E205" s="3" t="s">
        <v>129</v>
      </c>
      <c r="F205" s="3" t="s">
        <v>527</v>
      </c>
      <c r="G205" s="3" t="s">
        <v>183</v>
      </c>
      <c r="H205" s="3" t="s">
        <v>616</v>
      </c>
      <c r="I205" s="3" t="s">
        <v>68</v>
      </c>
    </row>
    <row r="206" spans="1:9" x14ac:dyDescent="0.2">
      <c r="A206">
        <v>18178</v>
      </c>
      <c r="B206" t="s">
        <v>619</v>
      </c>
      <c r="C206" t="s">
        <v>620</v>
      </c>
      <c r="D206" s="3" t="s">
        <v>618</v>
      </c>
      <c r="E206" s="3" t="s">
        <v>129</v>
      </c>
      <c r="F206" s="3" t="s">
        <v>527</v>
      </c>
      <c r="G206" s="3" t="s">
        <v>183</v>
      </c>
      <c r="H206" s="3" t="s">
        <v>619</v>
      </c>
      <c r="I206" s="3" t="s">
        <v>68</v>
      </c>
    </row>
    <row r="207" spans="1:9" x14ac:dyDescent="0.2">
      <c r="A207">
        <v>18179</v>
      </c>
      <c r="B207" t="s">
        <v>621</v>
      </c>
      <c r="C207" t="s">
        <v>622</v>
      </c>
      <c r="D207" s="3" t="s">
        <v>623</v>
      </c>
      <c r="E207" s="3" t="s">
        <v>129</v>
      </c>
      <c r="F207" s="3" t="s">
        <v>527</v>
      </c>
      <c r="G207" s="3" t="s">
        <v>183</v>
      </c>
      <c r="H207" s="3" t="s">
        <v>621</v>
      </c>
      <c r="I207" s="3" t="s">
        <v>68</v>
      </c>
    </row>
    <row r="208" spans="1:9" x14ac:dyDescent="0.2">
      <c r="A208">
        <v>18180</v>
      </c>
      <c r="B208" t="s">
        <v>624</v>
      </c>
      <c r="C208" t="s">
        <v>625</v>
      </c>
      <c r="D208" s="3" t="s">
        <v>623</v>
      </c>
      <c r="E208" s="3" t="s">
        <v>129</v>
      </c>
      <c r="F208" s="3" t="s">
        <v>527</v>
      </c>
      <c r="G208" s="3" t="s">
        <v>183</v>
      </c>
      <c r="H208" s="3" t="s">
        <v>624</v>
      </c>
      <c r="I208" s="3" t="s">
        <v>68</v>
      </c>
    </row>
    <row r="209" spans="1:9" x14ac:dyDescent="0.2">
      <c r="A209">
        <v>18181</v>
      </c>
      <c r="B209" t="s">
        <v>626</v>
      </c>
      <c r="C209" t="s">
        <v>627</v>
      </c>
      <c r="D209" s="3" t="s">
        <v>628</v>
      </c>
      <c r="E209" s="3" t="s">
        <v>129</v>
      </c>
      <c r="F209" s="3" t="s">
        <v>527</v>
      </c>
      <c r="G209" s="3" t="s">
        <v>183</v>
      </c>
      <c r="H209" s="3" t="s">
        <v>626</v>
      </c>
      <c r="I209" s="3" t="s">
        <v>68</v>
      </c>
    </row>
    <row r="210" spans="1:9" x14ac:dyDescent="0.2">
      <c r="A210">
        <v>18182</v>
      </c>
      <c r="B210" t="s">
        <v>629</v>
      </c>
      <c r="C210" t="s">
        <v>630</v>
      </c>
      <c r="D210" s="3" t="s">
        <v>628</v>
      </c>
      <c r="E210" s="3" t="s">
        <v>129</v>
      </c>
      <c r="F210" s="3" t="s">
        <v>527</v>
      </c>
      <c r="G210" s="3" t="s">
        <v>183</v>
      </c>
      <c r="H210" s="3" t="s">
        <v>629</v>
      </c>
      <c r="I210" s="3" t="s">
        <v>68</v>
      </c>
    </row>
    <row r="211" spans="1:9" x14ac:dyDescent="0.2">
      <c r="A211">
        <v>18183</v>
      </c>
      <c r="B211" t="s">
        <v>631</v>
      </c>
      <c r="C211" t="s">
        <v>632</v>
      </c>
      <c r="D211" s="3" t="s">
        <v>633</v>
      </c>
      <c r="E211" s="3" t="s">
        <v>129</v>
      </c>
      <c r="F211" s="3" t="s">
        <v>527</v>
      </c>
      <c r="G211" s="3" t="s">
        <v>183</v>
      </c>
      <c r="H211" s="3" t="s">
        <v>631</v>
      </c>
      <c r="I211" s="3" t="s">
        <v>68</v>
      </c>
    </row>
    <row r="212" spans="1:9" x14ac:dyDescent="0.2">
      <c r="A212">
        <v>18184</v>
      </c>
      <c r="B212" t="s">
        <v>634</v>
      </c>
      <c r="C212" t="s">
        <v>635</v>
      </c>
      <c r="D212" s="3" t="s">
        <v>633</v>
      </c>
      <c r="E212" s="3" t="s">
        <v>129</v>
      </c>
      <c r="F212" s="3" t="s">
        <v>527</v>
      </c>
      <c r="G212" s="3" t="s">
        <v>183</v>
      </c>
      <c r="H212" s="3" t="s">
        <v>634</v>
      </c>
      <c r="I212" s="3" t="s">
        <v>68</v>
      </c>
    </row>
    <row r="213" spans="1:9" x14ac:dyDescent="0.2">
      <c r="A213">
        <v>18185</v>
      </c>
      <c r="B213" t="s">
        <v>636</v>
      </c>
      <c r="C213" t="s">
        <v>637</v>
      </c>
      <c r="D213" s="3" t="s">
        <v>638</v>
      </c>
      <c r="E213" s="3" t="s">
        <v>129</v>
      </c>
      <c r="F213" s="3" t="s">
        <v>527</v>
      </c>
      <c r="G213" s="3" t="s">
        <v>183</v>
      </c>
      <c r="H213" s="3" t="s">
        <v>636</v>
      </c>
      <c r="I213" s="3" t="s">
        <v>68</v>
      </c>
    </row>
    <row r="214" spans="1:9" x14ac:dyDescent="0.2">
      <c r="A214">
        <v>18186</v>
      </c>
      <c r="B214" t="s">
        <v>639</v>
      </c>
      <c r="C214" t="s">
        <v>640</v>
      </c>
      <c r="D214" s="3" t="s">
        <v>638</v>
      </c>
      <c r="E214" s="3" t="s">
        <v>129</v>
      </c>
      <c r="F214" s="3" t="s">
        <v>527</v>
      </c>
      <c r="G214" s="3" t="s">
        <v>183</v>
      </c>
      <c r="H214" s="3" t="s">
        <v>639</v>
      </c>
      <c r="I214" s="3" t="s">
        <v>68</v>
      </c>
    </row>
    <row r="215" spans="1:9" x14ac:dyDescent="0.2">
      <c r="A215">
        <v>18187</v>
      </c>
      <c r="B215" t="s">
        <v>641</v>
      </c>
      <c r="C215" t="s">
        <v>642</v>
      </c>
      <c r="D215" s="3" t="s">
        <v>643</v>
      </c>
      <c r="E215" s="3" t="s">
        <v>129</v>
      </c>
      <c r="F215" s="3" t="s">
        <v>527</v>
      </c>
      <c r="G215" s="3" t="s">
        <v>183</v>
      </c>
      <c r="H215" s="3" t="s">
        <v>641</v>
      </c>
      <c r="I215" s="3" t="s">
        <v>68</v>
      </c>
    </row>
    <row r="216" spans="1:9" x14ac:dyDescent="0.2">
      <c r="A216">
        <v>18188</v>
      </c>
      <c r="B216" t="s">
        <v>644</v>
      </c>
      <c r="C216" t="s">
        <v>645</v>
      </c>
      <c r="D216" s="3" t="s">
        <v>643</v>
      </c>
      <c r="E216" s="3" t="s">
        <v>129</v>
      </c>
      <c r="F216" s="3" t="s">
        <v>527</v>
      </c>
      <c r="G216" s="3" t="s">
        <v>183</v>
      </c>
      <c r="H216" s="3" t="s">
        <v>644</v>
      </c>
      <c r="I216" s="3" t="s">
        <v>68</v>
      </c>
    </row>
    <row r="217" spans="1:9" x14ac:dyDescent="0.2">
      <c r="A217">
        <v>18189</v>
      </c>
      <c r="B217" t="s">
        <v>646</v>
      </c>
      <c r="C217" t="s">
        <v>647</v>
      </c>
      <c r="D217" s="3" t="s">
        <v>648</v>
      </c>
      <c r="E217" s="3" t="s">
        <v>129</v>
      </c>
      <c r="F217" s="3" t="s">
        <v>527</v>
      </c>
      <c r="G217" s="3" t="s">
        <v>183</v>
      </c>
      <c r="H217" s="3" t="s">
        <v>646</v>
      </c>
      <c r="I217" s="3" t="s">
        <v>68</v>
      </c>
    </row>
    <row r="218" spans="1:9" x14ac:dyDescent="0.2">
      <c r="A218">
        <v>18190</v>
      </c>
      <c r="B218" t="s">
        <v>649</v>
      </c>
      <c r="C218" t="s">
        <v>650</v>
      </c>
      <c r="D218" s="3" t="s">
        <v>648</v>
      </c>
      <c r="E218" s="3" t="s">
        <v>129</v>
      </c>
      <c r="F218" s="3" t="s">
        <v>527</v>
      </c>
      <c r="G218" s="3" t="s">
        <v>183</v>
      </c>
      <c r="H218" s="3" t="s">
        <v>649</v>
      </c>
      <c r="I218" s="3" t="s">
        <v>68</v>
      </c>
    </row>
    <row r="219" spans="1:9" x14ac:dyDescent="0.2">
      <c r="A219">
        <v>18191</v>
      </c>
      <c r="B219" t="s">
        <v>651</v>
      </c>
      <c r="C219" t="s">
        <v>652</v>
      </c>
      <c r="D219" s="3" t="s">
        <v>653</v>
      </c>
      <c r="E219" s="3" t="s">
        <v>129</v>
      </c>
      <c r="F219" s="3" t="s">
        <v>527</v>
      </c>
      <c r="G219" s="3" t="s">
        <v>183</v>
      </c>
      <c r="H219" s="3" t="s">
        <v>651</v>
      </c>
      <c r="I219" s="3" t="s">
        <v>68</v>
      </c>
    </row>
    <row r="220" spans="1:9" x14ac:dyDescent="0.2">
      <c r="A220">
        <v>18192</v>
      </c>
      <c r="B220" t="s">
        <v>654</v>
      </c>
      <c r="C220" t="s">
        <v>655</v>
      </c>
      <c r="D220" s="3" t="s">
        <v>653</v>
      </c>
      <c r="E220" s="3" t="s">
        <v>129</v>
      </c>
      <c r="F220" s="3" t="s">
        <v>527</v>
      </c>
      <c r="G220" s="3" t="s">
        <v>183</v>
      </c>
      <c r="H220" s="3" t="s">
        <v>654</v>
      </c>
      <c r="I220" s="3" t="s">
        <v>68</v>
      </c>
    </row>
    <row r="221" spans="1:9" x14ac:dyDescent="0.2">
      <c r="A221">
        <v>18193</v>
      </c>
      <c r="B221" t="s">
        <v>656</v>
      </c>
      <c r="C221" t="s">
        <v>657</v>
      </c>
      <c r="D221" s="3" t="s">
        <v>658</v>
      </c>
      <c r="E221" s="3" t="s">
        <v>129</v>
      </c>
      <c r="F221" s="3" t="s">
        <v>527</v>
      </c>
      <c r="G221" s="3" t="s">
        <v>183</v>
      </c>
      <c r="H221" s="3" t="s">
        <v>656</v>
      </c>
      <c r="I221" s="3" t="s">
        <v>68</v>
      </c>
    </row>
    <row r="222" spans="1:9" x14ac:dyDescent="0.2">
      <c r="A222">
        <v>18194</v>
      </c>
      <c r="B222" t="s">
        <v>659</v>
      </c>
      <c r="C222" t="s">
        <v>660</v>
      </c>
      <c r="D222" s="3" t="s">
        <v>658</v>
      </c>
      <c r="E222" s="3" t="s">
        <v>129</v>
      </c>
      <c r="F222" s="3" t="s">
        <v>527</v>
      </c>
      <c r="G222" s="3" t="s">
        <v>183</v>
      </c>
      <c r="H222" s="3" t="s">
        <v>659</v>
      </c>
      <c r="I222" s="3" t="s">
        <v>68</v>
      </c>
    </row>
    <row r="223" spans="1:9" x14ac:dyDescent="0.2">
      <c r="A223">
        <v>18195</v>
      </c>
      <c r="B223" t="s">
        <v>111</v>
      </c>
      <c r="C223" t="s">
        <v>137</v>
      </c>
      <c r="D223" s="3" t="s">
        <v>661</v>
      </c>
      <c r="E223" s="3" t="s">
        <v>129</v>
      </c>
      <c r="F223" s="3" t="s">
        <v>527</v>
      </c>
      <c r="G223" s="3" t="s">
        <v>183</v>
      </c>
      <c r="H223" s="3" t="s">
        <v>111</v>
      </c>
      <c r="I223" s="3" t="s">
        <v>68</v>
      </c>
    </row>
    <row r="224" spans="1:9" x14ac:dyDescent="0.2">
      <c r="A224">
        <v>18196</v>
      </c>
      <c r="B224" t="s">
        <v>662</v>
      </c>
      <c r="C224" t="s">
        <v>663</v>
      </c>
      <c r="D224" s="3" t="s">
        <v>661</v>
      </c>
      <c r="E224" s="3" t="s">
        <v>129</v>
      </c>
      <c r="F224" s="3" t="s">
        <v>527</v>
      </c>
      <c r="G224" s="3" t="s">
        <v>183</v>
      </c>
      <c r="H224" s="3" t="s">
        <v>662</v>
      </c>
      <c r="I224" s="3" t="s">
        <v>68</v>
      </c>
    </row>
    <row r="225" spans="1:9" x14ac:dyDescent="0.2">
      <c r="A225">
        <v>18197</v>
      </c>
      <c r="B225" t="s">
        <v>664</v>
      </c>
      <c r="C225" t="s">
        <v>665</v>
      </c>
      <c r="D225" s="3" t="s">
        <v>666</v>
      </c>
      <c r="E225" s="3" t="s">
        <v>129</v>
      </c>
      <c r="F225" s="3" t="s">
        <v>527</v>
      </c>
      <c r="G225" s="3" t="s">
        <v>183</v>
      </c>
      <c r="H225" s="3" t="s">
        <v>664</v>
      </c>
      <c r="I225" s="3" t="s">
        <v>68</v>
      </c>
    </row>
    <row r="226" spans="1:9" x14ac:dyDescent="0.2">
      <c r="A226">
        <v>18198</v>
      </c>
      <c r="B226" t="s">
        <v>667</v>
      </c>
      <c r="C226" t="s">
        <v>668</v>
      </c>
      <c r="D226" s="3" t="s">
        <v>666</v>
      </c>
      <c r="E226" s="3" t="s">
        <v>129</v>
      </c>
      <c r="F226" s="3" t="s">
        <v>527</v>
      </c>
      <c r="G226" s="3" t="s">
        <v>183</v>
      </c>
      <c r="H226" s="3" t="s">
        <v>667</v>
      </c>
      <c r="I226" s="3" t="s">
        <v>68</v>
      </c>
    </row>
    <row r="227" spans="1:9" x14ac:dyDescent="0.2">
      <c r="A227">
        <v>18199</v>
      </c>
      <c r="B227" t="s">
        <v>669</v>
      </c>
      <c r="C227" t="s">
        <v>670</v>
      </c>
      <c r="D227" s="3" t="s">
        <v>372</v>
      </c>
      <c r="E227" s="3" t="s">
        <v>129</v>
      </c>
      <c r="F227" s="3" t="s">
        <v>527</v>
      </c>
      <c r="G227" s="3" t="s">
        <v>183</v>
      </c>
      <c r="H227" s="3" t="s">
        <v>669</v>
      </c>
      <c r="I227" s="3" t="s">
        <v>68</v>
      </c>
    </row>
    <row r="228" spans="1:9" x14ac:dyDescent="0.2">
      <c r="A228">
        <v>18200</v>
      </c>
      <c r="B228" t="s">
        <v>671</v>
      </c>
      <c r="C228" t="s">
        <v>672</v>
      </c>
      <c r="D228" s="3" t="s">
        <v>372</v>
      </c>
      <c r="E228" s="3" t="s">
        <v>129</v>
      </c>
      <c r="F228" s="3" t="s">
        <v>527</v>
      </c>
      <c r="G228" s="3" t="s">
        <v>183</v>
      </c>
      <c r="H228" s="3" t="s">
        <v>671</v>
      </c>
      <c r="I228" s="3" t="s">
        <v>68</v>
      </c>
    </row>
    <row r="229" spans="1:9" x14ac:dyDescent="0.2">
      <c r="A229">
        <v>18201</v>
      </c>
      <c r="B229" t="s">
        <v>673</v>
      </c>
      <c r="C229" t="s">
        <v>674</v>
      </c>
      <c r="D229" s="3" t="s">
        <v>675</v>
      </c>
      <c r="E229" s="3" t="s">
        <v>129</v>
      </c>
      <c r="F229" s="3" t="s">
        <v>527</v>
      </c>
      <c r="G229" s="3" t="s">
        <v>183</v>
      </c>
      <c r="H229" s="3" t="s">
        <v>673</v>
      </c>
      <c r="I229" s="3" t="s">
        <v>68</v>
      </c>
    </row>
    <row r="230" spans="1:9" x14ac:dyDescent="0.2">
      <c r="A230">
        <v>18202</v>
      </c>
      <c r="B230" t="s">
        <v>676</v>
      </c>
      <c r="C230" t="s">
        <v>677</v>
      </c>
      <c r="D230" s="3" t="s">
        <v>675</v>
      </c>
      <c r="E230" s="3" t="s">
        <v>129</v>
      </c>
      <c r="F230" s="3" t="s">
        <v>527</v>
      </c>
      <c r="G230" s="3" t="s">
        <v>183</v>
      </c>
      <c r="H230" s="3" t="s">
        <v>676</v>
      </c>
      <c r="I230" s="3" t="s">
        <v>68</v>
      </c>
    </row>
    <row r="231" spans="1:9" x14ac:dyDescent="0.2">
      <c r="A231">
        <v>18203</v>
      </c>
      <c r="B231" t="s">
        <v>678</v>
      </c>
      <c r="C231" t="s">
        <v>679</v>
      </c>
      <c r="D231" s="3" t="s">
        <v>372</v>
      </c>
      <c r="E231" s="3" t="s">
        <v>129</v>
      </c>
      <c r="F231" s="3" t="s">
        <v>527</v>
      </c>
      <c r="G231" s="3" t="s">
        <v>183</v>
      </c>
      <c r="H231" s="3" t="s">
        <v>678</v>
      </c>
      <c r="I231" s="3" t="s">
        <v>68</v>
      </c>
    </row>
    <row r="232" spans="1:9" x14ac:dyDescent="0.2">
      <c r="A232">
        <v>18204</v>
      </c>
      <c r="B232" t="s">
        <v>107</v>
      </c>
      <c r="C232" t="s">
        <v>133</v>
      </c>
      <c r="D232" s="3" t="s">
        <v>680</v>
      </c>
      <c r="E232" s="3" t="s">
        <v>129</v>
      </c>
      <c r="F232" s="3" t="s">
        <v>527</v>
      </c>
      <c r="G232" s="3" t="s">
        <v>183</v>
      </c>
      <c r="H232" s="3" t="s">
        <v>107</v>
      </c>
      <c r="I232" s="3" t="s">
        <v>68</v>
      </c>
    </row>
    <row r="233" spans="1:9" x14ac:dyDescent="0.2">
      <c r="A233">
        <v>18205</v>
      </c>
      <c r="B233" t="s">
        <v>681</v>
      </c>
      <c r="C233" t="s">
        <v>682</v>
      </c>
      <c r="D233" s="3" t="s">
        <v>683</v>
      </c>
      <c r="E233" s="3" t="s">
        <v>129</v>
      </c>
      <c r="F233" s="3" t="s">
        <v>527</v>
      </c>
      <c r="G233" s="3" t="s">
        <v>183</v>
      </c>
      <c r="H233" s="3" t="s">
        <v>681</v>
      </c>
      <c r="I233" s="3" t="s">
        <v>68</v>
      </c>
    </row>
    <row r="234" spans="1:9" x14ac:dyDescent="0.2">
      <c r="A234">
        <v>18206</v>
      </c>
      <c r="B234" t="s">
        <v>684</v>
      </c>
      <c r="C234" t="s">
        <v>685</v>
      </c>
      <c r="D234" s="3" t="s">
        <v>683</v>
      </c>
      <c r="E234" s="3" t="s">
        <v>129</v>
      </c>
      <c r="F234" s="3" t="s">
        <v>527</v>
      </c>
      <c r="G234" s="3" t="s">
        <v>183</v>
      </c>
      <c r="H234" s="3" t="s">
        <v>684</v>
      </c>
      <c r="I234" s="3" t="s">
        <v>68</v>
      </c>
    </row>
    <row r="235" spans="1:9" x14ac:dyDescent="0.2">
      <c r="A235">
        <v>18207</v>
      </c>
      <c r="B235" t="s">
        <v>686</v>
      </c>
      <c r="C235" t="s">
        <v>687</v>
      </c>
      <c r="D235" s="3" t="s">
        <v>688</v>
      </c>
      <c r="E235" s="3" t="s">
        <v>129</v>
      </c>
      <c r="F235" s="3" t="s">
        <v>527</v>
      </c>
      <c r="G235" s="3" t="s">
        <v>183</v>
      </c>
      <c r="H235" s="3" t="s">
        <v>686</v>
      </c>
      <c r="I235" s="3" t="s">
        <v>68</v>
      </c>
    </row>
    <row r="236" spans="1:9" x14ac:dyDescent="0.2">
      <c r="A236">
        <v>18208</v>
      </c>
      <c r="B236" t="s">
        <v>689</v>
      </c>
      <c r="C236" t="s">
        <v>690</v>
      </c>
      <c r="D236" s="3" t="s">
        <v>688</v>
      </c>
      <c r="E236" s="3" t="s">
        <v>129</v>
      </c>
      <c r="F236" s="3" t="s">
        <v>527</v>
      </c>
      <c r="G236" s="3" t="s">
        <v>183</v>
      </c>
      <c r="H236" s="3" t="s">
        <v>689</v>
      </c>
      <c r="I236" s="3" t="s">
        <v>68</v>
      </c>
    </row>
    <row r="237" spans="1:9" x14ac:dyDescent="0.2">
      <c r="A237">
        <v>18209</v>
      </c>
      <c r="B237" t="s">
        <v>691</v>
      </c>
      <c r="C237" t="s">
        <v>692</v>
      </c>
      <c r="D237" s="3" t="s">
        <v>623</v>
      </c>
      <c r="E237" s="3" t="s">
        <v>129</v>
      </c>
      <c r="F237" s="3" t="s">
        <v>527</v>
      </c>
      <c r="G237" s="3" t="s">
        <v>183</v>
      </c>
      <c r="H237" s="3" t="s">
        <v>691</v>
      </c>
      <c r="I237" s="3" t="s">
        <v>68</v>
      </c>
    </row>
    <row r="238" spans="1:9" x14ac:dyDescent="0.2">
      <c r="A238">
        <v>18210</v>
      </c>
      <c r="B238" t="s">
        <v>693</v>
      </c>
      <c r="C238" t="s">
        <v>694</v>
      </c>
      <c r="D238" s="3" t="s">
        <v>695</v>
      </c>
      <c r="E238" s="3" t="s">
        <v>129</v>
      </c>
      <c r="F238" s="3" t="s">
        <v>527</v>
      </c>
      <c r="G238" s="3" t="s">
        <v>183</v>
      </c>
      <c r="H238" s="3" t="s">
        <v>693</v>
      </c>
      <c r="I238" s="3" t="s">
        <v>68</v>
      </c>
    </row>
    <row r="239" spans="1:9" x14ac:dyDescent="0.2">
      <c r="A239">
        <v>18211</v>
      </c>
      <c r="B239" t="s">
        <v>696</v>
      </c>
      <c r="C239" t="s">
        <v>697</v>
      </c>
      <c r="D239" s="3" t="s">
        <v>372</v>
      </c>
      <c r="E239" s="3" t="s">
        <v>129</v>
      </c>
      <c r="F239" s="3" t="s">
        <v>527</v>
      </c>
      <c r="G239" s="3" t="s">
        <v>183</v>
      </c>
      <c r="H239" s="3" t="s">
        <v>696</v>
      </c>
      <c r="I239" s="3" t="s">
        <v>68</v>
      </c>
    </row>
    <row r="240" spans="1:9" x14ac:dyDescent="0.2">
      <c r="A240">
        <v>18212</v>
      </c>
      <c r="B240" t="s">
        <v>698</v>
      </c>
      <c r="C240" t="s">
        <v>699</v>
      </c>
      <c r="D240" s="3" t="s">
        <v>623</v>
      </c>
      <c r="E240" s="3" t="s">
        <v>129</v>
      </c>
      <c r="F240" s="3" t="s">
        <v>527</v>
      </c>
      <c r="G240" s="3" t="s">
        <v>183</v>
      </c>
      <c r="H240" s="3" t="s">
        <v>698</v>
      </c>
      <c r="I240" s="3" t="s">
        <v>68</v>
      </c>
    </row>
    <row r="241" spans="1:9" x14ac:dyDescent="0.2">
      <c r="A241">
        <v>18213</v>
      </c>
      <c r="B241" t="s">
        <v>700</v>
      </c>
      <c r="C241" t="s">
        <v>701</v>
      </c>
      <c r="D241" s="3" t="s">
        <v>623</v>
      </c>
      <c r="E241" s="3" t="s">
        <v>129</v>
      </c>
      <c r="F241" s="3" t="s">
        <v>527</v>
      </c>
      <c r="G241" s="3" t="s">
        <v>183</v>
      </c>
      <c r="H241" s="3" t="s">
        <v>700</v>
      </c>
      <c r="I241" s="3" t="s">
        <v>68</v>
      </c>
    </row>
    <row r="242" spans="1:9" x14ac:dyDescent="0.2">
      <c r="A242">
        <v>18214</v>
      </c>
      <c r="B242" t="s">
        <v>702</v>
      </c>
      <c r="C242" t="s">
        <v>703</v>
      </c>
      <c r="D242" s="3" t="s">
        <v>403</v>
      </c>
      <c r="E242" s="3" t="s">
        <v>129</v>
      </c>
      <c r="F242" s="3" t="s">
        <v>527</v>
      </c>
      <c r="G242" s="3" t="s">
        <v>183</v>
      </c>
      <c r="H242" s="3" t="s">
        <v>702</v>
      </c>
      <c r="I242" s="3" t="s">
        <v>68</v>
      </c>
    </row>
    <row r="243" spans="1:9" x14ac:dyDescent="0.2">
      <c r="A243">
        <v>18215</v>
      </c>
      <c r="B243" t="s">
        <v>704</v>
      </c>
      <c r="C243" t="s">
        <v>705</v>
      </c>
      <c r="D243" s="3" t="s">
        <v>403</v>
      </c>
      <c r="E243" s="3" t="s">
        <v>129</v>
      </c>
      <c r="F243" s="3" t="s">
        <v>527</v>
      </c>
      <c r="G243" s="3" t="s">
        <v>183</v>
      </c>
      <c r="H243" s="3" t="s">
        <v>704</v>
      </c>
      <c r="I243" s="3" t="s">
        <v>68</v>
      </c>
    </row>
    <row r="244" spans="1:9" x14ac:dyDescent="0.2">
      <c r="A244">
        <v>18216</v>
      </c>
      <c r="B244" t="s">
        <v>706</v>
      </c>
      <c r="C244" t="s">
        <v>707</v>
      </c>
      <c r="D244" s="3" t="s">
        <v>372</v>
      </c>
      <c r="E244" s="3" t="s">
        <v>129</v>
      </c>
      <c r="F244" s="3" t="s">
        <v>527</v>
      </c>
      <c r="G244" s="3" t="s">
        <v>183</v>
      </c>
      <c r="H244" s="3" t="s">
        <v>706</v>
      </c>
      <c r="I244" s="3" t="s">
        <v>68</v>
      </c>
    </row>
    <row r="245" spans="1:9" x14ac:dyDescent="0.2">
      <c r="A245">
        <v>18217</v>
      </c>
      <c r="B245" t="s">
        <v>708</v>
      </c>
      <c r="C245" t="s">
        <v>709</v>
      </c>
      <c r="D245" s="3" t="s">
        <v>372</v>
      </c>
      <c r="E245" s="3" t="s">
        <v>129</v>
      </c>
      <c r="F245" s="3" t="s">
        <v>527</v>
      </c>
      <c r="G245" s="3" t="s">
        <v>183</v>
      </c>
      <c r="H245" s="3" t="s">
        <v>708</v>
      </c>
      <c r="I245" s="3" t="s">
        <v>68</v>
      </c>
    </row>
    <row r="246" spans="1:9" x14ac:dyDescent="0.2">
      <c r="A246">
        <v>18218</v>
      </c>
      <c r="B246" t="s">
        <v>710</v>
      </c>
      <c r="C246" t="s">
        <v>711</v>
      </c>
      <c r="D246" s="3" t="s">
        <v>680</v>
      </c>
      <c r="E246" s="3" t="s">
        <v>129</v>
      </c>
      <c r="F246" s="3" t="s">
        <v>527</v>
      </c>
      <c r="G246" s="3" t="s">
        <v>183</v>
      </c>
      <c r="H246" s="3" t="s">
        <v>710</v>
      </c>
      <c r="I246" s="3" t="s">
        <v>68</v>
      </c>
    </row>
    <row r="247" spans="1:9" x14ac:dyDescent="0.2">
      <c r="A247">
        <v>18219</v>
      </c>
      <c r="B247" t="s">
        <v>712</v>
      </c>
      <c r="C247" t="s">
        <v>713</v>
      </c>
      <c r="D247" s="3" t="s">
        <v>680</v>
      </c>
      <c r="E247" s="3" t="s">
        <v>129</v>
      </c>
      <c r="F247" s="3" t="s">
        <v>527</v>
      </c>
      <c r="G247" s="3" t="s">
        <v>183</v>
      </c>
      <c r="H247" s="3" t="s">
        <v>712</v>
      </c>
      <c r="I247" s="3" t="s">
        <v>68</v>
      </c>
    </row>
    <row r="248" spans="1:9" x14ac:dyDescent="0.2">
      <c r="A248">
        <v>18220</v>
      </c>
      <c r="B248" t="s">
        <v>714</v>
      </c>
      <c r="C248" t="s">
        <v>715</v>
      </c>
      <c r="D248" s="3" t="s">
        <v>695</v>
      </c>
      <c r="E248" s="3" t="s">
        <v>129</v>
      </c>
      <c r="F248" s="3" t="s">
        <v>527</v>
      </c>
      <c r="G248" s="3" t="s">
        <v>183</v>
      </c>
      <c r="H248" s="3" t="s">
        <v>714</v>
      </c>
      <c r="I248" s="3" t="s">
        <v>68</v>
      </c>
    </row>
    <row r="249" spans="1:9" x14ac:dyDescent="0.2">
      <c r="A249">
        <v>18221</v>
      </c>
      <c r="B249" t="s">
        <v>716</v>
      </c>
      <c r="C249" t="s">
        <v>717</v>
      </c>
      <c r="D249" s="3" t="s">
        <v>695</v>
      </c>
      <c r="E249" s="3" t="s">
        <v>129</v>
      </c>
      <c r="F249" s="3" t="s">
        <v>527</v>
      </c>
      <c r="G249" s="3" t="s">
        <v>183</v>
      </c>
      <c r="H249" s="3" t="s">
        <v>716</v>
      </c>
      <c r="I249" s="3" t="s">
        <v>68</v>
      </c>
    </row>
    <row r="250" spans="1:9" x14ac:dyDescent="0.2">
      <c r="A250">
        <v>18222</v>
      </c>
      <c r="B250" t="s">
        <v>718</v>
      </c>
      <c r="C250" t="s">
        <v>719</v>
      </c>
      <c r="D250" s="3" t="s">
        <v>720</v>
      </c>
      <c r="E250" s="3" t="s">
        <v>129</v>
      </c>
      <c r="F250" s="3" t="s">
        <v>527</v>
      </c>
      <c r="G250" s="3" t="s">
        <v>183</v>
      </c>
      <c r="H250" s="3" t="s">
        <v>718</v>
      </c>
      <c r="I250" s="3" t="s">
        <v>68</v>
      </c>
    </row>
    <row r="251" spans="1:9" x14ac:dyDescent="0.2">
      <c r="A251">
        <v>18223</v>
      </c>
      <c r="B251" t="s">
        <v>721</v>
      </c>
      <c r="C251" t="s">
        <v>722</v>
      </c>
      <c r="D251" s="3" t="s">
        <v>720</v>
      </c>
      <c r="E251" s="3" t="s">
        <v>129</v>
      </c>
      <c r="F251" s="3" t="s">
        <v>527</v>
      </c>
      <c r="G251" s="3" t="s">
        <v>183</v>
      </c>
      <c r="H251" s="3" t="s">
        <v>721</v>
      </c>
      <c r="I251" s="3" t="s">
        <v>68</v>
      </c>
    </row>
    <row r="252" spans="1:9" x14ac:dyDescent="0.2">
      <c r="A252">
        <v>18224</v>
      </c>
      <c r="B252" t="s">
        <v>723</v>
      </c>
      <c r="C252" t="s">
        <v>724</v>
      </c>
      <c r="D252" s="3" t="s">
        <v>725</v>
      </c>
      <c r="E252" s="3" t="s">
        <v>129</v>
      </c>
      <c r="F252" s="3" t="s">
        <v>527</v>
      </c>
      <c r="G252" s="3" t="s">
        <v>183</v>
      </c>
      <c r="H252" s="3" t="s">
        <v>723</v>
      </c>
      <c r="I252" s="3" t="s">
        <v>68</v>
      </c>
    </row>
    <row r="253" spans="1:9" x14ac:dyDescent="0.2">
      <c r="A253">
        <v>18225</v>
      </c>
      <c r="B253" t="s">
        <v>726</v>
      </c>
      <c r="C253" t="s">
        <v>727</v>
      </c>
      <c r="D253" s="3" t="s">
        <v>725</v>
      </c>
      <c r="E253" s="3" t="s">
        <v>129</v>
      </c>
      <c r="F253" s="3" t="s">
        <v>527</v>
      </c>
      <c r="G253" s="3" t="s">
        <v>183</v>
      </c>
      <c r="H253" s="3" t="s">
        <v>726</v>
      </c>
      <c r="I253" s="3" t="s">
        <v>68</v>
      </c>
    </row>
    <row r="254" spans="1:9" x14ac:dyDescent="0.2">
      <c r="A254">
        <v>18226</v>
      </c>
      <c r="B254" t="s">
        <v>728</v>
      </c>
      <c r="C254" t="s">
        <v>729</v>
      </c>
      <c r="D254" s="3" t="s">
        <v>730</v>
      </c>
      <c r="E254" s="3" t="s">
        <v>129</v>
      </c>
      <c r="F254" s="3" t="s">
        <v>527</v>
      </c>
      <c r="G254" s="3" t="s">
        <v>183</v>
      </c>
      <c r="H254" s="3" t="s">
        <v>728</v>
      </c>
      <c r="I254" s="3" t="s">
        <v>68</v>
      </c>
    </row>
    <row r="255" spans="1:9" x14ac:dyDescent="0.2">
      <c r="A255">
        <v>18227</v>
      </c>
      <c r="B255" t="s">
        <v>731</v>
      </c>
      <c r="C255" t="s">
        <v>732</v>
      </c>
      <c r="D255" s="3" t="s">
        <v>427</v>
      </c>
      <c r="E255" s="3" t="s">
        <v>129</v>
      </c>
      <c r="F255" s="3" t="s">
        <v>527</v>
      </c>
      <c r="G255" s="3" t="s">
        <v>183</v>
      </c>
      <c r="H255" s="3" t="s">
        <v>731</v>
      </c>
      <c r="I255" s="3" t="s">
        <v>68</v>
      </c>
    </row>
    <row r="256" spans="1:9" x14ac:dyDescent="0.2">
      <c r="A256">
        <v>18228</v>
      </c>
      <c r="B256" t="s">
        <v>733</v>
      </c>
      <c r="C256" t="s">
        <v>734</v>
      </c>
      <c r="D256" s="3" t="s">
        <v>427</v>
      </c>
      <c r="E256" s="3" t="s">
        <v>129</v>
      </c>
      <c r="F256" s="3" t="s">
        <v>527</v>
      </c>
      <c r="G256" s="3" t="s">
        <v>183</v>
      </c>
      <c r="H256" s="3" t="s">
        <v>733</v>
      </c>
      <c r="I256" s="3" t="s">
        <v>68</v>
      </c>
    </row>
    <row r="257" spans="1:9" x14ac:dyDescent="0.2">
      <c r="A257">
        <v>18229</v>
      </c>
      <c r="B257" t="s">
        <v>735</v>
      </c>
      <c r="C257" t="s">
        <v>736</v>
      </c>
      <c r="D257" s="3" t="s">
        <v>182</v>
      </c>
      <c r="E257" s="3" t="s">
        <v>129</v>
      </c>
      <c r="F257" s="3" t="s">
        <v>527</v>
      </c>
      <c r="G257" s="3" t="s">
        <v>183</v>
      </c>
      <c r="H257" s="3" t="s">
        <v>735</v>
      </c>
      <c r="I257" s="3" t="s">
        <v>68</v>
      </c>
    </row>
    <row r="258" spans="1:9" x14ac:dyDescent="0.2">
      <c r="A258">
        <v>18230</v>
      </c>
      <c r="B258" t="s">
        <v>737</v>
      </c>
      <c r="C258" t="s">
        <v>738</v>
      </c>
      <c r="D258" s="3" t="s">
        <v>182</v>
      </c>
      <c r="E258" s="3" t="s">
        <v>129</v>
      </c>
      <c r="F258" s="3" t="s">
        <v>527</v>
      </c>
      <c r="G258" s="3" t="s">
        <v>183</v>
      </c>
      <c r="H258" s="3" t="s">
        <v>737</v>
      </c>
      <c r="I258" s="3" t="s">
        <v>68</v>
      </c>
    </row>
    <row r="259" spans="1:9" x14ac:dyDescent="0.2">
      <c r="A259">
        <v>18231</v>
      </c>
      <c r="B259" t="s">
        <v>739</v>
      </c>
      <c r="C259" t="s">
        <v>740</v>
      </c>
      <c r="D259" s="3" t="s">
        <v>623</v>
      </c>
      <c r="E259" s="3" t="s">
        <v>129</v>
      </c>
      <c r="F259" s="3" t="s">
        <v>527</v>
      </c>
      <c r="G259" s="3" t="s">
        <v>183</v>
      </c>
      <c r="H259" s="3" t="s">
        <v>739</v>
      </c>
      <c r="I259" s="3" t="s">
        <v>68</v>
      </c>
    </row>
    <row r="260" spans="1:9" x14ac:dyDescent="0.2">
      <c r="A260">
        <v>18232</v>
      </c>
      <c r="B260" t="s">
        <v>741</v>
      </c>
      <c r="C260" t="s">
        <v>742</v>
      </c>
      <c r="D260" s="3" t="s">
        <v>372</v>
      </c>
      <c r="E260" s="3" t="s">
        <v>129</v>
      </c>
      <c r="F260" s="3" t="s">
        <v>527</v>
      </c>
      <c r="G260" s="3" t="s">
        <v>183</v>
      </c>
      <c r="H260" s="3" t="s">
        <v>741</v>
      </c>
      <c r="I260" s="3" t="s">
        <v>68</v>
      </c>
    </row>
    <row r="261" spans="1:9" x14ac:dyDescent="0.2">
      <c r="A261">
        <v>18233</v>
      </c>
      <c r="B261" t="s">
        <v>743</v>
      </c>
      <c r="C261" t="s">
        <v>744</v>
      </c>
      <c r="D261" s="3" t="s">
        <v>372</v>
      </c>
      <c r="E261" s="3" t="s">
        <v>129</v>
      </c>
      <c r="F261" s="3" t="s">
        <v>527</v>
      </c>
      <c r="G261" s="3" t="s">
        <v>183</v>
      </c>
      <c r="H261" s="3" t="s">
        <v>743</v>
      </c>
      <c r="I261" s="3" t="s">
        <v>68</v>
      </c>
    </row>
    <row r="262" spans="1:9" x14ac:dyDescent="0.2">
      <c r="A262">
        <v>18234</v>
      </c>
      <c r="B262" t="s">
        <v>745</v>
      </c>
      <c r="C262" t="s">
        <v>746</v>
      </c>
      <c r="D262" s="3" t="s">
        <v>747</v>
      </c>
      <c r="E262" s="3" t="s">
        <v>129</v>
      </c>
      <c r="F262" s="3" t="s">
        <v>527</v>
      </c>
      <c r="G262" s="3" t="s">
        <v>183</v>
      </c>
      <c r="H262" s="3" t="s">
        <v>745</v>
      </c>
      <c r="I262" s="3" t="s">
        <v>68</v>
      </c>
    </row>
    <row r="263" spans="1:9" x14ac:dyDescent="0.2">
      <c r="A263">
        <v>18235</v>
      </c>
      <c r="B263" t="s">
        <v>748</v>
      </c>
      <c r="C263" t="s">
        <v>749</v>
      </c>
      <c r="D263" s="3" t="s">
        <v>747</v>
      </c>
      <c r="E263" s="3" t="s">
        <v>129</v>
      </c>
      <c r="F263" s="3" t="s">
        <v>527</v>
      </c>
      <c r="G263" s="3" t="s">
        <v>183</v>
      </c>
      <c r="H263" s="3" t="s">
        <v>748</v>
      </c>
      <c r="I263" s="3" t="s">
        <v>68</v>
      </c>
    </row>
    <row r="264" spans="1:9" x14ac:dyDescent="0.2">
      <c r="A264">
        <v>18236</v>
      </c>
      <c r="B264" t="s">
        <v>750</v>
      </c>
      <c r="C264" t="s">
        <v>751</v>
      </c>
      <c r="D264" s="3" t="s">
        <v>695</v>
      </c>
      <c r="E264" s="3" t="s">
        <v>129</v>
      </c>
      <c r="F264" s="3" t="s">
        <v>527</v>
      </c>
      <c r="G264" s="3" t="s">
        <v>183</v>
      </c>
      <c r="H264" s="3" t="s">
        <v>750</v>
      </c>
      <c r="I264" s="3" t="s">
        <v>68</v>
      </c>
    </row>
    <row r="265" spans="1:9" x14ac:dyDescent="0.2">
      <c r="A265">
        <v>18237</v>
      </c>
      <c r="B265" t="s">
        <v>752</v>
      </c>
      <c r="C265" t="s">
        <v>753</v>
      </c>
      <c r="D265" s="3" t="s">
        <v>720</v>
      </c>
      <c r="E265" s="3" t="s">
        <v>129</v>
      </c>
      <c r="F265" s="3" t="s">
        <v>527</v>
      </c>
      <c r="G265" s="3" t="s">
        <v>183</v>
      </c>
      <c r="H265" s="3" t="s">
        <v>752</v>
      </c>
      <c r="I265" s="3" t="s">
        <v>68</v>
      </c>
    </row>
    <row r="266" spans="1:9" x14ac:dyDescent="0.2">
      <c r="A266">
        <v>18238</v>
      </c>
      <c r="B266" t="s">
        <v>754</v>
      </c>
      <c r="C266" t="s">
        <v>755</v>
      </c>
      <c r="D266" s="3" t="s">
        <v>756</v>
      </c>
      <c r="E266" s="3" t="s">
        <v>129</v>
      </c>
      <c r="F266" s="3" t="s">
        <v>527</v>
      </c>
      <c r="G266" s="3" t="s">
        <v>183</v>
      </c>
      <c r="H266" s="3" t="s">
        <v>754</v>
      </c>
      <c r="I266" s="3" t="s">
        <v>68</v>
      </c>
    </row>
    <row r="267" spans="1:9" x14ac:dyDescent="0.2">
      <c r="A267">
        <v>18239</v>
      </c>
      <c r="B267" t="s">
        <v>757</v>
      </c>
      <c r="C267" t="s">
        <v>758</v>
      </c>
      <c r="D267" s="3" t="s">
        <v>756</v>
      </c>
      <c r="E267" s="3" t="s">
        <v>129</v>
      </c>
      <c r="F267" s="3" t="s">
        <v>527</v>
      </c>
      <c r="G267" s="3" t="s">
        <v>183</v>
      </c>
      <c r="H267" s="3" t="s">
        <v>757</v>
      </c>
      <c r="I267" s="3" t="s">
        <v>68</v>
      </c>
    </row>
    <row r="268" spans="1:9" x14ac:dyDescent="0.2">
      <c r="A268">
        <v>18240</v>
      </c>
      <c r="B268" t="s">
        <v>759</v>
      </c>
      <c r="C268" t="s">
        <v>760</v>
      </c>
      <c r="D268" s="3" t="s">
        <v>182</v>
      </c>
      <c r="E268" s="3" t="s">
        <v>129</v>
      </c>
      <c r="F268" s="3" t="s">
        <v>527</v>
      </c>
      <c r="G268" s="3" t="s">
        <v>183</v>
      </c>
      <c r="H268" s="3" t="s">
        <v>759</v>
      </c>
      <c r="I268" s="3" t="s">
        <v>68</v>
      </c>
    </row>
    <row r="269" spans="1:9" x14ac:dyDescent="0.2">
      <c r="A269">
        <v>18241</v>
      </c>
      <c r="B269" t="s">
        <v>761</v>
      </c>
      <c r="C269" t="s">
        <v>762</v>
      </c>
      <c r="D269" s="3" t="s">
        <v>763</v>
      </c>
      <c r="E269" s="3" t="s">
        <v>129</v>
      </c>
      <c r="F269" s="3" t="s">
        <v>527</v>
      </c>
      <c r="G269" s="3" t="s">
        <v>183</v>
      </c>
      <c r="H269" s="3" t="s">
        <v>761</v>
      </c>
      <c r="I269" s="3" t="s">
        <v>68</v>
      </c>
    </row>
    <row r="270" spans="1:9" x14ac:dyDescent="0.2">
      <c r="A270">
        <v>18242</v>
      </c>
      <c r="B270" t="s">
        <v>764</v>
      </c>
      <c r="C270" t="s">
        <v>765</v>
      </c>
      <c r="D270" s="3" t="s">
        <v>763</v>
      </c>
      <c r="E270" s="3" t="s">
        <v>129</v>
      </c>
      <c r="F270" s="3" t="s">
        <v>527</v>
      </c>
      <c r="G270" s="3" t="s">
        <v>183</v>
      </c>
      <c r="H270" s="3" t="s">
        <v>764</v>
      </c>
      <c r="I270" s="3" t="s">
        <v>68</v>
      </c>
    </row>
    <row r="271" spans="1:9" x14ac:dyDescent="0.2">
      <c r="A271">
        <v>18243</v>
      </c>
      <c r="B271" t="s">
        <v>766</v>
      </c>
      <c r="C271" t="s">
        <v>767</v>
      </c>
      <c r="D271" s="3" t="s">
        <v>768</v>
      </c>
      <c r="E271" s="3" t="s">
        <v>129</v>
      </c>
      <c r="F271" s="3" t="s">
        <v>527</v>
      </c>
      <c r="G271" s="3" t="s">
        <v>183</v>
      </c>
      <c r="H271" s="3" t="s">
        <v>766</v>
      </c>
      <c r="I271" s="3" t="s">
        <v>68</v>
      </c>
    </row>
    <row r="272" spans="1:9" x14ac:dyDescent="0.2">
      <c r="A272">
        <v>18244</v>
      </c>
      <c r="B272" t="s">
        <v>769</v>
      </c>
      <c r="C272" t="s">
        <v>770</v>
      </c>
      <c r="D272" s="3" t="s">
        <v>768</v>
      </c>
      <c r="E272" s="3" t="s">
        <v>129</v>
      </c>
      <c r="F272" s="3" t="s">
        <v>527</v>
      </c>
      <c r="G272" s="3" t="s">
        <v>183</v>
      </c>
      <c r="H272" s="3" t="s">
        <v>769</v>
      </c>
      <c r="I272" s="3" t="s">
        <v>68</v>
      </c>
    </row>
    <row r="273" spans="1:9" x14ac:dyDescent="0.2">
      <c r="A273">
        <v>18245</v>
      </c>
      <c r="B273" t="s">
        <v>771</v>
      </c>
      <c r="C273" t="s">
        <v>772</v>
      </c>
      <c r="D273" s="3" t="s">
        <v>773</v>
      </c>
      <c r="E273" s="3" t="s">
        <v>129</v>
      </c>
      <c r="F273" s="3" t="s">
        <v>527</v>
      </c>
      <c r="G273" s="3" t="s">
        <v>183</v>
      </c>
      <c r="H273" s="3" t="s">
        <v>771</v>
      </c>
      <c r="I273" s="3" t="s">
        <v>68</v>
      </c>
    </row>
    <row r="274" spans="1:9" x14ac:dyDescent="0.2">
      <c r="A274">
        <v>18246</v>
      </c>
      <c r="B274" t="s">
        <v>774</v>
      </c>
      <c r="C274" t="s">
        <v>775</v>
      </c>
      <c r="D274" s="3" t="s">
        <v>773</v>
      </c>
      <c r="E274" s="3" t="s">
        <v>129</v>
      </c>
      <c r="F274" s="3" t="s">
        <v>527</v>
      </c>
      <c r="G274" s="3" t="s">
        <v>183</v>
      </c>
      <c r="H274" s="3" t="s">
        <v>774</v>
      </c>
      <c r="I274" s="3" t="s">
        <v>68</v>
      </c>
    </row>
    <row r="275" spans="1:9" x14ac:dyDescent="0.2">
      <c r="A275">
        <v>18247</v>
      </c>
      <c r="B275" t="s">
        <v>776</v>
      </c>
      <c r="C275" t="s">
        <v>777</v>
      </c>
      <c r="D275" s="3" t="s">
        <v>778</v>
      </c>
      <c r="E275" s="3" t="s">
        <v>129</v>
      </c>
      <c r="F275" s="3" t="s">
        <v>527</v>
      </c>
      <c r="G275" s="3" t="s">
        <v>183</v>
      </c>
      <c r="H275" s="3" t="s">
        <v>776</v>
      </c>
      <c r="I275" s="3" t="s">
        <v>68</v>
      </c>
    </row>
    <row r="276" spans="1:9" x14ac:dyDescent="0.2">
      <c r="A276">
        <v>18248</v>
      </c>
      <c r="B276" t="s">
        <v>779</v>
      </c>
      <c r="C276" t="s">
        <v>780</v>
      </c>
      <c r="D276" s="3" t="s">
        <v>778</v>
      </c>
      <c r="E276" s="3" t="s">
        <v>129</v>
      </c>
      <c r="F276" s="3" t="s">
        <v>527</v>
      </c>
      <c r="G276" s="3" t="s">
        <v>183</v>
      </c>
      <c r="H276" s="3" t="s">
        <v>779</v>
      </c>
      <c r="I276" s="3" t="s">
        <v>68</v>
      </c>
    </row>
    <row r="277" spans="1:9" x14ac:dyDescent="0.2">
      <c r="A277">
        <v>18249</v>
      </c>
      <c r="B277" t="s">
        <v>781</v>
      </c>
      <c r="C277" t="s">
        <v>782</v>
      </c>
      <c r="D277" s="3" t="s">
        <v>783</v>
      </c>
      <c r="E277" s="3" t="s">
        <v>129</v>
      </c>
      <c r="F277" s="3" t="s">
        <v>527</v>
      </c>
      <c r="G277" s="3" t="s">
        <v>183</v>
      </c>
      <c r="H277" s="3" t="s">
        <v>781</v>
      </c>
      <c r="I277" s="3" t="s">
        <v>68</v>
      </c>
    </row>
    <row r="278" spans="1:9" x14ac:dyDescent="0.2">
      <c r="A278">
        <v>18250</v>
      </c>
      <c r="B278" t="s">
        <v>109</v>
      </c>
      <c r="C278" t="s">
        <v>135</v>
      </c>
      <c r="D278" s="3" t="s">
        <v>783</v>
      </c>
      <c r="E278" s="3" t="s">
        <v>129</v>
      </c>
      <c r="F278" s="3" t="s">
        <v>527</v>
      </c>
      <c r="G278" s="3" t="s">
        <v>183</v>
      </c>
      <c r="H278" s="3" t="s">
        <v>109</v>
      </c>
      <c r="I278" s="3" t="s">
        <v>68</v>
      </c>
    </row>
    <row r="279" spans="1:9" x14ac:dyDescent="0.2">
      <c r="A279">
        <v>18251</v>
      </c>
      <c r="B279" t="s">
        <v>784</v>
      </c>
      <c r="C279" t="s">
        <v>785</v>
      </c>
      <c r="D279" s="3" t="s">
        <v>786</v>
      </c>
      <c r="E279" s="3" t="s">
        <v>129</v>
      </c>
      <c r="F279" s="3" t="s">
        <v>527</v>
      </c>
      <c r="G279" s="3" t="s">
        <v>183</v>
      </c>
      <c r="H279" s="3" t="s">
        <v>784</v>
      </c>
      <c r="I279" s="3" t="s">
        <v>68</v>
      </c>
    </row>
    <row r="280" spans="1:9" x14ac:dyDescent="0.2">
      <c r="A280">
        <v>18252</v>
      </c>
      <c r="B280" t="s">
        <v>787</v>
      </c>
      <c r="C280" t="s">
        <v>788</v>
      </c>
      <c r="D280" s="3" t="s">
        <v>786</v>
      </c>
      <c r="E280" s="3" t="s">
        <v>129</v>
      </c>
      <c r="F280" s="3" t="s">
        <v>527</v>
      </c>
      <c r="G280" s="3" t="s">
        <v>183</v>
      </c>
      <c r="H280" s="3" t="s">
        <v>787</v>
      </c>
      <c r="I280" s="3" t="s">
        <v>68</v>
      </c>
    </row>
    <row r="281" spans="1:9" x14ac:dyDescent="0.2">
      <c r="A281">
        <v>18253</v>
      </c>
      <c r="B281" t="s">
        <v>789</v>
      </c>
      <c r="C281" t="s">
        <v>790</v>
      </c>
      <c r="D281" s="3" t="s">
        <v>791</v>
      </c>
      <c r="E281" s="3" t="s">
        <v>129</v>
      </c>
      <c r="F281" s="3" t="s">
        <v>527</v>
      </c>
      <c r="G281" s="3" t="s">
        <v>183</v>
      </c>
      <c r="H281" s="3" t="s">
        <v>789</v>
      </c>
      <c r="I281" s="3" t="s">
        <v>68</v>
      </c>
    </row>
    <row r="282" spans="1:9" x14ac:dyDescent="0.2">
      <c r="A282">
        <v>18254</v>
      </c>
      <c r="B282" t="s">
        <v>792</v>
      </c>
      <c r="C282" t="s">
        <v>793</v>
      </c>
      <c r="D282" s="3" t="s">
        <v>791</v>
      </c>
      <c r="E282" s="3" t="s">
        <v>129</v>
      </c>
      <c r="F282" s="3" t="s">
        <v>527</v>
      </c>
      <c r="G282" s="3" t="s">
        <v>183</v>
      </c>
      <c r="H282" s="3" t="s">
        <v>792</v>
      </c>
      <c r="I282" s="3" t="s">
        <v>68</v>
      </c>
    </row>
    <row r="283" spans="1:9" x14ac:dyDescent="0.2">
      <c r="A283">
        <v>18255</v>
      </c>
      <c r="B283" t="s">
        <v>794</v>
      </c>
      <c r="C283" t="s">
        <v>795</v>
      </c>
      <c r="D283" s="3" t="s">
        <v>796</v>
      </c>
      <c r="E283" s="3" t="s">
        <v>129</v>
      </c>
      <c r="F283" s="3" t="s">
        <v>527</v>
      </c>
      <c r="G283" s="3" t="s">
        <v>183</v>
      </c>
      <c r="H283" s="3" t="s">
        <v>794</v>
      </c>
      <c r="I283" s="3" t="s">
        <v>68</v>
      </c>
    </row>
    <row r="284" spans="1:9" x14ac:dyDescent="0.2">
      <c r="A284">
        <v>18256</v>
      </c>
      <c r="B284" t="s">
        <v>797</v>
      </c>
      <c r="C284" t="s">
        <v>798</v>
      </c>
      <c r="D284" s="3" t="s">
        <v>796</v>
      </c>
      <c r="E284" s="3" t="s">
        <v>129</v>
      </c>
      <c r="F284" s="3" t="s">
        <v>527</v>
      </c>
      <c r="G284" s="3" t="s">
        <v>183</v>
      </c>
      <c r="H284" s="3" t="s">
        <v>797</v>
      </c>
      <c r="I284" s="3" t="s">
        <v>68</v>
      </c>
    </row>
    <row r="285" spans="1:9" x14ac:dyDescent="0.2">
      <c r="A285">
        <v>18257</v>
      </c>
      <c r="B285" t="s">
        <v>799</v>
      </c>
      <c r="C285" t="s">
        <v>800</v>
      </c>
      <c r="D285" s="3" t="s">
        <v>801</v>
      </c>
      <c r="E285" s="3" t="s">
        <v>129</v>
      </c>
      <c r="F285" s="3" t="s">
        <v>527</v>
      </c>
      <c r="G285" s="3" t="s">
        <v>183</v>
      </c>
      <c r="H285" s="3" t="s">
        <v>799</v>
      </c>
      <c r="I285" s="3" t="s">
        <v>68</v>
      </c>
    </row>
    <row r="286" spans="1:9" x14ac:dyDescent="0.2">
      <c r="A286">
        <v>18258</v>
      </c>
      <c r="B286" t="s">
        <v>802</v>
      </c>
      <c r="C286" t="s">
        <v>803</v>
      </c>
      <c r="D286" s="3" t="s">
        <v>801</v>
      </c>
      <c r="E286" s="3" t="s">
        <v>129</v>
      </c>
      <c r="F286" s="3" t="s">
        <v>527</v>
      </c>
      <c r="G286" s="3" t="s">
        <v>183</v>
      </c>
      <c r="H286" s="3" t="s">
        <v>802</v>
      </c>
      <c r="I286" s="3" t="s">
        <v>68</v>
      </c>
    </row>
    <row r="287" spans="1:9" x14ac:dyDescent="0.2">
      <c r="A287">
        <v>18259</v>
      </c>
      <c r="B287" t="s">
        <v>804</v>
      </c>
      <c r="C287" t="s">
        <v>805</v>
      </c>
      <c r="D287" s="3" t="s">
        <v>410</v>
      </c>
      <c r="E287" s="3" t="s">
        <v>129</v>
      </c>
      <c r="F287" s="3" t="s">
        <v>527</v>
      </c>
      <c r="G287" s="3" t="s">
        <v>183</v>
      </c>
      <c r="H287" s="3" t="s">
        <v>804</v>
      </c>
      <c r="I287" s="3" t="s">
        <v>68</v>
      </c>
    </row>
    <row r="288" spans="1:9" x14ac:dyDescent="0.2">
      <c r="A288">
        <v>18260</v>
      </c>
      <c r="B288" t="s">
        <v>806</v>
      </c>
      <c r="C288" t="s">
        <v>807</v>
      </c>
      <c r="D288" s="3" t="s">
        <v>410</v>
      </c>
      <c r="E288" s="3" t="s">
        <v>129</v>
      </c>
      <c r="F288" s="3" t="s">
        <v>527</v>
      </c>
      <c r="G288" s="3" t="s">
        <v>183</v>
      </c>
      <c r="H288" s="3" t="s">
        <v>806</v>
      </c>
      <c r="I288" s="3" t="s">
        <v>68</v>
      </c>
    </row>
    <row r="289" spans="1:9" x14ac:dyDescent="0.2">
      <c r="A289">
        <v>18261</v>
      </c>
      <c r="B289" t="s">
        <v>808</v>
      </c>
      <c r="C289" t="s">
        <v>809</v>
      </c>
      <c r="D289" s="3" t="s">
        <v>810</v>
      </c>
      <c r="E289" s="3" t="s">
        <v>129</v>
      </c>
      <c r="F289" s="3" t="s">
        <v>527</v>
      </c>
      <c r="G289" s="3" t="s">
        <v>183</v>
      </c>
      <c r="H289" s="3" t="s">
        <v>808</v>
      </c>
      <c r="I289" s="3" t="s">
        <v>68</v>
      </c>
    </row>
    <row r="290" spans="1:9" x14ac:dyDescent="0.2">
      <c r="A290">
        <v>18262</v>
      </c>
      <c r="B290" t="s">
        <v>811</v>
      </c>
      <c r="C290" t="s">
        <v>812</v>
      </c>
      <c r="D290" s="3" t="s">
        <v>810</v>
      </c>
      <c r="E290" s="3" t="s">
        <v>129</v>
      </c>
      <c r="F290" s="3" t="s">
        <v>527</v>
      </c>
      <c r="G290" s="3" t="s">
        <v>183</v>
      </c>
      <c r="H290" s="3" t="s">
        <v>811</v>
      </c>
      <c r="I290" s="3" t="s">
        <v>68</v>
      </c>
    </row>
    <row r="291" spans="1:9" x14ac:dyDescent="0.2">
      <c r="A291">
        <v>18263</v>
      </c>
      <c r="B291" t="s">
        <v>813</v>
      </c>
      <c r="C291" t="s">
        <v>814</v>
      </c>
      <c r="D291" s="3" t="s">
        <v>415</v>
      </c>
      <c r="E291" s="3" t="s">
        <v>129</v>
      </c>
      <c r="F291" s="3" t="s">
        <v>527</v>
      </c>
      <c r="G291" s="3" t="s">
        <v>183</v>
      </c>
      <c r="H291" s="3" t="s">
        <v>813</v>
      </c>
      <c r="I291" s="3" t="s">
        <v>68</v>
      </c>
    </row>
    <row r="292" spans="1:9" x14ac:dyDescent="0.2">
      <c r="A292">
        <v>18264</v>
      </c>
      <c r="B292" t="s">
        <v>815</v>
      </c>
      <c r="C292" t="s">
        <v>816</v>
      </c>
      <c r="D292" s="3" t="s">
        <v>415</v>
      </c>
      <c r="E292" s="3" t="s">
        <v>129</v>
      </c>
      <c r="F292" s="3" t="s">
        <v>527</v>
      </c>
      <c r="G292" s="3" t="s">
        <v>183</v>
      </c>
      <c r="H292" s="3" t="s">
        <v>815</v>
      </c>
      <c r="I292" s="3" t="s">
        <v>68</v>
      </c>
    </row>
    <row r="293" spans="1:9" x14ac:dyDescent="0.2">
      <c r="A293">
        <v>18265</v>
      </c>
      <c r="B293" t="s">
        <v>817</v>
      </c>
      <c r="C293" t="s">
        <v>818</v>
      </c>
      <c r="D293" s="3" t="s">
        <v>695</v>
      </c>
      <c r="E293" s="3" t="s">
        <v>129</v>
      </c>
      <c r="F293" s="3" t="s">
        <v>527</v>
      </c>
      <c r="G293" s="3" t="s">
        <v>183</v>
      </c>
      <c r="H293" s="3" t="s">
        <v>817</v>
      </c>
      <c r="I293" s="3" t="s">
        <v>68</v>
      </c>
    </row>
    <row r="294" spans="1:9" x14ac:dyDescent="0.2">
      <c r="A294">
        <v>18266</v>
      </c>
      <c r="B294" t="s">
        <v>819</v>
      </c>
      <c r="C294" t="s">
        <v>820</v>
      </c>
      <c r="D294" s="3" t="s">
        <v>695</v>
      </c>
      <c r="E294" s="3" t="s">
        <v>129</v>
      </c>
      <c r="F294" s="3" t="s">
        <v>527</v>
      </c>
      <c r="G294" s="3" t="s">
        <v>183</v>
      </c>
      <c r="H294" s="3" t="s">
        <v>819</v>
      </c>
      <c r="I294" s="3" t="s">
        <v>68</v>
      </c>
    </row>
    <row r="295" spans="1:9" x14ac:dyDescent="0.2">
      <c r="A295">
        <v>18267</v>
      </c>
      <c r="B295" t="s">
        <v>821</v>
      </c>
      <c r="C295" t="s">
        <v>822</v>
      </c>
      <c r="D295" s="3" t="s">
        <v>823</v>
      </c>
      <c r="E295" s="3" t="s">
        <v>129</v>
      </c>
      <c r="F295" s="3" t="s">
        <v>527</v>
      </c>
      <c r="G295" s="3" t="s">
        <v>183</v>
      </c>
      <c r="H295" s="3" t="s">
        <v>821</v>
      </c>
      <c r="I295" s="3" t="s">
        <v>68</v>
      </c>
    </row>
    <row r="296" spans="1:9" x14ac:dyDescent="0.2">
      <c r="A296">
        <v>18268</v>
      </c>
      <c r="B296" t="s">
        <v>824</v>
      </c>
      <c r="C296" t="s">
        <v>825</v>
      </c>
      <c r="D296" s="3" t="s">
        <v>823</v>
      </c>
      <c r="E296" s="3" t="s">
        <v>129</v>
      </c>
      <c r="F296" s="3" t="s">
        <v>527</v>
      </c>
      <c r="G296" s="3" t="s">
        <v>183</v>
      </c>
      <c r="H296" s="3" t="s">
        <v>824</v>
      </c>
      <c r="I296" s="3" t="s">
        <v>68</v>
      </c>
    </row>
    <row r="297" spans="1:9" x14ac:dyDescent="0.2">
      <c r="A297">
        <v>18269</v>
      </c>
      <c r="B297" t="s">
        <v>826</v>
      </c>
      <c r="C297" t="s">
        <v>827</v>
      </c>
      <c r="D297" s="3" t="s">
        <v>828</v>
      </c>
      <c r="E297" s="3" t="s">
        <v>129</v>
      </c>
      <c r="F297" s="3" t="s">
        <v>527</v>
      </c>
      <c r="G297" s="3" t="s">
        <v>183</v>
      </c>
      <c r="H297" s="3" t="s">
        <v>826</v>
      </c>
      <c r="I297" s="3" t="s">
        <v>68</v>
      </c>
    </row>
    <row r="298" spans="1:9" x14ac:dyDescent="0.2">
      <c r="A298">
        <v>18270</v>
      </c>
      <c r="B298" t="s">
        <v>829</v>
      </c>
      <c r="C298" t="s">
        <v>830</v>
      </c>
      <c r="D298" s="3" t="s">
        <v>828</v>
      </c>
      <c r="E298" s="3" t="s">
        <v>129</v>
      </c>
      <c r="F298" s="3" t="s">
        <v>527</v>
      </c>
      <c r="G298" s="3" t="s">
        <v>183</v>
      </c>
      <c r="H298" s="3" t="s">
        <v>829</v>
      </c>
      <c r="I298" s="3" t="s">
        <v>68</v>
      </c>
    </row>
    <row r="299" spans="1:9" x14ac:dyDescent="0.2">
      <c r="A299">
        <v>18271</v>
      </c>
      <c r="B299" t="s">
        <v>831</v>
      </c>
      <c r="C299" t="s">
        <v>832</v>
      </c>
      <c r="D299" s="3" t="s">
        <v>833</v>
      </c>
      <c r="E299" s="3" t="s">
        <v>129</v>
      </c>
      <c r="F299" s="3" t="s">
        <v>527</v>
      </c>
      <c r="G299" s="3" t="s">
        <v>183</v>
      </c>
      <c r="H299" s="3" t="s">
        <v>831</v>
      </c>
      <c r="I299" s="3" t="s">
        <v>68</v>
      </c>
    </row>
    <row r="300" spans="1:9" x14ac:dyDescent="0.2">
      <c r="A300">
        <v>18272</v>
      </c>
      <c r="B300" t="s">
        <v>834</v>
      </c>
      <c r="C300" t="s">
        <v>835</v>
      </c>
      <c r="D300" s="3" t="s">
        <v>833</v>
      </c>
      <c r="E300" s="3" t="s">
        <v>129</v>
      </c>
      <c r="F300" s="3" t="s">
        <v>527</v>
      </c>
      <c r="G300" s="3" t="s">
        <v>183</v>
      </c>
      <c r="H300" s="3" t="s">
        <v>834</v>
      </c>
      <c r="I300" s="3" t="s">
        <v>68</v>
      </c>
    </row>
    <row r="301" spans="1:9" x14ac:dyDescent="0.2">
      <c r="A301">
        <v>18273</v>
      </c>
      <c r="B301" t="s">
        <v>836</v>
      </c>
      <c r="C301" t="s">
        <v>837</v>
      </c>
      <c r="D301" s="3" t="s">
        <v>838</v>
      </c>
      <c r="E301" s="3" t="s">
        <v>129</v>
      </c>
      <c r="F301" s="3" t="s">
        <v>527</v>
      </c>
      <c r="G301" s="3" t="s">
        <v>183</v>
      </c>
      <c r="H301" s="3" t="s">
        <v>836</v>
      </c>
      <c r="I301" s="3" t="s">
        <v>68</v>
      </c>
    </row>
    <row r="302" spans="1:9" x14ac:dyDescent="0.2">
      <c r="A302">
        <v>18274</v>
      </c>
      <c r="B302" t="s">
        <v>839</v>
      </c>
      <c r="C302" t="s">
        <v>840</v>
      </c>
      <c r="D302" s="3" t="s">
        <v>838</v>
      </c>
      <c r="E302" s="3" t="s">
        <v>129</v>
      </c>
      <c r="F302" s="3" t="s">
        <v>527</v>
      </c>
      <c r="G302" s="3" t="s">
        <v>183</v>
      </c>
      <c r="H302" s="3" t="s">
        <v>839</v>
      </c>
      <c r="I302" s="3" t="s">
        <v>68</v>
      </c>
    </row>
    <row r="303" spans="1:9" x14ac:dyDescent="0.2">
      <c r="A303">
        <v>18275</v>
      </c>
      <c r="B303" t="s">
        <v>841</v>
      </c>
      <c r="C303" t="s">
        <v>842</v>
      </c>
      <c r="D303" s="3" t="s">
        <v>843</v>
      </c>
      <c r="E303" s="3" t="s">
        <v>129</v>
      </c>
      <c r="F303" s="3" t="s">
        <v>527</v>
      </c>
      <c r="G303" s="3" t="s">
        <v>183</v>
      </c>
      <c r="H303" s="3" t="s">
        <v>841</v>
      </c>
      <c r="I303" s="3" t="s">
        <v>68</v>
      </c>
    </row>
    <row r="304" spans="1:9" x14ac:dyDescent="0.2">
      <c r="A304">
        <v>18276</v>
      </c>
      <c r="B304" t="s">
        <v>844</v>
      </c>
      <c r="C304" t="s">
        <v>845</v>
      </c>
      <c r="D304" s="3" t="s">
        <v>843</v>
      </c>
      <c r="E304" s="3" t="s">
        <v>129</v>
      </c>
      <c r="F304" s="3" t="s">
        <v>527</v>
      </c>
      <c r="G304" s="3" t="s">
        <v>183</v>
      </c>
      <c r="H304" s="3" t="s">
        <v>844</v>
      </c>
      <c r="I304" s="3" t="s">
        <v>68</v>
      </c>
    </row>
    <row r="305" spans="1:9" x14ac:dyDescent="0.2">
      <c r="A305">
        <v>18277</v>
      </c>
      <c r="B305" t="s">
        <v>846</v>
      </c>
      <c r="C305" t="s">
        <v>847</v>
      </c>
      <c r="D305" s="3" t="s">
        <v>720</v>
      </c>
      <c r="E305" s="3" t="s">
        <v>129</v>
      </c>
      <c r="F305" s="3" t="s">
        <v>527</v>
      </c>
      <c r="G305" s="3" t="s">
        <v>183</v>
      </c>
      <c r="H305" s="3" t="s">
        <v>846</v>
      </c>
      <c r="I305" s="3" t="s">
        <v>68</v>
      </c>
    </row>
    <row r="306" spans="1:9" x14ac:dyDescent="0.2">
      <c r="A306">
        <v>18278</v>
      </c>
      <c r="B306" t="s">
        <v>110</v>
      </c>
      <c r="C306" t="s">
        <v>136</v>
      </c>
      <c r="D306" s="3" t="s">
        <v>720</v>
      </c>
      <c r="E306" s="3" t="s">
        <v>129</v>
      </c>
      <c r="F306" s="3" t="s">
        <v>527</v>
      </c>
      <c r="G306" s="3" t="s">
        <v>183</v>
      </c>
      <c r="H306" s="3" t="s">
        <v>110</v>
      </c>
      <c r="I306" s="3" t="s">
        <v>68</v>
      </c>
    </row>
    <row r="307" spans="1:9" x14ac:dyDescent="0.2">
      <c r="A307">
        <v>18279</v>
      </c>
      <c r="B307" t="s">
        <v>848</v>
      </c>
      <c r="C307" t="s">
        <v>849</v>
      </c>
      <c r="D307" s="3" t="s">
        <v>850</v>
      </c>
      <c r="E307" s="3" t="s">
        <v>129</v>
      </c>
      <c r="F307" s="3" t="s">
        <v>527</v>
      </c>
      <c r="G307" s="3" t="s">
        <v>183</v>
      </c>
      <c r="H307" s="3" t="s">
        <v>848</v>
      </c>
      <c r="I307" s="3" t="s">
        <v>68</v>
      </c>
    </row>
    <row r="308" spans="1:9" x14ac:dyDescent="0.2">
      <c r="A308">
        <v>18280</v>
      </c>
      <c r="B308" t="s">
        <v>851</v>
      </c>
      <c r="C308" t="s">
        <v>852</v>
      </c>
      <c r="D308" s="3" t="s">
        <v>850</v>
      </c>
      <c r="E308" s="3" t="s">
        <v>129</v>
      </c>
      <c r="F308" s="3" t="s">
        <v>527</v>
      </c>
      <c r="G308" s="3" t="s">
        <v>183</v>
      </c>
      <c r="H308" s="3" t="s">
        <v>851</v>
      </c>
      <c r="I308" s="3" t="s">
        <v>68</v>
      </c>
    </row>
    <row r="309" spans="1:9" x14ac:dyDescent="0.2">
      <c r="A309">
        <v>18281</v>
      </c>
      <c r="B309" t="s">
        <v>853</v>
      </c>
      <c r="C309" t="s">
        <v>854</v>
      </c>
      <c r="D309" s="3" t="s">
        <v>855</v>
      </c>
      <c r="E309" s="3" t="s">
        <v>129</v>
      </c>
      <c r="F309" s="3" t="s">
        <v>527</v>
      </c>
      <c r="G309" s="3" t="s">
        <v>183</v>
      </c>
      <c r="H309" s="3" t="s">
        <v>853</v>
      </c>
      <c r="I309" s="3" t="s">
        <v>68</v>
      </c>
    </row>
    <row r="310" spans="1:9" x14ac:dyDescent="0.2">
      <c r="A310">
        <v>18282</v>
      </c>
      <c r="B310" t="s">
        <v>856</v>
      </c>
      <c r="C310" t="s">
        <v>857</v>
      </c>
      <c r="D310" s="3" t="s">
        <v>855</v>
      </c>
      <c r="E310" s="3" t="s">
        <v>129</v>
      </c>
      <c r="F310" s="3" t="s">
        <v>527</v>
      </c>
      <c r="G310" s="3" t="s">
        <v>183</v>
      </c>
      <c r="H310" s="3" t="s">
        <v>856</v>
      </c>
      <c r="I310" s="3" t="s">
        <v>68</v>
      </c>
    </row>
    <row r="311" spans="1:9" x14ac:dyDescent="0.2">
      <c r="A311">
        <v>18283</v>
      </c>
      <c r="B311" t="s">
        <v>858</v>
      </c>
      <c r="C311" t="s">
        <v>859</v>
      </c>
      <c r="D311" s="3" t="s">
        <v>860</v>
      </c>
      <c r="E311" s="3" t="s">
        <v>129</v>
      </c>
      <c r="F311" s="3" t="s">
        <v>527</v>
      </c>
      <c r="G311" s="3" t="s">
        <v>183</v>
      </c>
      <c r="H311" s="3" t="s">
        <v>858</v>
      </c>
      <c r="I311" s="3" t="s">
        <v>68</v>
      </c>
    </row>
    <row r="312" spans="1:9" x14ac:dyDescent="0.2">
      <c r="A312">
        <v>18284</v>
      </c>
      <c r="B312" t="s">
        <v>861</v>
      </c>
      <c r="C312" t="s">
        <v>862</v>
      </c>
      <c r="D312" s="3" t="s">
        <v>860</v>
      </c>
      <c r="E312" s="3" t="s">
        <v>129</v>
      </c>
      <c r="F312" s="3" t="s">
        <v>527</v>
      </c>
      <c r="G312" s="3" t="s">
        <v>183</v>
      </c>
      <c r="H312" s="3" t="s">
        <v>861</v>
      </c>
      <c r="I312" s="3" t="s">
        <v>68</v>
      </c>
    </row>
    <row r="313" spans="1:9" x14ac:dyDescent="0.2">
      <c r="A313">
        <v>18285</v>
      </c>
      <c r="B313" t="s">
        <v>863</v>
      </c>
      <c r="C313" t="s">
        <v>864</v>
      </c>
      <c r="D313" s="3" t="s">
        <v>865</v>
      </c>
      <c r="E313" s="3" t="s">
        <v>129</v>
      </c>
      <c r="F313" s="3" t="s">
        <v>527</v>
      </c>
      <c r="G313" s="3" t="s">
        <v>183</v>
      </c>
      <c r="H313" s="3" t="s">
        <v>863</v>
      </c>
      <c r="I313" s="3" t="s">
        <v>68</v>
      </c>
    </row>
    <row r="314" spans="1:9" x14ac:dyDescent="0.2">
      <c r="A314">
        <v>18286</v>
      </c>
      <c r="B314" t="s">
        <v>866</v>
      </c>
      <c r="C314" t="s">
        <v>867</v>
      </c>
      <c r="D314" s="3" t="s">
        <v>865</v>
      </c>
      <c r="E314" s="3" t="s">
        <v>129</v>
      </c>
      <c r="F314" s="3" t="s">
        <v>527</v>
      </c>
      <c r="G314" s="3" t="s">
        <v>183</v>
      </c>
      <c r="H314" s="3" t="s">
        <v>866</v>
      </c>
      <c r="I314" s="3" t="s">
        <v>68</v>
      </c>
    </row>
    <row r="315" spans="1:9" x14ac:dyDescent="0.2">
      <c r="A315">
        <v>18287</v>
      </c>
      <c r="B315" t="s">
        <v>868</v>
      </c>
      <c r="C315" t="s">
        <v>869</v>
      </c>
      <c r="D315" s="3" t="s">
        <v>870</v>
      </c>
      <c r="E315" s="3" t="s">
        <v>129</v>
      </c>
      <c r="F315" s="3" t="s">
        <v>527</v>
      </c>
      <c r="G315" s="3" t="s">
        <v>183</v>
      </c>
      <c r="H315" s="3" t="s">
        <v>868</v>
      </c>
      <c r="I315" s="3" t="s">
        <v>68</v>
      </c>
    </row>
    <row r="316" spans="1:9" x14ac:dyDescent="0.2">
      <c r="A316">
        <v>18288</v>
      </c>
      <c r="B316" t="s">
        <v>871</v>
      </c>
      <c r="C316" t="s">
        <v>872</v>
      </c>
      <c r="D316" s="3" t="s">
        <v>870</v>
      </c>
      <c r="E316" s="3" t="s">
        <v>129</v>
      </c>
      <c r="F316" s="3" t="s">
        <v>527</v>
      </c>
      <c r="G316" s="3" t="s">
        <v>183</v>
      </c>
      <c r="H316" s="3" t="s">
        <v>871</v>
      </c>
      <c r="I316" s="3" t="s">
        <v>68</v>
      </c>
    </row>
    <row r="317" spans="1:9" x14ac:dyDescent="0.2">
      <c r="A317">
        <v>18289</v>
      </c>
      <c r="B317" t="s">
        <v>873</v>
      </c>
      <c r="C317" t="s">
        <v>874</v>
      </c>
      <c r="D317" s="3" t="s">
        <v>875</v>
      </c>
      <c r="E317" s="3" t="s">
        <v>129</v>
      </c>
      <c r="F317" s="3" t="s">
        <v>527</v>
      </c>
      <c r="G317" s="3" t="s">
        <v>183</v>
      </c>
      <c r="H317" s="3" t="s">
        <v>873</v>
      </c>
      <c r="I317" s="3" t="s">
        <v>68</v>
      </c>
    </row>
    <row r="318" spans="1:9" x14ac:dyDescent="0.2">
      <c r="A318">
        <v>18290</v>
      </c>
      <c r="B318" t="s">
        <v>876</v>
      </c>
      <c r="C318" t="s">
        <v>877</v>
      </c>
      <c r="D318" s="3" t="s">
        <v>875</v>
      </c>
      <c r="E318" s="3" t="s">
        <v>129</v>
      </c>
      <c r="F318" s="3" t="s">
        <v>527</v>
      </c>
      <c r="G318" s="3" t="s">
        <v>183</v>
      </c>
      <c r="H318" s="3" t="s">
        <v>876</v>
      </c>
      <c r="I318" s="3" t="s">
        <v>68</v>
      </c>
    </row>
    <row r="319" spans="1:9" x14ac:dyDescent="0.2">
      <c r="A319">
        <v>18291</v>
      </c>
      <c r="B319" t="s">
        <v>878</v>
      </c>
      <c r="C319" t="s">
        <v>879</v>
      </c>
      <c r="D319" s="3" t="s">
        <v>880</v>
      </c>
      <c r="E319" s="3" t="s">
        <v>129</v>
      </c>
      <c r="F319" s="3" t="s">
        <v>527</v>
      </c>
      <c r="G319" s="3" t="s">
        <v>183</v>
      </c>
      <c r="H319" s="3" t="s">
        <v>878</v>
      </c>
      <c r="I319" s="3" t="s">
        <v>68</v>
      </c>
    </row>
    <row r="320" spans="1:9" x14ac:dyDescent="0.2">
      <c r="A320">
        <v>18292</v>
      </c>
      <c r="B320" t="s">
        <v>881</v>
      </c>
      <c r="C320" t="s">
        <v>882</v>
      </c>
      <c r="D320" s="3" t="s">
        <v>880</v>
      </c>
      <c r="E320" s="3" t="s">
        <v>129</v>
      </c>
      <c r="F320" s="3" t="s">
        <v>527</v>
      </c>
      <c r="G320" s="3" t="s">
        <v>183</v>
      </c>
      <c r="H320" s="3" t="s">
        <v>881</v>
      </c>
      <c r="I320" s="3" t="s">
        <v>68</v>
      </c>
    </row>
    <row r="321" spans="1:9" x14ac:dyDescent="0.2">
      <c r="A321">
        <v>18293</v>
      </c>
      <c r="B321" t="s">
        <v>883</v>
      </c>
      <c r="C321" t="s">
        <v>884</v>
      </c>
      <c r="D321" s="3" t="s">
        <v>885</v>
      </c>
      <c r="E321" s="3" t="s">
        <v>129</v>
      </c>
      <c r="F321" s="3" t="s">
        <v>527</v>
      </c>
      <c r="G321" s="3" t="s">
        <v>183</v>
      </c>
      <c r="H321" s="3" t="s">
        <v>883</v>
      </c>
      <c r="I321" s="3" t="s">
        <v>68</v>
      </c>
    </row>
    <row r="322" spans="1:9" x14ac:dyDescent="0.2">
      <c r="A322">
        <v>18294</v>
      </c>
      <c r="B322" t="s">
        <v>886</v>
      </c>
      <c r="C322" t="s">
        <v>887</v>
      </c>
      <c r="D322" s="3" t="s">
        <v>885</v>
      </c>
      <c r="E322" s="3" t="s">
        <v>129</v>
      </c>
      <c r="F322" s="3" t="s">
        <v>527</v>
      </c>
      <c r="G322" s="3" t="s">
        <v>183</v>
      </c>
      <c r="H322" s="3" t="s">
        <v>886</v>
      </c>
      <c r="I322" s="3" t="s">
        <v>68</v>
      </c>
    </row>
    <row r="323" spans="1:9" x14ac:dyDescent="0.2">
      <c r="A323">
        <v>18295</v>
      </c>
      <c r="B323" t="s">
        <v>888</v>
      </c>
      <c r="C323" t="s">
        <v>889</v>
      </c>
      <c r="D323" s="3" t="s">
        <v>890</v>
      </c>
      <c r="E323" s="3" t="s">
        <v>129</v>
      </c>
      <c r="F323" s="3" t="s">
        <v>527</v>
      </c>
      <c r="G323" s="3" t="s">
        <v>183</v>
      </c>
      <c r="H323" s="3" t="s">
        <v>888</v>
      </c>
      <c r="I323" s="3" t="s">
        <v>68</v>
      </c>
    </row>
    <row r="324" spans="1:9" x14ac:dyDescent="0.2">
      <c r="A324">
        <v>18296</v>
      </c>
      <c r="B324" t="s">
        <v>891</v>
      </c>
      <c r="C324" t="s">
        <v>892</v>
      </c>
      <c r="D324" s="3" t="s">
        <v>890</v>
      </c>
      <c r="E324" s="3" t="s">
        <v>129</v>
      </c>
      <c r="F324" s="3" t="s">
        <v>527</v>
      </c>
      <c r="G324" s="3" t="s">
        <v>183</v>
      </c>
      <c r="H324" s="3" t="s">
        <v>891</v>
      </c>
      <c r="I324" s="3" t="s">
        <v>68</v>
      </c>
    </row>
    <row r="325" spans="1:9" x14ac:dyDescent="0.2">
      <c r="A325">
        <v>18297</v>
      </c>
      <c r="B325" t="s">
        <v>893</v>
      </c>
      <c r="C325" t="s">
        <v>894</v>
      </c>
      <c r="D325" s="3" t="s">
        <v>895</v>
      </c>
      <c r="E325" s="3" t="s">
        <v>129</v>
      </c>
      <c r="F325" s="3" t="s">
        <v>527</v>
      </c>
      <c r="G325" s="3" t="s">
        <v>183</v>
      </c>
      <c r="H325" s="3" t="s">
        <v>893</v>
      </c>
      <c r="I325" s="3" t="s">
        <v>68</v>
      </c>
    </row>
    <row r="326" spans="1:9" x14ac:dyDescent="0.2">
      <c r="A326">
        <v>18298</v>
      </c>
      <c r="B326" t="s">
        <v>896</v>
      </c>
      <c r="C326" t="s">
        <v>897</v>
      </c>
      <c r="D326" s="3" t="s">
        <v>895</v>
      </c>
      <c r="E326" s="3" t="s">
        <v>129</v>
      </c>
      <c r="F326" s="3" t="s">
        <v>527</v>
      </c>
      <c r="G326" s="3" t="s">
        <v>183</v>
      </c>
      <c r="H326" s="3" t="s">
        <v>896</v>
      </c>
      <c r="I326" s="3" t="s">
        <v>68</v>
      </c>
    </row>
    <row r="327" spans="1:9" x14ac:dyDescent="0.2">
      <c r="A327">
        <v>18299</v>
      </c>
      <c r="B327" t="s">
        <v>898</v>
      </c>
      <c r="C327" t="s">
        <v>899</v>
      </c>
      <c r="D327" s="3" t="s">
        <v>900</v>
      </c>
      <c r="E327" s="3" t="s">
        <v>129</v>
      </c>
      <c r="F327" s="3" t="s">
        <v>527</v>
      </c>
      <c r="G327" s="3" t="s">
        <v>183</v>
      </c>
      <c r="H327" s="3" t="s">
        <v>898</v>
      </c>
      <c r="I327" s="3" t="s">
        <v>68</v>
      </c>
    </row>
    <row r="328" spans="1:9" x14ac:dyDescent="0.2">
      <c r="A328">
        <v>18300</v>
      </c>
      <c r="B328" t="s">
        <v>901</v>
      </c>
      <c r="C328" t="s">
        <v>902</v>
      </c>
      <c r="D328" s="3" t="s">
        <v>900</v>
      </c>
      <c r="E328" s="3" t="s">
        <v>129</v>
      </c>
      <c r="F328" s="3" t="s">
        <v>527</v>
      </c>
      <c r="G328" s="3" t="s">
        <v>183</v>
      </c>
      <c r="H328" s="3" t="s">
        <v>901</v>
      </c>
      <c r="I328" s="3" t="s">
        <v>68</v>
      </c>
    </row>
    <row r="329" spans="1:9" x14ac:dyDescent="0.2">
      <c r="A329">
        <v>18301</v>
      </c>
      <c r="B329" t="s">
        <v>903</v>
      </c>
      <c r="C329" t="s">
        <v>904</v>
      </c>
      <c r="D329" s="3" t="s">
        <v>427</v>
      </c>
      <c r="E329" s="3" t="s">
        <v>129</v>
      </c>
      <c r="F329" s="3" t="s">
        <v>527</v>
      </c>
      <c r="G329" s="3" t="s">
        <v>183</v>
      </c>
      <c r="H329" s="3" t="s">
        <v>903</v>
      </c>
      <c r="I329" s="3" t="s">
        <v>68</v>
      </c>
    </row>
    <row r="330" spans="1:9" x14ac:dyDescent="0.2">
      <c r="A330">
        <v>18302</v>
      </c>
      <c r="B330" t="s">
        <v>905</v>
      </c>
      <c r="C330" t="s">
        <v>906</v>
      </c>
      <c r="D330" s="3" t="s">
        <v>427</v>
      </c>
      <c r="E330" s="3" t="s">
        <v>129</v>
      </c>
      <c r="F330" s="3" t="s">
        <v>527</v>
      </c>
      <c r="G330" s="3" t="s">
        <v>183</v>
      </c>
      <c r="H330" s="3" t="s">
        <v>905</v>
      </c>
      <c r="I330" s="3" t="s">
        <v>68</v>
      </c>
    </row>
    <row r="331" spans="1:9" x14ac:dyDescent="0.2">
      <c r="A331">
        <v>18303</v>
      </c>
      <c r="B331" t="s">
        <v>907</v>
      </c>
      <c r="C331" t="s">
        <v>908</v>
      </c>
      <c r="D331" s="3" t="s">
        <v>730</v>
      </c>
      <c r="E331" s="3" t="s">
        <v>129</v>
      </c>
      <c r="F331" s="3" t="s">
        <v>527</v>
      </c>
      <c r="G331" s="3" t="s">
        <v>183</v>
      </c>
      <c r="H331" s="3" t="s">
        <v>907</v>
      </c>
      <c r="I331" s="3" t="s">
        <v>68</v>
      </c>
    </row>
    <row r="332" spans="1:9" x14ac:dyDescent="0.2">
      <c r="A332">
        <v>18304</v>
      </c>
      <c r="B332" t="s">
        <v>108</v>
      </c>
      <c r="C332" t="s">
        <v>134</v>
      </c>
      <c r="D332" s="3" t="s">
        <v>730</v>
      </c>
      <c r="E332" s="3" t="s">
        <v>129</v>
      </c>
      <c r="F332" s="3" t="s">
        <v>527</v>
      </c>
      <c r="G332" s="3" t="s">
        <v>183</v>
      </c>
      <c r="H332" s="3" t="s">
        <v>108</v>
      </c>
      <c r="I332" s="3" t="s">
        <v>68</v>
      </c>
    </row>
    <row r="333" spans="1:9" x14ac:dyDescent="0.2">
      <c r="A333">
        <v>18305</v>
      </c>
      <c r="B333" t="s">
        <v>909</v>
      </c>
      <c r="C333" t="s">
        <v>910</v>
      </c>
      <c r="D333" s="3" t="s">
        <v>623</v>
      </c>
      <c r="E333" s="3" t="s">
        <v>129</v>
      </c>
      <c r="F333" s="3" t="s">
        <v>527</v>
      </c>
      <c r="G333" s="3" t="s">
        <v>183</v>
      </c>
      <c r="H333" s="3" t="s">
        <v>909</v>
      </c>
      <c r="I333" s="3" t="s">
        <v>68</v>
      </c>
    </row>
    <row r="334" spans="1:9" x14ac:dyDescent="0.2">
      <c r="A334">
        <v>18306</v>
      </c>
      <c r="B334" t="s">
        <v>911</v>
      </c>
      <c r="C334" t="s">
        <v>912</v>
      </c>
      <c r="D334" s="3" t="s">
        <v>623</v>
      </c>
      <c r="E334" s="3" t="s">
        <v>129</v>
      </c>
      <c r="F334" s="3" t="s">
        <v>527</v>
      </c>
      <c r="G334" s="3" t="s">
        <v>183</v>
      </c>
      <c r="H334" s="3" t="s">
        <v>911</v>
      </c>
      <c r="I334" s="3" t="s">
        <v>68</v>
      </c>
    </row>
    <row r="335" spans="1:9" x14ac:dyDescent="0.2">
      <c r="A335">
        <v>18307</v>
      </c>
      <c r="B335" t="s">
        <v>913</v>
      </c>
      <c r="C335" t="s">
        <v>914</v>
      </c>
      <c r="D335" s="3" t="s">
        <v>372</v>
      </c>
      <c r="E335" s="3" t="s">
        <v>129</v>
      </c>
      <c r="F335" s="3" t="s">
        <v>527</v>
      </c>
      <c r="G335" s="3" t="s">
        <v>183</v>
      </c>
      <c r="H335" s="3" t="s">
        <v>913</v>
      </c>
      <c r="I335" s="3" t="s">
        <v>68</v>
      </c>
    </row>
    <row r="336" spans="1:9" x14ac:dyDescent="0.2">
      <c r="A336">
        <v>18308</v>
      </c>
      <c r="B336" t="s">
        <v>915</v>
      </c>
      <c r="C336" t="s">
        <v>916</v>
      </c>
      <c r="D336" s="3" t="s">
        <v>372</v>
      </c>
      <c r="E336" s="3" t="s">
        <v>129</v>
      </c>
      <c r="F336" s="3" t="s">
        <v>527</v>
      </c>
      <c r="G336" s="3" t="s">
        <v>183</v>
      </c>
      <c r="H336" s="3" t="s">
        <v>915</v>
      </c>
      <c r="I336" s="3" t="s">
        <v>68</v>
      </c>
    </row>
    <row r="337" spans="1:9" x14ac:dyDescent="0.2">
      <c r="A337">
        <v>18309</v>
      </c>
      <c r="B337" t="s">
        <v>917</v>
      </c>
      <c r="C337" t="s">
        <v>918</v>
      </c>
      <c r="D337" s="3" t="s">
        <v>680</v>
      </c>
      <c r="E337" s="3" t="s">
        <v>129</v>
      </c>
      <c r="F337" s="3" t="s">
        <v>527</v>
      </c>
      <c r="G337" s="3" t="s">
        <v>183</v>
      </c>
      <c r="H337" s="3" t="s">
        <v>917</v>
      </c>
      <c r="I337" s="3" t="s">
        <v>68</v>
      </c>
    </row>
    <row r="338" spans="1:9" x14ac:dyDescent="0.2">
      <c r="A338">
        <v>18310</v>
      </c>
      <c r="B338" t="s">
        <v>919</v>
      </c>
      <c r="C338" t="s">
        <v>920</v>
      </c>
      <c r="D338" s="3" t="s">
        <v>680</v>
      </c>
      <c r="E338" s="3" t="s">
        <v>129</v>
      </c>
      <c r="F338" s="3" t="s">
        <v>527</v>
      </c>
      <c r="G338" s="3" t="s">
        <v>183</v>
      </c>
      <c r="H338" s="3" t="s">
        <v>919</v>
      </c>
      <c r="I338" s="3" t="s">
        <v>68</v>
      </c>
    </row>
    <row r="339" spans="1:9" x14ac:dyDescent="0.2">
      <c r="A339">
        <v>18311</v>
      </c>
      <c r="B339" t="s">
        <v>921</v>
      </c>
      <c r="C339" t="s">
        <v>922</v>
      </c>
      <c r="D339" s="3" t="s">
        <v>695</v>
      </c>
      <c r="E339" s="3" t="s">
        <v>129</v>
      </c>
      <c r="F339" s="3" t="s">
        <v>527</v>
      </c>
      <c r="G339" s="3" t="s">
        <v>183</v>
      </c>
      <c r="H339" s="3" t="s">
        <v>921</v>
      </c>
      <c r="I339" s="3" t="s">
        <v>68</v>
      </c>
    </row>
    <row r="340" spans="1:9" x14ac:dyDescent="0.2">
      <c r="A340">
        <v>18312</v>
      </c>
      <c r="B340" t="s">
        <v>923</v>
      </c>
      <c r="C340" t="s">
        <v>924</v>
      </c>
      <c r="D340" s="3" t="s">
        <v>695</v>
      </c>
      <c r="E340" s="3" t="s">
        <v>129</v>
      </c>
      <c r="F340" s="3" t="s">
        <v>527</v>
      </c>
      <c r="G340" s="3" t="s">
        <v>183</v>
      </c>
      <c r="H340" s="3" t="s">
        <v>923</v>
      </c>
      <c r="I340" s="3" t="s">
        <v>68</v>
      </c>
    </row>
    <row r="341" spans="1:9" x14ac:dyDescent="0.2">
      <c r="A341">
        <v>18313</v>
      </c>
      <c r="B341" t="s">
        <v>925</v>
      </c>
      <c r="C341" t="s">
        <v>926</v>
      </c>
      <c r="D341" s="3" t="s">
        <v>720</v>
      </c>
      <c r="E341" s="3" t="s">
        <v>129</v>
      </c>
      <c r="F341" s="3" t="s">
        <v>527</v>
      </c>
      <c r="G341" s="3" t="s">
        <v>183</v>
      </c>
      <c r="H341" s="3" t="s">
        <v>925</v>
      </c>
      <c r="I341" s="3" t="s">
        <v>68</v>
      </c>
    </row>
    <row r="342" spans="1:9" x14ac:dyDescent="0.2">
      <c r="A342">
        <v>18314</v>
      </c>
      <c r="B342" t="s">
        <v>927</v>
      </c>
      <c r="C342" t="s">
        <v>928</v>
      </c>
      <c r="D342" s="3" t="s">
        <v>720</v>
      </c>
      <c r="E342" s="3" t="s">
        <v>129</v>
      </c>
      <c r="F342" s="3" t="s">
        <v>527</v>
      </c>
      <c r="G342" s="3" t="s">
        <v>183</v>
      </c>
      <c r="H342" s="3" t="s">
        <v>927</v>
      </c>
      <c r="I342" s="3" t="s">
        <v>68</v>
      </c>
    </row>
    <row r="343" spans="1:9" x14ac:dyDescent="0.2">
      <c r="A343">
        <v>18315</v>
      </c>
      <c r="B343" t="s">
        <v>929</v>
      </c>
      <c r="C343" t="s">
        <v>930</v>
      </c>
      <c r="D343" s="3" t="s">
        <v>730</v>
      </c>
      <c r="E343" s="3" t="s">
        <v>129</v>
      </c>
      <c r="F343" s="3" t="s">
        <v>527</v>
      </c>
      <c r="G343" s="3" t="s">
        <v>183</v>
      </c>
      <c r="H343" s="3" t="s">
        <v>929</v>
      </c>
      <c r="I343" s="3" t="s">
        <v>68</v>
      </c>
    </row>
    <row r="344" spans="1:9" x14ac:dyDescent="0.2">
      <c r="A344">
        <v>18316</v>
      </c>
      <c r="B344" t="s">
        <v>931</v>
      </c>
      <c r="C344" t="s">
        <v>932</v>
      </c>
      <c r="D344" s="3" t="s">
        <v>427</v>
      </c>
      <c r="E344" s="3" t="s">
        <v>129</v>
      </c>
      <c r="F344" s="3" t="s">
        <v>527</v>
      </c>
      <c r="G344" s="3" t="s">
        <v>183</v>
      </c>
      <c r="H344" s="3" t="s">
        <v>931</v>
      </c>
      <c r="I344" s="3" t="s">
        <v>68</v>
      </c>
    </row>
    <row r="345" spans="1:9" x14ac:dyDescent="0.2">
      <c r="A345">
        <v>18317</v>
      </c>
      <c r="B345" t="s">
        <v>933</v>
      </c>
      <c r="C345" t="s">
        <v>934</v>
      </c>
      <c r="D345" s="3" t="s">
        <v>427</v>
      </c>
      <c r="E345" s="3" t="s">
        <v>129</v>
      </c>
      <c r="F345" s="3" t="s">
        <v>527</v>
      </c>
      <c r="G345" s="3" t="s">
        <v>183</v>
      </c>
      <c r="H345" s="3" t="s">
        <v>933</v>
      </c>
      <c r="I345" s="3" t="s">
        <v>68</v>
      </c>
    </row>
    <row r="346" spans="1:9" x14ac:dyDescent="0.2">
      <c r="A346">
        <v>18318</v>
      </c>
      <c r="B346" t="s">
        <v>935</v>
      </c>
      <c r="C346" t="s">
        <v>936</v>
      </c>
      <c r="D346" s="3" t="s">
        <v>182</v>
      </c>
      <c r="E346" s="3" t="s">
        <v>129</v>
      </c>
      <c r="F346" s="3" t="s">
        <v>527</v>
      </c>
      <c r="G346" s="3" t="s">
        <v>183</v>
      </c>
      <c r="H346" s="3" t="s">
        <v>935</v>
      </c>
      <c r="I346" s="3" t="s">
        <v>68</v>
      </c>
    </row>
    <row r="347" spans="1:9" x14ac:dyDescent="0.2">
      <c r="A347">
        <v>18319</v>
      </c>
      <c r="B347" t="s">
        <v>937</v>
      </c>
      <c r="C347" t="s">
        <v>938</v>
      </c>
      <c r="D347" s="3" t="s">
        <v>182</v>
      </c>
      <c r="E347" s="3" t="s">
        <v>129</v>
      </c>
      <c r="F347" s="3" t="s">
        <v>527</v>
      </c>
      <c r="G347" s="3" t="s">
        <v>183</v>
      </c>
      <c r="H347" s="3" t="s">
        <v>937</v>
      </c>
      <c r="I347" s="3" t="s">
        <v>68</v>
      </c>
    </row>
    <row r="348" spans="1:9" x14ac:dyDescent="0.2">
      <c r="A348">
        <v>18320</v>
      </c>
      <c r="B348" t="s">
        <v>939</v>
      </c>
      <c r="C348" t="s">
        <v>940</v>
      </c>
      <c r="D348" s="3" t="s">
        <v>941</v>
      </c>
      <c r="E348" s="3" t="s">
        <v>129</v>
      </c>
      <c r="F348" s="3" t="s">
        <v>527</v>
      </c>
      <c r="G348" s="3" t="s">
        <v>183</v>
      </c>
      <c r="H348" s="3" t="s">
        <v>939</v>
      </c>
      <c r="I348" s="3" t="s">
        <v>68</v>
      </c>
    </row>
    <row r="349" spans="1:9" x14ac:dyDescent="0.2">
      <c r="A349">
        <v>18321</v>
      </c>
      <c r="B349" t="s">
        <v>942</v>
      </c>
      <c r="C349" t="s">
        <v>943</v>
      </c>
      <c r="D349" s="3" t="s">
        <v>941</v>
      </c>
      <c r="E349" s="3" t="s">
        <v>129</v>
      </c>
      <c r="F349" s="3" t="s">
        <v>527</v>
      </c>
      <c r="G349" s="3" t="s">
        <v>183</v>
      </c>
      <c r="H349" s="3" t="s">
        <v>942</v>
      </c>
      <c r="I349" s="3" t="s">
        <v>68</v>
      </c>
    </row>
    <row r="350" spans="1:9" x14ac:dyDescent="0.2">
      <c r="A350">
        <v>18322</v>
      </c>
      <c r="B350" t="s">
        <v>944</v>
      </c>
      <c r="C350" t="s">
        <v>945</v>
      </c>
      <c r="D350" s="3" t="s">
        <v>182</v>
      </c>
      <c r="E350" s="3" t="s">
        <v>129</v>
      </c>
      <c r="F350" s="3" t="s">
        <v>527</v>
      </c>
      <c r="G350" s="3" t="s">
        <v>183</v>
      </c>
      <c r="H350" s="3" t="s">
        <v>944</v>
      </c>
      <c r="I350" s="3" t="s">
        <v>68</v>
      </c>
    </row>
    <row r="351" spans="1:9" x14ac:dyDescent="0.2">
      <c r="A351">
        <v>18323</v>
      </c>
      <c r="B351" t="s">
        <v>946</v>
      </c>
      <c r="C351" t="s">
        <v>947</v>
      </c>
      <c r="D351" s="3" t="s">
        <v>182</v>
      </c>
      <c r="E351" s="3" t="s">
        <v>129</v>
      </c>
      <c r="F351" s="3" t="s">
        <v>527</v>
      </c>
      <c r="G351" s="3" t="s">
        <v>183</v>
      </c>
      <c r="H351" s="3" t="s">
        <v>946</v>
      </c>
      <c r="I351" s="3" t="s">
        <v>68</v>
      </c>
    </row>
    <row r="352" spans="1:9" x14ac:dyDescent="0.2">
      <c r="A352">
        <v>18324</v>
      </c>
      <c r="B352" t="s">
        <v>948</v>
      </c>
      <c r="C352" t="s">
        <v>949</v>
      </c>
      <c r="D352" s="3" t="s">
        <v>182</v>
      </c>
      <c r="E352" s="3" t="s">
        <v>129</v>
      </c>
      <c r="F352" s="3" t="s">
        <v>527</v>
      </c>
      <c r="G352" s="3" t="s">
        <v>183</v>
      </c>
      <c r="H352" s="3" t="s">
        <v>948</v>
      </c>
      <c r="I352" s="3" t="s">
        <v>68</v>
      </c>
    </row>
    <row r="353" spans="1:9" x14ac:dyDescent="0.2">
      <c r="A353">
        <v>18325</v>
      </c>
      <c r="B353" t="s">
        <v>950</v>
      </c>
      <c r="C353" t="s">
        <v>951</v>
      </c>
      <c r="D353" s="3" t="s">
        <v>182</v>
      </c>
      <c r="E353" s="3" t="s">
        <v>129</v>
      </c>
      <c r="F353" s="3" t="s">
        <v>527</v>
      </c>
      <c r="G353" s="3" t="s">
        <v>183</v>
      </c>
      <c r="H353" s="3" t="s">
        <v>950</v>
      </c>
      <c r="I353" s="3" t="s">
        <v>68</v>
      </c>
    </row>
    <row r="354" spans="1:9" x14ac:dyDescent="0.2">
      <c r="A354">
        <v>18326</v>
      </c>
      <c r="B354" t="s">
        <v>952</v>
      </c>
      <c r="C354" t="s">
        <v>953</v>
      </c>
      <c r="D354" s="3" t="s">
        <v>182</v>
      </c>
      <c r="E354" s="3" t="s">
        <v>129</v>
      </c>
      <c r="F354" s="3" t="s">
        <v>183</v>
      </c>
      <c r="G354" s="3" t="s">
        <v>183</v>
      </c>
      <c r="H354" s="3" t="s">
        <v>952</v>
      </c>
      <c r="I354" s="3" t="s">
        <v>68</v>
      </c>
    </row>
    <row r="355" spans="1:9" x14ac:dyDescent="0.2">
      <c r="A355">
        <v>18327</v>
      </c>
      <c r="B355" t="s">
        <v>954</v>
      </c>
      <c r="C355" t="s">
        <v>955</v>
      </c>
      <c r="D355" s="3" t="s">
        <v>427</v>
      </c>
      <c r="E355" s="3" t="s">
        <v>129</v>
      </c>
      <c r="F355" s="3" t="s">
        <v>956</v>
      </c>
      <c r="G355" s="3" t="s">
        <v>183</v>
      </c>
      <c r="H355" s="3" t="s">
        <v>954</v>
      </c>
      <c r="I355" s="3" t="s">
        <v>68</v>
      </c>
    </row>
    <row r="356" spans="1:9" x14ac:dyDescent="0.2">
      <c r="A356">
        <v>18328</v>
      </c>
      <c r="B356" t="s">
        <v>957</v>
      </c>
      <c r="C356" t="s">
        <v>958</v>
      </c>
      <c r="D356" s="3" t="s">
        <v>182</v>
      </c>
      <c r="E356" s="3" t="s">
        <v>129</v>
      </c>
      <c r="F356" s="3" t="s">
        <v>183</v>
      </c>
      <c r="G356" s="3" t="s">
        <v>183</v>
      </c>
      <c r="H356" s="3" t="s">
        <v>957</v>
      </c>
      <c r="I356" s="3" t="s">
        <v>68</v>
      </c>
    </row>
    <row r="357" spans="1:9" x14ac:dyDescent="0.2">
      <c r="A357">
        <v>18329</v>
      </c>
      <c r="B357" t="s">
        <v>959</v>
      </c>
      <c r="C357" t="s">
        <v>960</v>
      </c>
      <c r="D357" s="3" t="s">
        <v>182</v>
      </c>
      <c r="E357" s="3" t="s">
        <v>129</v>
      </c>
      <c r="F357" s="3" t="s">
        <v>183</v>
      </c>
      <c r="G357" s="3" t="s">
        <v>183</v>
      </c>
      <c r="H357" s="3" t="s">
        <v>959</v>
      </c>
      <c r="I357" s="3" t="s">
        <v>68</v>
      </c>
    </row>
    <row r="358" spans="1:9" x14ac:dyDescent="0.2">
      <c r="A358">
        <v>18330</v>
      </c>
      <c r="B358" t="s">
        <v>961</v>
      </c>
      <c r="C358" t="s">
        <v>962</v>
      </c>
      <c r="D358" s="3" t="s">
        <v>182</v>
      </c>
      <c r="E358" s="3" t="s">
        <v>129</v>
      </c>
      <c r="F358" s="3" t="s">
        <v>183</v>
      </c>
      <c r="G358" s="3" t="s">
        <v>183</v>
      </c>
      <c r="H358" s="3" t="s">
        <v>961</v>
      </c>
      <c r="I358" s="3" t="s">
        <v>68</v>
      </c>
    </row>
    <row r="359" spans="1:9" x14ac:dyDescent="0.2">
      <c r="A359">
        <v>18331</v>
      </c>
      <c r="B359" t="s">
        <v>963</v>
      </c>
      <c r="C359" t="s">
        <v>964</v>
      </c>
      <c r="D359" s="3" t="s">
        <v>182</v>
      </c>
      <c r="E359" s="3" t="s">
        <v>129</v>
      </c>
      <c r="F359" s="3" t="s">
        <v>183</v>
      </c>
      <c r="G359" s="3" t="s">
        <v>183</v>
      </c>
      <c r="H359" s="3" t="s">
        <v>963</v>
      </c>
      <c r="I359" s="3" t="s">
        <v>68</v>
      </c>
    </row>
    <row r="360" spans="1:9" x14ac:dyDescent="0.2">
      <c r="A360">
        <v>18332</v>
      </c>
      <c r="B360" t="s">
        <v>965</v>
      </c>
      <c r="C360" t="s">
        <v>966</v>
      </c>
      <c r="D360" s="3" t="s">
        <v>182</v>
      </c>
      <c r="E360" s="3" t="s">
        <v>129</v>
      </c>
      <c r="F360" s="3" t="s">
        <v>183</v>
      </c>
      <c r="G360" s="3" t="s">
        <v>183</v>
      </c>
      <c r="H360" s="3" t="s">
        <v>965</v>
      </c>
      <c r="I360" s="3" t="s">
        <v>68</v>
      </c>
    </row>
    <row r="361" spans="1:9" x14ac:dyDescent="0.2">
      <c r="A361">
        <v>18333</v>
      </c>
      <c r="B361" t="s">
        <v>967</v>
      </c>
      <c r="C361" t="s">
        <v>968</v>
      </c>
      <c r="D361" s="3" t="s">
        <v>182</v>
      </c>
      <c r="E361" s="3" t="s">
        <v>129</v>
      </c>
      <c r="F361" s="3" t="s">
        <v>183</v>
      </c>
      <c r="G361" s="3" t="s">
        <v>183</v>
      </c>
      <c r="H361" s="3" t="s">
        <v>967</v>
      </c>
      <c r="I361" s="3" t="s">
        <v>68</v>
      </c>
    </row>
    <row r="362" spans="1:9" x14ac:dyDescent="0.2">
      <c r="A362">
        <v>18334</v>
      </c>
      <c r="B362" t="s">
        <v>969</v>
      </c>
      <c r="C362" t="s">
        <v>970</v>
      </c>
      <c r="D362" s="3" t="s">
        <v>182</v>
      </c>
      <c r="E362" s="3" t="s">
        <v>129</v>
      </c>
      <c r="F362" s="3" t="s">
        <v>183</v>
      </c>
      <c r="G362" s="3" t="s">
        <v>183</v>
      </c>
      <c r="H362" s="3" t="s">
        <v>969</v>
      </c>
      <c r="I362" s="3" t="s">
        <v>68</v>
      </c>
    </row>
    <row r="363" spans="1:9" x14ac:dyDescent="0.2">
      <c r="A363">
        <v>18335</v>
      </c>
      <c r="B363" t="s">
        <v>971</v>
      </c>
      <c r="C363" t="s">
        <v>972</v>
      </c>
      <c r="D363" s="3" t="s">
        <v>182</v>
      </c>
      <c r="E363" s="3" t="s">
        <v>129</v>
      </c>
      <c r="F363" s="3" t="s">
        <v>183</v>
      </c>
      <c r="G363" s="3" t="s">
        <v>183</v>
      </c>
      <c r="H363" s="3" t="s">
        <v>971</v>
      </c>
      <c r="I363" s="3" t="s">
        <v>68</v>
      </c>
    </row>
    <row r="364" spans="1:9" x14ac:dyDescent="0.2">
      <c r="A364">
        <v>18336</v>
      </c>
      <c r="B364" t="s">
        <v>973</v>
      </c>
      <c r="C364" t="s">
        <v>974</v>
      </c>
      <c r="D364" s="3" t="s">
        <v>182</v>
      </c>
      <c r="E364" s="3" t="s">
        <v>129</v>
      </c>
      <c r="F364" s="3" t="s">
        <v>183</v>
      </c>
      <c r="G364" s="3" t="s">
        <v>183</v>
      </c>
      <c r="H364" s="3" t="s">
        <v>973</v>
      </c>
      <c r="I364" s="3" t="s">
        <v>68</v>
      </c>
    </row>
    <row r="365" spans="1:9" x14ac:dyDescent="0.2">
      <c r="A365">
        <v>18337</v>
      </c>
      <c r="B365" t="s">
        <v>975</v>
      </c>
      <c r="C365" t="s">
        <v>976</v>
      </c>
      <c r="D365" s="3" t="s">
        <v>182</v>
      </c>
      <c r="E365" s="3" t="s">
        <v>129</v>
      </c>
      <c r="F365" s="3" t="s">
        <v>183</v>
      </c>
      <c r="G365" s="3" t="s">
        <v>183</v>
      </c>
      <c r="H365" s="3" t="s">
        <v>975</v>
      </c>
      <c r="I365" s="3" t="s">
        <v>68</v>
      </c>
    </row>
    <row r="366" spans="1:9" x14ac:dyDescent="0.2">
      <c r="A366">
        <v>18338</v>
      </c>
      <c r="B366" t="s">
        <v>977</v>
      </c>
      <c r="C366" t="s">
        <v>978</v>
      </c>
      <c r="D366" s="3" t="s">
        <v>182</v>
      </c>
      <c r="E366" s="3" t="s">
        <v>129</v>
      </c>
      <c r="F366" s="3" t="s">
        <v>183</v>
      </c>
      <c r="G366" s="3" t="s">
        <v>183</v>
      </c>
      <c r="H366" s="3" t="s">
        <v>977</v>
      </c>
      <c r="I366" s="3" t="s">
        <v>68</v>
      </c>
    </row>
    <row r="367" spans="1:9" x14ac:dyDescent="0.2">
      <c r="A367">
        <v>18339</v>
      </c>
      <c r="B367" t="s">
        <v>979</v>
      </c>
      <c r="C367" t="s">
        <v>980</v>
      </c>
      <c r="D367" s="3" t="s">
        <v>182</v>
      </c>
      <c r="E367" s="3" t="s">
        <v>129</v>
      </c>
      <c r="F367" s="3" t="s">
        <v>183</v>
      </c>
      <c r="G367" s="3" t="s">
        <v>183</v>
      </c>
      <c r="H367" s="3" t="s">
        <v>979</v>
      </c>
      <c r="I367" s="3" t="s">
        <v>68</v>
      </c>
    </row>
    <row r="368" spans="1:9" x14ac:dyDescent="0.2">
      <c r="A368">
        <v>18340</v>
      </c>
      <c r="B368" t="s">
        <v>981</v>
      </c>
      <c r="C368" t="s">
        <v>982</v>
      </c>
      <c r="D368" s="3" t="s">
        <v>182</v>
      </c>
      <c r="E368" s="3" t="s">
        <v>129</v>
      </c>
      <c r="F368" s="3" t="s">
        <v>183</v>
      </c>
      <c r="G368" s="3" t="s">
        <v>183</v>
      </c>
      <c r="H368" s="3" t="s">
        <v>981</v>
      </c>
      <c r="I368" s="3" t="s">
        <v>68</v>
      </c>
    </row>
    <row r="369" spans="1:9" x14ac:dyDescent="0.2">
      <c r="A369">
        <v>18341</v>
      </c>
      <c r="B369" t="s">
        <v>983</v>
      </c>
      <c r="C369" t="s">
        <v>984</v>
      </c>
      <c r="D369" s="3" t="s">
        <v>182</v>
      </c>
      <c r="E369" s="3" t="s">
        <v>129</v>
      </c>
      <c r="F369" s="3" t="s">
        <v>183</v>
      </c>
      <c r="G369" s="3" t="s">
        <v>183</v>
      </c>
      <c r="H369" s="3" t="s">
        <v>983</v>
      </c>
      <c r="I369" s="3" t="s">
        <v>68</v>
      </c>
    </row>
    <row r="370" spans="1:9" x14ac:dyDescent="0.2">
      <c r="A370">
        <v>18342</v>
      </c>
      <c r="B370" t="s">
        <v>985</v>
      </c>
      <c r="C370" t="s">
        <v>986</v>
      </c>
      <c r="D370" s="3" t="s">
        <v>182</v>
      </c>
      <c r="E370" s="3" t="s">
        <v>129</v>
      </c>
      <c r="F370" s="3" t="s">
        <v>183</v>
      </c>
      <c r="G370" s="3" t="s">
        <v>183</v>
      </c>
      <c r="H370" s="3" t="s">
        <v>985</v>
      </c>
      <c r="I370" s="3" t="s">
        <v>68</v>
      </c>
    </row>
    <row r="371" spans="1:9" x14ac:dyDescent="0.2">
      <c r="A371">
        <v>18343</v>
      </c>
      <c r="B371" t="s">
        <v>987</v>
      </c>
      <c r="C371" t="s">
        <v>988</v>
      </c>
      <c r="D371" s="3" t="s">
        <v>182</v>
      </c>
      <c r="E371" s="3" t="s">
        <v>129</v>
      </c>
      <c r="F371" s="3" t="s">
        <v>183</v>
      </c>
      <c r="G371" s="3" t="s">
        <v>183</v>
      </c>
      <c r="H371" s="3" t="s">
        <v>987</v>
      </c>
      <c r="I371" s="3" t="s">
        <v>68</v>
      </c>
    </row>
    <row r="372" spans="1:9" x14ac:dyDescent="0.2">
      <c r="A372">
        <v>18344</v>
      </c>
      <c r="B372" t="s">
        <v>989</v>
      </c>
      <c r="C372" t="s">
        <v>990</v>
      </c>
      <c r="D372" s="3" t="s">
        <v>182</v>
      </c>
      <c r="E372" s="3" t="s">
        <v>129</v>
      </c>
      <c r="F372" s="3" t="s">
        <v>183</v>
      </c>
      <c r="G372" s="3" t="s">
        <v>183</v>
      </c>
      <c r="H372" s="3" t="s">
        <v>989</v>
      </c>
      <c r="I372" s="3" t="s">
        <v>68</v>
      </c>
    </row>
    <row r="373" spans="1:9" x14ac:dyDescent="0.2">
      <c r="A373">
        <v>18345</v>
      </c>
      <c r="B373" t="s">
        <v>991</v>
      </c>
      <c r="C373" t="s">
        <v>992</v>
      </c>
      <c r="D373" s="3" t="s">
        <v>182</v>
      </c>
      <c r="E373" s="3" t="s">
        <v>129</v>
      </c>
      <c r="F373" s="3" t="s">
        <v>183</v>
      </c>
      <c r="G373" s="3" t="s">
        <v>183</v>
      </c>
      <c r="H373" s="3" t="s">
        <v>991</v>
      </c>
      <c r="I373" s="3" t="s">
        <v>68</v>
      </c>
    </row>
    <row r="374" spans="1:9" x14ac:dyDescent="0.2">
      <c r="A374">
        <v>18346</v>
      </c>
      <c r="B374" t="s">
        <v>993</v>
      </c>
      <c r="C374" t="s">
        <v>994</v>
      </c>
      <c r="D374" s="3" t="s">
        <v>182</v>
      </c>
      <c r="E374" s="3" t="s">
        <v>129</v>
      </c>
      <c r="F374" s="3" t="s">
        <v>183</v>
      </c>
      <c r="G374" s="3" t="s">
        <v>183</v>
      </c>
      <c r="H374" s="3" t="s">
        <v>993</v>
      </c>
      <c r="I374" s="3" t="s">
        <v>68</v>
      </c>
    </row>
    <row r="375" spans="1:9" x14ac:dyDescent="0.2">
      <c r="A375">
        <v>18347</v>
      </c>
      <c r="B375" t="s">
        <v>995</v>
      </c>
      <c r="C375" t="s">
        <v>996</v>
      </c>
      <c r="D375" s="3" t="s">
        <v>182</v>
      </c>
      <c r="E375" s="3" t="s">
        <v>129</v>
      </c>
      <c r="F375" s="3" t="s">
        <v>183</v>
      </c>
      <c r="G375" s="3" t="s">
        <v>183</v>
      </c>
      <c r="H375" s="3" t="s">
        <v>995</v>
      </c>
      <c r="I375" s="3" t="s">
        <v>68</v>
      </c>
    </row>
    <row r="376" spans="1:9" x14ac:dyDescent="0.2">
      <c r="A376">
        <v>18348</v>
      </c>
      <c r="B376" t="s">
        <v>997</v>
      </c>
      <c r="C376" t="s">
        <v>998</v>
      </c>
      <c r="D376" s="3" t="s">
        <v>182</v>
      </c>
      <c r="E376" s="3" t="s">
        <v>129</v>
      </c>
      <c r="F376" s="3" t="s">
        <v>183</v>
      </c>
      <c r="G376" s="3" t="s">
        <v>183</v>
      </c>
      <c r="H376" s="3" t="s">
        <v>997</v>
      </c>
      <c r="I376" s="3" t="s">
        <v>68</v>
      </c>
    </row>
    <row r="377" spans="1:9" x14ac:dyDescent="0.2">
      <c r="A377">
        <v>18349</v>
      </c>
      <c r="B377" t="s">
        <v>999</v>
      </c>
      <c r="C377" t="s">
        <v>1000</v>
      </c>
      <c r="D377" s="3" t="s">
        <v>182</v>
      </c>
      <c r="E377" s="3" t="s">
        <v>129</v>
      </c>
      <c r="F377" s="3" t="s">
        <v>183</v>
      </c>
      <c r="G377" s="3" t="s">
        <v>183</v>
      </c>
      <c r="H377" s="3" t="s">
        <v>999</v>
      </c>
      <c r="I377" s="3" t="s">
        <v>68</v>
      </c>
    </row>
    <row r="378" spans="1:9" x14ac:dyDescent="0.2">
      <c r="A378">
        <v>18350</v>
      </c>
      <c r="B378" t="s">
        <v>1001</v>
      </c>
      <c r="C378" t="s">
        <v>1002</v>
      </c>
      <c r="D378" s="3" t="s">
        <v>182</v>
      </c>
      <c r="E378" s="3" t="s">
        <v>129</v>
      </c>
      <c r="F378" s="3" t="s">
        <v>183</v>
      </c>
      <c r="G378" s="3" t="s">
        <v>183</v>
      </c>
      <c r="H378" s="3" t="s">
        <v>1001</v>
      </c>
      <c r="I378" s="3" t="s">
        <v>68</v>
      </c>
    </row>
    <row r="379" spans="1:9" x14ac:dyDescent="0.2">
      <c r="A379">
        <v>18351</v>
      </c>
      <c r="B379" t="s">
        <v>1003</v>
      </c>
      <c r="C379" t="s">
        <v>1004</v>
      </c>
      <c r="D379" s="3" t="s">
        <v>182</v>
      </c>
      <c r="E379" s="3" t="s">
        <v>129</v>
      </c>
      <c r="F379" s="3" t="s">
        <v>183</v>
      </c>
      <c r="G379" s="3" t="s">
        <v>183</v>
      </c>
      <c r="H379" s="3" t="s">
        <v>1003</v>
      </c>
      <c r="I379" s="3" t="s">
        <v>68</v>
      </c>
    </row>
    <row r="380" spans="1:9" x14ac:dyDescent="0.2">
      <c r="A380">
        <v>18352</v>
      </c>
      <c r="B380" t="s">
        <v>1005</v>
      </c>
      <c r="C380" t="s">
        <v>1006</v>
      </c>
      <c r="D380" s="3" t="s">
        <v>182</v>
      </c>
      <c r="E380" s="3" t="s">
        <v>129</v>
      </c>
      <c r="F380" s="3" t="s">
        <v>183</v>
      </c>
      <c r="G380" s="3" t="s">
        <v>183</v>
      </c>
      <c r="H380" s="3" t="s">
        <v>1005</v>
      </c>
      <c r="I380" s="3" t="s">
        <v>68</v>
      </c>
    </row>
    <row r="381" spans="1:9" x14ac:dyDescent="0.2">
      <c r="A381">
        <v>18353</v>
      </c>
      <c r="B381" t="s">
        <v>1007</v>
      </c>
      <c r="C381" t="s">
        <v>1008</v>
      </c>
      <c r="D381" s="3" t="s">
        <v>182</v>
      </c>
      <c r="E381" s="3" t="s">
        <v>129</v>
      </c>
      <c r="F381" s="3" t="s">
        <v>183</v>
      </c>
      <c r="G381" s="3" t="s">
        <v>183</v>
      </c>
      <c r="H381" s="3" t="s">
        <v>1007</v>
      </c>
      <c r="I381" s="3" t="s">
        <v>68</v>
      </c>
    </row>
    <row r="382" spans="1:9" x14ac:dyDescent="0.2">
      <c r="A382">
        <v>18354</v>
      </c>
      <c r="B382" t="s">
        <v>1009</v>
      </c>
      <c r="C382" t="s">
        <v>1010</v>
      </c>
      <c r="D382" s="3" t="s">
        <v>182</v>
      </c>
      <c r="E382" s="3" t="s">
        <v>129</v>
      </c>
      <c r="F382" s="3" t="s">
        <v>183</v>
      </c>
      <c r="G382" s="3" t="s">
        <v>183</v>
      </c>
      <c r="H382" s="3" t="s">
        <v>1009</v>
      </c>
      <c r="I382" s="3" t="s">
        <v>68</v>
      </c>
    </row>
    <row r="383" spans="1:9" x14ac:dyDescent="0.2">
      <c r="A383">
        <v>18355</v>
      </c>
      <c r="B383" t="s">
        <v>1011</v>
      </c>
      <c r="C383" t="s">
        <v>1012</v>
      </c>
      <c r="D383" s="3" t="s">
        <v>182</v>
      </c>
      <c r="E383" s="3" t="s">
        <v>129</v>
      </c>
      <c r="F383" s="3" t="s">
        <v>183</v>
      </c>
      <c r="G383" s="3" t="s">
        <v>183</v>
      </c>
      <c r="H383" s="3" t="s">
        <v>1011</v>
      </c>
      <c r="I383" s="3" t="s">
        <v>68</v>
      </c>
    </row>
    <row r="384" spans="1:9" x14ac:dyDescent="0.2">
      <c r="A384">
        <v>18356</v>
      </c>
      <c r="B384" t="s">
        <v>1013</v>
      </c>
      <c r="C384" t="s">
        <v>1014</v>
      </c>
      <c r="D384" s="3" t="s">
        <v>182</v>
      </c>
      <c r="E384" s="3" t="s">
        <v>129</v>
      </c>
      <c r="F384" s="3" t="s">
        <v>183</v>
      </c>
      <c r="G384" s="3" t="s">
        <v>183</v>
      </c>
      <c r="H384" s="3" t="s">
        <v>1013</v>
      </c>
      <c r="I384" s="3" t="s">
        <v>68</v>
      </c>
    </row>
    <row r="385" spans="1:9" x14ac:dyDescent="0.2">
      <c r="A385">
        <v>18357</v>
      </c>
      <c r="B385" t="s">
        <v>1015</v>
      </c>
      <c r="C385" t="s">
        <v>1016</v>
      </c>
      <c r="D385" s="3" t="s">
        <v>182</v>
      </c>
      <c r="E385" s="3" t="s">
        <v>129</v>
      </c>
      <c r="F385" s="3" t="s">
        <v>183</v>
      </c>
      <c r="G385" s="3" t="s">
        <v>183</v>
      </c>
      <c r="H385" s="3" t="s">
        <v>1015</v>
      </c>
      <c r="I385" s="3" t="s">
        <v>68</v>
      </c>
    </row>
    <row r="386" spans="1:9" x14ac:dyDescent="0.2">
      <c r="A386">
        <v>18358</v>
      </c>
      <c r="B386" t="s">
        <v>1017</v>
      </c>
      <c r="C386" t="s">
        <v>1018</v>
      </c>
      <c r="D386" s="3" t="s">
        <v>182</v>
      </c>
      <c r="E386" s="3" t="s">
        <v>129</v>
      </c>
      <c r="F386" s="3" t="s">
        <v>183</v>
      </c>
      <c r="G386" s="3" t="s">
        <v>183</v>
      </c>
      <c r="H386" s="3" t="s">
        <v>1017</v>
      </c>
      <c r="I386" s="3" t="s">
        <v>68</v>
      </c>
    </row>
    <row r="387" spans="1:9" x14ac:dyDescent="0.2">
      <c r="A387">
        <v>18359</v>
      </c>
      <c r="B387" t="s">
        <v>1019</v>
      </c>
      <c r="C387" t="s">
        <v>1020</v>
      </c>
      <c r="D387" s="3" t="s">
        <v>182</v>
      </c>
      <c r="E387" s="3" t="s">
        <v>129</v>
      </c>
      <c r="F387" s="3" t="s">
        <v>183</v>
      </c>
      <c r="G387" s="3" t="s">
        <v>183</v>
      </c>
      <c r="H387" s="3" t="s">
        <v>1019</v>
      </c>
      <c r="I387" s="3" t="s">
        <v>68</v>
      </c>
    </row>
    <row r="388" spans="1:9" x14ac:dyDescent="0.2">
      <c r="A388">
        <v>18360</v>
      </c>
      <c r="B388" t="s">
        <v>1021</v>
      </c>
      <c r="C388" t="s">
        <v>1022</v>
      </c>
      <c r="D388" s="3" t="s">
        <v>182</v>
      </c>
      <c r="E388" s="3" t="s">
        <v>129</v>
      </c>
      <c r="F388" s="3" t="s">
        <v>183</v>
      </c>
      <c r="G388" s="3" t="s">
        <v>183</v>
      </c>
      <c r="H388" s="3" t="s">
        <v>1021</v>
      </c>
      <c r="I388" s="3" t="s">
        <v>68</v>
      </c>
    </row>
    <row r="389" spans="1:9" x14ac:dyDescent="0.2">
      <c r="A389">
        <v>18361</v>
      </c>
      <c r="B389" t="s">
        <v>1023</v>
      </c>
      <c r="C389" t="s">
        <v>1024</v>
      </c>
      <c r="D389" s="3" t="s">
        <v>182</v>
      </c>
      <c r="E389" s="3" t="s">
        <v>129</v>
      </c>
      <c r="F389" s="3" t="s">
        <v>183</v>
      </c>
      <c r="G389" s="3" t="s">
        <v>183</v>
      </c>
      <c r="H389" s="3" t="s">
        <v>1023</v>
      </c>
      <c r="I389" s="3" t="s">
        <v>68</v>
      </c>
    </row>
    <row r="390" spans="1:9" x14ac:dyDescent="0.2">
      <c r="A390">
        <v>18362</v>
      </c>
      <c r="B390" t="s">
        <v>1025</v>
      </c>
      <c r="C390" t="s">
        <v>1026</v>
      </c>
      <c r="D390" s="3" t="s">
        <v>182</v>
      </c>
      <c r="E390" s="3" t="s">
        <v>129</v>
      </c>
      <c r="F390" s="3" t="s">
        <v>183</v>
      </c>
      <c r="G390" s="3" t="s">
        <v>183</v>
      </c>
      <c r="H390" s="3" t="s">
        <v>1025</v>
      </c>
      <c r="I390" s="3" t="s">
        <v>68</v>
      </c>
    </row>
    <row r="391" spans="1:9" x14ac:dyDescent="0.2">
      <c r="A391">
        <v>18363</v>
      </c>
      <c r="B391" t="s">
        <v>1027</v>
      </c>
      <c r="C391" t="s">
        <v>1028</v>
      </c>
      <c r="D391" s="3" t="s">
        <v>182</v>
      </c>
      <c r="E391" s="3" t="s">
        <v>129</v>
      </c>
      <c r="F391" s="3" t="s">
        <v>183</v>
      </c>
      <c r="G391" s="3" t="s">
        <v>183</v>
      </c>
      <c r="H391" s="3" t="s">
        <v>1027</v>
      </c>
      <c r="I391" s="3" t="s">
        <v>68</v>
      </c>
    </row>
    <row r="392" spans="1:9" x14ac:dyDescent="0.2">
      <c r="A392">
        <v>18364</v>
      </c>
      <c r="B392" t="s">
        <v>1029</v>
      </c>
      <c r="C392" t="s">
        <v>1030</v>
      </c>
      <c r="D392" s="3" t="s">
        <v>182</v>
      </c>
      <c r="E392" s="3" t="s">
        <v>129</v>
      </c>
      <c r="F392" s="3" t="s">
        <v>183</v>
      </c>
      <c r="G392" s="3" t="s">
        <v>183</v>
      </c>
      <c r="H392" s="3" t="s">
        <v>1029</v>
      </c>
      <c r="I392" s="3" t="s">
        <v>68</v>
      </c>
    </row>
    <row r="393" spans="1:9" x14ac:dyDescent="0.2">
      <c r="A393">
        <v>18365</v>
      </c>
      <c r="B393" t="s">
        <v>1031</v>
      </c>
      <c r="C393" t="s">
        <v>1032</v>
      </c>
      <c r="D393" s="3" t="s">
        <v>182</v>
      </c>
      <c r="E393" s="3" t="s">
        <v>129</v>
      </c>
      <c r="F393" s="3" t="s">
        <v>183</v>
      </c>
      <c r="G393" s="3" t="s">
        <v>183</v>
      </c>
      <c r="H393" s="3" t="s">
        <v>1031</v>
      </c>
      <c r="I393" s="3" t="s">
        <v>68</v>
      </c>
    </row>
    <row r="394" spans="1:9" x14ac:dyDescent="0.2">
      <c r="A394">
        <v>18366</v>
      </c>
      <c r="B394" t="s">
        <v>1033</v>
      </c>
      <c r="C394" t="s">
        <v>1034</v>
      </c>
      <c r="D394" s="3" t="s">
        <v>182</v>
      </c>
      <c r="E394" s="3" t="s">
        <v>129</v>
      </c>
      <c r="F394" s="3" t="s">
        <v>183</v>
      </c>
      <c r="G394" s="3" t="s">
        <v>183</v>
      </c>
      <c r="H394" s="3" t="s">
        <v>1033</v>
      </c>
      <c r="I394" s="3" t="s">
        <v>68</v>
      </c>
    </row>
    <row r="395" spans="1:9" x14ac:dyDescent="0.2">
      <c r="A395">
        <v>18367</v>
      </c>
      <c r="B395" t="s">
        <v>1035</v>
      </c>
      <c r="C395" t="s">
        <v>1036</v>
      </c>
      <c r="D395" s="3" t="s">
        <v>182</v>
      </c>
      <c r="E395" s="3" t="s">
        <v>129</v>
      </c>
      <c r="F395" s="3" t="s">
        <v>183</v>
      </c>
      <c r="G395" s="3" t="s">
        <v>183</v>
      </c>
      <c r="H395" s="3" t="s">
        <v>1035</v>
      </c>
      <c r="I395" s="3" t="s">
        <v>68</v>
      </c>
    </row>
    <row r="396" spans="1:9" x14ac:dyDescent="0.2">
      <c r="A396">
        <v>18368</v>
      </c>
      <c r="B396" t="s">
        <v>1037</v>
      </c>
      <c r="C396" t="s">
        <v>1038</v>
      </c>
      <c r="D396" s="3" t="s">
        <v>182</v>
      </c>
      <c r="E396" s="3" t="s">
        <v>129</v>
      </c>
      <c r="F396" s="3" t="s">
        <v>183</v>
      </c>
      <c r="G396" s="3" t="s">
        <v>183</v>
      </c>
      <c r="H396" s="3" t="s">
        <v>1037</v>
      </c>
      <c r="I396" s="3" t="s">
        <v>68</v>
      </c>
    </row>
    <row r="397" spans="1:9" x14ac:dyDescent="0.2">
      <c r="A397">
        <v>18369</v>
      </c>
      <c r="B397" t="s">
        <v>1039</v>
      </c>
      <c r="C397" t="s">
        <v>1040</v>
      </c>
      <c r="D397" s="3" t="s">
        <v>182</v>
      </c>
      <c r="E397" s="3" t="s">
        <v>129</v>
      </c>
      <c r="F397" s="3" t="s">
        <v>183</v>
      </c>
      <c r="G397" s="3" t="s">
        <v>183</v>
      </c>
      <c r="H397" s="3" t="s">
        <v>1039</v>
      </c>
      <c r="I397" s="3" t="s">
        <v>68</v>
      </c>
    </row>
    <row r="398" spans="1:9" x14ac:dyDescent="0.2">
      <c r="A398">
        <v>18370</v>
      </c>
      <c r="B398" t="s">
        <v>1041</v>
      </c>
      <c r="C398" t="s">
        <v>1042</v>
      </c>
      <c r="D398" s="3" t="s">
        <v>182</v>
      </c>
      <c r="E398" s="3" t="s">
        <v>129</v>
      </c>
      <c r="F398" s="3" t="s">
        <v>183</v>
      </c>
      <c r="G398" s="3" t="s">
        <v>183</v>
      </c>
      <c r="H398" s="3" t="s">
        <v>1041</v>
      </c>
      <c r="I398" s="3" t="s">
        <v>68</v>
      </c>
    </row>
    <row r="399" spans="1:9" x14ac:dyDescent="0.2">
      <c r="A399">
        <v>18371</v>
      </c>
      <c r="B399" t="s">
        <v>1043</v>
      </c>
      <c r="C399" t="s">
        <v>1044</v>
      </c>
      <c r="D399" s="3" t="s">
        <v>182</v>
      </c>
      <c r="E399" s="3" t="s">
        <v>129</v>
      </c>
      <c r="F399" s="3" t="s">
        <v>183</v>
      </c>
      <c r="G399" s="3" t="s">
        <v>183</v>
      </c>
      <c r="H399" s="3" t="s">
        <v>1043</v>
      </c>
      <c r="I399" s="3" t="s">
        <v>68</v>
      </c>
    </row>
    <row r="400" spans="1:9" x14ac:dyDescent="0.2">
      <c r="A400">
        <v>18372</v>
      </c>
      <c r="B400" t="s">
        <v>1045</v>
      </c>
      <c r="C400" t="s">
        <v>1046</v>
      </c>
      <c r="D400" s="3" t="s">
        <v>182</v>
      </c>
      <c r="E400" s="3" t="s">
        <v>129</v>
      </c>
      <c r="F400" s="3" t="s">
        <v>183</v>
      </c>
      <c r="G400" s="3" t="s">
        <v>183</v>
      </c>
      <c r="H400" s="3" t="s">
        <v>1045</v>
      </c>
      <c r="I400" s="3" t="s">
        <v>68</v>
      </c>
    </row>
    <row r="401" spans="1:9" x14ac:dyDescent="0.2">
      <c r="A401">
        <v>18373</v>
      </c>
      <c r="B401" t="s">
        <v>1047</v>
      </c>
      <c r="C401" t="s">
        <v>1048</v>
      </c>
      <c r="D401" s="3" t="s">
        <v>182</v>
      </c>
      <c r="E401" s="3" t="s">
        <v>129</v>
      </c>
      <c r="F401" s="3" t="s">
        <v>183</v>
      </c>
      <c r="G401" s="3" t="s">
        <v>183</v>
      </c>
      <c r="H401" s="3" t="s">
        <v>1047</v>
      </c>
      <c r="I401" s="3" t="s">
        <v>68</v>
      </c>
    </row>
    <row r="402" spans="1:9" x14ac:dyDescent="0.2">
      <c r="A402">
        <v>18374</v>
      </c>
      <c r="B402" t="s">
        <v>1049</v>
      </c>
      <c r="C402" t="s">
        <v>1050</v>
      </c>
      <c r="D402" s="3" t="s">
        <v>378</v>
      </c>
      <c r="E402" s="3" t="s">
        <v>129</v>
      </c>
      <c r="F402" s="3" t="s">
        <v>183</v>
      </c>
      <c r="G402" s="3" t="s">
        <v>183</v>
      </c>
      <c r="H402" s="3" t="s">
        <v>1049</v>
      </c>
      <c r="I402" s="3" t="s">
        <v>68</v>
      </c>
    </row>
    <row r="403" spans="1:9" x14ac:dyDescent="0.2">
      <c r="A403">
        <v>18375</v>
      </c>
      <c r="B403" t="s">
        <v>1051</v>
      </c>
      <c r="C403" t="s">
        <v>1052</v>
      </c>
      <c r="D403" s="3" t="s">
        <v>1053</v>
      </c>
      <c r="E403" s="3" t="s">
        <v>129</v>
      </c>
      <c r="F403" s="3" t="s">
        <v>183</v>
      </c>
      <c r="G403" s="3" t="s">
        <v>183</v>
      </c>
      <c r="H403" s="3" t="s">
        <v>1051</v>
      </c>
      <c r="I403" s="3" t="s">
        <v>68</v>
      </c>
    </row>
    <row r="404" spans="1:9" x14ac:dyDescent="0.2">
      <c r="A404">
        <v>18376</v>
      </c>
      <c r="B404" t="s">
        <v>1054</v>
      </c>
      <c r="C404" t="s">
        <v>1055</v>
      </c>
      <c r="D404" s="3" t="s">
        <v>372</v>
      </c>
      <c r="E404" s="3" t="s">
        <v>129</v>
      </c>
      <c r="F404" s="3" t="s">
        <v>183</v>
      </c>
      <c r="G404" s="3" t="s">
        <v>183</v>
      </c>
      <c r="H404" s="3" t="s">
        <v>1054</v>
      </c>
      <c r="I404" s="3" t="s">
        <v>68</v>
      </c>
    </row>
    <row r="405" spans="1:9" x14ac:dyDescent="0.2">
      <c r="A405">
        <v>18377</v>
      </c>
      <c r="B405" t="s">
        <v>1056</v>
      </c>
      <c r="C405" t="s">
        <v>1057</v>
      </c>
      <c r="D405" s="3" t="s">
        <v>427</v>
      </c>
      <c r="E405" s="3" t="s">
        <v>129</v>
      </c>
      <c r="F405" s="3" t="s">
        <v>183</v>
      </c>
      <c r="G405" s="3" t="s">
        <v>183</v>
      </c>
      <c r="H405" s="3" t="s">
        <v>1056</v>
      </c>
      <c r="I405" s="3" t="s">
        <v>68</v>
      </c>
    </row>
    <row r="406" spans="1:9" x14ac:dyDescent="0.2">
      <c r="A406">
        <v>18378</v>
      </c>
      <c r="B406" t="s">
        <v>1058</v>
      </c>
      <c r="C406" t="s">
        <v>1059</v>
      </c>
      <c r="D406" s="3" t="s">
        <v>182</v>
      </c>
      <c r="E406" s="3" t="s">
        <v>129</v>
      </c>
      <c r="F406" s="3" t="s">
        <v>183</v>
      </c>
      <c r="G406" s="3" t="s">
        <v>183</v>
      </c>
      <c r="H406" s="3" t="s">
        <v>1058</v>
      </c>
      <c r="I406" s="3" t="s">
        <v>68</v>
      </c>
    </row>
    <row r="407" spans="1:9" x14ac:dyDescent="0.2">
      <c r="A407">
        <v>18379</v>
      </c>
      <c r="B407" t="s">
        <v>1060</v>
      </c>
      <c r="C407" t="s">
        <v>1061</v>
      </c>
      <c r="D407" s="3" t="s">
        <v>182</v>
      </c>
      <c r="E407" s="3" t="s">
        <v>129</v>
      </c>
      <c r="F407" s="3" t="s">
        <v>183</v>
      </c>
      <c r="G407" s="3" t="s">
        <v>183</v>
      </c>
      <c r="H407" s="3" t="s">
        <v>1060</v>
      </c>
      <c r="I407" s="3" t="s">
        <v>68</v>
      </c>
    </row>
    <row r="408" spans="1:9" x14ac:dyDescent="0.2">
      <c r="A408">
        <v>18380</v>
      </c>
      <c r="B408" t="s">
        <v>1062</v>
      </c>
      <c r="C408" t="s">
        <v>1063</v>
      </c>
      <c r="D408" s="3" t="s">
        <v>182</v>
      </c>
      <c r="E408" s="3" t="s">
        <v>129</v>
      </c>
      <c r="F408" s="3" t="s">
        <v>183</v>
      </c>
      <c r="G408" s="3" t="s">
        <v>183</v>
      </c>
      <c r="H408" s="3" t="s">
        <v>1062</v>
      </c>
      <c r="I408" s="3" t="s">
        <v>68</v>
      </c>
    </row>
    <row r="409" spans="1:9" x14ac:dyDescent="0.2">
      <c r="A409">
        <v>18381</v>
      </c>
      <c r="B409" t="s">
        <v>1064</v>
      </c>
      <c r="C409" t="s">
        <v>1065</v>
      </c>
      <c r="D409" s="3" t="s">
        <v>182</v>
      </c>
      <c r="E409" s="3" t="s">
        <v>129</v>
      </c>
      <c r="F409" s="3" t="s">
        <v>183</v>
      </c>
      <c r="G409" s="3" t="s">
        <v>183</v>
      </c>
      <c r="H409" s="3" t="s">
        <v>1064</v>
      </c>
      <c r="I409" s="3" t="s">
        <v>68</v>
      </c>
    </row>
    <row r="410" spans="1:9" x14ac:dyDescent="0.2">
      <c r="A410">
        <v>18382</v>
      </c>
      <c r="B410" t="s">
        <v>1066</v>
      </c>
      <c r="C410" t="s">
        <v>1067</v>
      </c>
      <c r="D410" s="3" t="s">
        <v>182</v>
      </c>
      <c r="E410" s="3" t="s">
        <v>129</v>
      </c>
      <c r="F410" s="3" t="s">
        <v>183</v>
      </c>
      <c r="G410" s="3" t="s">
        <v>183</v>
      </c>
      <c r="H410" s="3" t="s">
        <v>1066</v>
      </c>
      <c r="I410" s="3" t="s">
        <v>68</v>
      </c>
    </row>
    <row r="411" spans="1:9" x14ac:dyDescent="0.2">
      <c r="A411">
        <v>18383</v>
      </c>
      <c r="B411" t="s">
        <v>1068</v>
      </c>
      <c r="C411" t="s">
        <v>1069</v>
      </c>
      <c r="D411" s="3" t="s">
        <v>182</v>
      </c>
      <c r="E411" s="3" t="s">
        <v>129</v>
      </c>
      <c r="F411" s="3" t="s">
        <v>183</v>
      </c>
      <c r="G411" s="3" t="s">
        <v>183</v>
      </c>
      <c r="H411" s="3" t="s">
        <v>1068</v>
      </c>
      <c r="I411" s="3" t="s">
        <v>68</v>
      </c>
    </row>
    <row r="412" spans="1:9" x14ac:dyDescent="0.2">
      <c r="A412">
        <v>18384</v>
      </c>
      <c r="B412" t="s">
        <v>1070</v>
      </c>
      <c r="C412" t="s">
        <v>1071</v>
      </c>
      <c r="D412" s="3" t="s">
        <v>182</v>
      </c>
      <c r="E412" s="3" t="s">
        <v>129</v>
      </c>
      <c r="F412" s="3" t="s">
        <v>183</v>
      </c>
      <c r="G412" s="3" t="s">
        <v>183</v>
      </c>
      <c r="H412" s="3" t="s">
        <v>1070</v>
      </c>
      <c r="I412" s="3" t="s">
        <v>68</v>
      </c>
    </row>
    <row r="413" spans="1:9" x14ac:dyDescent="0.2">
      <c r="A413">
        <v>18385</v>
      </c>
      <c r="B413" t="s">
        <v>1072</v>
      </c>
      <c r="C413" t="s">
        <v>1073</v>
      </c>
      <c r="D413" s="3" t="s">
        <v>182</v>
      </c>
      <c r="E413" s="3" t="s">
        <v>129</v>
      </c>
      <c r="F413" s="3" t="s">
        <v>183</v>
      </c>
      <c r="G413" s="3" t="s">
        <v>183</v>
      </c>
      <c r="H413" s="3" t="s">
        <v>1072</v>
      </c>
      <c r="I413" s="3" t="s">
        <v>68</v>
      </c>
    </row>
    <row r="414" spans="1:9" x14ac:dyDescent="0.2">
      <c r="A414">
        <v>18386</v>
      </c>
      <c r="B414" t="s">
        <v>1074</v>
      </c>
      <c r="C414" t="s">
        <v>1075</v>
      </c>
      <c r="D414" s="3" t="s">
        <v>182</v>
      </c>
      <c r="E414" s="3" t="s">
        <v>129</v>
      </c>
      <c r="F414" s="3" t="s">
        <v>183</v>
      </c>
      <c r="G414" s="3" t="s">
        <v>183</v>
      </c>
      <c r="H414" s="3" t="s">
        <v>1074</v>
      </c>
      <c r="I414" s="3" t="s">
        <v>68</v>
      </c>
    </row>
    <row r="415" spans="1:9" x14ac:dyDescent="0.2">
      <c r="A415">
        <v>18387</v>
      </c>
      <c r="B415" t="s">
        <v>1076</v>
      </c>
      <c r="C415" t="s">
        <v>1077</v>
      </c>
      <c r="D415" s="3" t="s">
        <v>182</v>
      </c>
      <c r="E415" s="3" t="s">
        <v>129</v>
      </c>
      <c r="F415" s="3" t="s">
        <v>183</v>
      </c>
      <c r="G415" s="3" t="s">
        <v>183</v>
      </c>
      <c r="H415" s="3" t="s">
        <v>1076</v>
      </c>
      <c r="I415" s="3" t="s">
        <v>68</v>
      </c>
    </row>
    <row r="416" spans="1:9" x14ac:dyDescent="0.2">
      <c r="A416">
        <v>18388</v>
      </c>
      <c r="B416" t="s">
        <v>1078</v>
      </c>
      <c r="C416" t="s">
        <v>1079</v>
      </c>
      <c r="D416" s="3" t="s">
        <v>182</v>
      </c>
      <c r="E416" s="3" t="s">
        <v>129</v>
      </c>
      <c r="F416" s="3" t="s">
        <v>183</v>
      </c>
      <c r="G416" s="3" t="s">
        <v>183</v>
      </c>
      <c r="H416" s="3" t="s">
        <v>1078</v>
      </c>
      <c r="I416" s="3" t="s">
        <v>68</v>
      </c>
    </row>
    <row r="417" spans="1:9" x14ac:dyDescent="0.2">
      <c r="A417">
        <v>18389</v>
      </c>
      <c r="B417" t="s">
        <v>1080</v>
      </c>
      <c r="C417" t="s">
        <v>1081</v>
      </c>
      <c r="D417" s="3" t="s">
        <v>182</v>
      </c>
      <c r="E417" s="3" t="s">
        <v>129</v>
      </c>
      <c r="F417" s="3" t="s">
        <v>183</v>
      </c>
      <c r="G417" s="3" t="s">
        <v>183</v>
      </c>
      <c r="H417" s="3" t="s">
        <v>1080</v>
      </c>
      <c r="I417" s="3" t="s">
        <v>68</v>
      </c>
    </row>
    <row r="418" spans="1:9" x14ac:dyDescent="0.2">
      <c r="A418">
        <v>18390</v>
      </c>
      <c r="B418" t="s">
        <v>104</v>
      </c>
      <c r="C418" t="s">
        <v>130</v>
      </c>
      <c r="D418" s="3" t="s">
        <v>427</v>
      </c>
      <c r="E418" s="3" t="s">
        <v>129</v>
      </c>
      <c r="F418" s="3" t="s">
        <v>1082</v>
      </c>
      <c r="G418" s="3" t="s">
        <v>183</v>
      </c>
      <c r="H418" s="3" t="s">
        <v>104</v>
      </c>
      <c r="I418" s="3" t="s">
        <v>68</v>
      </c>
    </row>
    <row r="419" spans="1:9" x14ac:dyDescent="0.2">
      <c r="A419">
        <v>18391</v>
      </c>
      <c r="B419" t="s">
        <v>105</v>
      </c>
      <c r="C419" t="s">
        <v>131</v>
      </c>
      <c r="D419" s="3" t="s">
        <v>427</v>
      </c>
      <c r="E419" s="3" t="s">
        <v>129</v>
      </c>
      <c r="F419" s="3" t="s">
        <v>1082</v>
      </c>
      <c r="G419" s="3" t="s">
        <v>183</v>
      </c>
      <c r="H419" s="3" t="s">
        <v>105</v>
      </c>
      <c r="I419" s="3" t="s">
        <v>68</v>
      </c>
    </row>
    <row r="420" spans="1:9" x14ac:dyDescent="0.2">
      <c r="A420">
        <v>18392</v>
      </c>
      <c r="B420" t="s">
        <v>1083</v>
      </c>
      <c r="C420" t="s">
        <v>1084</v>
      </c>
      <c r="D420" s="3" t="s">
        <v>427</v>
      </c>
      <c r="E420" s="3" t="s">
        <v>129</v>
      </c>
      <c r="F420" s="3" t="s">
        <v>1082</v>
      </c>
      <c r="G420" s="3" t="s">
        <v>183</v>
      </c>
      <c r="H420" s="3" t="s">
        <v>1083</v>
      </c>
      <c r="I420" s="3" t="s">
        <v>68</v>
      </c>
    </row>
    <row r="421" spans="1:9" x14ac:dyDescent="0.2">
      <c r="A421">
        <v>18393</v>
      </c>
      <c r="B421" t="s">
        <v>1085</v>
      </c>
      <c r="C421" t="s">
        <v>1086</v>
      </c>
      <c r="D421" s="3" t="s">
        <v>427</v>
      </c>
      <c r="E421" s="3" t="s">
        <v>129</v>
      </c>
      <c r="F421" s="3" t="s">
        <v>1082</v>
      </c>
      <c r="G421" s="3" t="s">
        <v>183</v>
      </c>
      <c r="H421" s="3" t="s">
        <v>1085</v>
      </c>
      <c r="I421" s="3" t="s">
        <v>68</v>
      </c>
    </row>
    <row r="422" spans="1:9" x14ac:dyDescent="0.2">
      <c r="A422">
        <v>18394</v>
      </c>
      <c r="B422" t="s">
        <v>1087</v>
      </c>
      <c r="C422" t="s">
        <v>1088</v>
      </c>
      <c r="D422" s="3" t="s">
        <v>427</v>
      </c>
      <c r="E422" s="3" t="s">
        <v>129</v>
      </c>
      <c r="F422" s="3" t="s">
        <v>1082</v>
      </c>
      <c r="G422" s="3" t="s">
        <v>183</v>
      </c>
      <c r="H422" s="3" t="s">
        <v>1087</v>
      </c>
      <c r="I422" s="3" t="s">
        <v>68</v>
      </c>
    </row>
    <row r="423" spans="1:9" x14ac:dyDescent="0.2">
      <c r="A423">
        <v>18395</v>
      </c>
      <c r="B423" t="s">
        <v>1089</v>
      </c>
      <c r="C423" t="s">
        <v>1090</v>
      </c>
      <c r="D423" s="3" t="s">
        <v>427</v>
      </c>
      <c r="E423" s="3" t="s">
        <v>129</v>
      </c>
      <c r="F423" s="3" t="s">
        <v>1082</v>
      </c>
      <c r="G423" s="3" t="s">
        <v>183</v>
      </c>
      <c r="H423" s="3" t="s">
        <v>1089</v>
      </c>
      <c r="I423" s="3" t="s">
        <v>68</v>
      </c>
    </row>
    <row r="424" spans="1:9" x14ac:dyDescent="0.2">
      <c r="A424">
        <v>18396</v>
      </c>
      <c r="B424" t="s">
        <v>1091</v>
      </c>
      <c r="C424" t="s">
        <v>1092</v>
      </c>
      <c r="D424" s="3" t="s">
        <v>427</v>
      </c>
      <c r="E424" s="3" t="s">
        <v>129</v>
      </c>
      <c r="F424" s="3" t="s">
        <v>1082</v>
      </c>
      <c r="G424" s="3" t="s">
        <v>183</v>
      </c>
      <c r="H424" s="3" t="s">
        <v>1091</v>
      </c>
      <c r="I424" s="3" t="s">
        <v>68</v>
      </c>
    </row>
    <row r="425" spans="1:9" x14ac:dyDescent="0.2">
      <c r="A425">
        <v>18397</v>
      </c>
      <c r="B425" t="s">
        <v>1093</v>
      </c>
      <c r="C425" t="s">
        <v>1094</v>
      </c>
      <c r="D425" s="3" t="s">
        <v>427</v>
      </c>
      <c r="E425" s="3" t="s">
        <v>129</v>
      </c>
      <c r="F425" s="3" t="s">
        <v>1082</v>
      </c>
      <c r="G425" s="3" t="s">
        <v>183</v>
      </c>
      <c r="H425" s="3" t="s">
        <v>1093</v>
      </c>
      <c r="I425" s="3" t="s">
        <v>68</v>
      </c>
    </row>
    <row r="426" spans="1:9" x14ac:dyDescent="0.2">
      <c r="A426">
        <v>18398</v>
      </c>
      <c r="B426" t="s">
        <v>1095</v>
      </c>
      <c r="C426" t="s">
        <v>1096</v>
      </c>
      <c r="D426" s="3" t="s">
        <v>427</v>
      </c>
      <c r="E426" s="3" t="s">
        <v>129</v>
      </c>
      <c r="F426" s="3" t="s">
        <v>1082</v>
      </c>
      <c r="G426" s="3" t="s">
        <v>183</v>
      </c>
      <c r="H426" s="3" t="s">
        <v>1095</v>
      </c>
      <c r="I426" s="3" t="s">
        <v>68</v>
      </c>
    </row>
    <row r="427" spans="1:9" x14ac:dyDescent="0.2">
      <c r="A427">
        <v>18399</v>
      </c>
      <c r="B427" t="s">
        <v>1097</v>
      </c>
      <c r="C427" t="s">
        <v>1098</v>
      </c>
      <c r="D427" s="3" t="s">
        <v>427</v>
      </c>
      <c r="E427" s="3" t="s">
        <v>129</v>
      </c>
      <c r="F427" s="3" t="s">
        <v>1082</v>
      </c>
      <c r="G427" s="3" t="s">
        <v>183</v>
      </c>
      <c r="H427" s="3" t="s">
        <v>1097</v>
      </c>
      <c r="I427" s="3" t="s">
        <v>68</v>
      </c>
    </row>
    <row r="428" spans="1:9" x14ac:dyDescent="0.2">
      <c r="A428">
        <v>18400</v>
      </c>
      <c r="B428" t="s">
        <v>1099</v>
      </c>
      <c r="C428" t="s">
        <v>1100</v>
      </c>
      <c r="D428" s="3" t="s">
        <v>427</v>
      </c>
      <c r="E428" s="3" t="s">
        <v>129</v>
      </c>
      <c r="F428" s="3" t="s">
        <v>1082</v>
      </c>
      <c r="G428" s="3" t="s">
        <v>183</v>
      </c>
      <c r="H428" s="3" t="s">
        <v>1099</v>
      </c>
      <c r="I428" s="3" t="s">
        <v>68</v>
      </c>
    </row>
    <row r="429" spans="1:9" x14ac:dyDescent="0.2">
      <c r="A429">
        <v>18401</v>
      </c>
      <c r="B429" t="s">
        <v>1101</v>
      </c>
      <c r="C429" t="s">
        <v>1102</v>
      </c>
      <c r="D429" s="3" t="s">
        <v>427</v>
      </c>
      <c r="E429" s="3" t="s">
        <v>129</v>
      </c>
      <c r="F429" s="3" t="s">
        <v>1082</v>
      </c>
      <c r="G429" s="3" t="s">
        <v>183</v>
      </c>
      <c r="H429" s="3" t="s">
        <v>1101</v>
      </c>
      <c r="I429" s="3" t="s">
        <v>68</v>
      </c>
    </row>
    <row r="430" spans="1:9" x14ac:dyDescent="0.2">
      <c r="A430">
        <v>18402</v>
      </c>
      <c r="B430" t="s">
        <v>1103</v>
      </c>
      <c r="C430" t="s">
        <v>1104</v>
      </c>
      <c r="D430" s="3" t="s">
        <v>427</v>
      </c>
      <c r="E430" s="3" t="s">
        <v>129</v>
      </c>
      <c r="F430" s="3" t="s">
        <v>1082</v>
      </c>
      <c r="G430" s="3" t="s">
        <v>183</v>
      </c>
      <c r="H430" s="3" t="s">
        <v>1103</v>
      </c>
      <c r="I430" s="3" t="s">
        <v>68</v>
      </c>
    </row>
    <row r="431" spans="1:9" x14ac:dyDescent="0.2">
      <c r="A431">
        <v>18403</v>
      </c>
      <c r="B431" t="s">
        <v>106</v>
      </c>
      <c r="C431" t="s">
        <v>132</v>
      </c>
      <c r="D431" s="3" t="s">
        <v>427</v>
      </c>
      <c r="E431" s="3" t="s">
        <v>129</v>
      </c>
      <c r="F431" s="3" t="s">
        <v>1082</v>
      </c>
      <c r="G431" s="3" t="s">
        <v>183</v>
      </c>
      <c r="H431" s="3" t="s">
        <v>106</v>
      </c>
      <c r="I431" s="3" t="s">
        <v>68</v>
      </c>
    </row>
    <row r="432" spans="1:9" x14ac:dyDescent="0.2">
      <c r="A432">
        <v>18404</v>
      </c>
      <c r="B432" t="s">
        <v>1105</v>
      </c>
      <c r="C432" t="s">
        <v>1106</v>
      </c>
      <c r="D432" s="3" t="s">
        <v>427</v>
      </c>
      <c r="E432" s="3" t="s">
        <v>129</v>
      </c>
      <c r="F432" s="3" t="s">
        <v>1082</v>
      </c>
      <c r="G432" s="3" t="s">
        <v>183</v>
      </c>
      <c r="H432" s="3" t="s">
        <v>1105</v>
      </c>
      <c r="I432" s="3" t="s">
        <v>68</v>
      </c>
    </row>
    <row r="433" spans="1:9" x14ac:dyDescent="0.2">
      <c r="A433">
        <v>18405</v>
      </c>
      <c r="B433" t="s">
        <v>1107</v>
      </c>
      <c r="C433" t="s">
        <v>1108</v>
      </c>
      <c r="D433" s="3" t="s">
        <v>427</v>
      </c>
      <c r="E433" s="3" t="s">
        <v>129</v>
      </c>
      <c r="F433" s="3" t="s">
        <v>1109</v>
      </c>
      <c r="G433" s="3" t="s">
        <v>183</v>
      </c>
      <c r="H433" s="3" t="s">
        <v>1107</v>
      </c>
      <c r="I433" s="3" t="s">
        <v>68</v>
      </c>
    </row>
    <row r="434" spans="1:9" x14ac:dyDescent="0.2">
      <c r="A434">
        <v>18406</v>
      </c>
      <c r="B434" t="s">
        <v>1110</v>
      </c>
      <c r="C434" t="s">
        <v>1111</v>
      </c>
      <c r="D434" s="3" t="s">
        <v>378</v>
      </c>
      <c r="E434" s="3" t="s">
        <v>129</v>
      </c>
      <c r="F434" s="3" t="s">
        <v>1112</v>
      </c>
      <c r="G434" s="3" t="s">
        <v>183</v>
      </c>
      <c r="H434" s="3" t="s">
        <v>1110</v>
      </c>
      <c r="I434" s="3" t="s">
        <v>68</v>
      </c>
    </row>
    <row r="435" spans="1:9" x14ac:dyDescent="0.2">
      <c r="A435">
        <v>18407</v>
      </c>
      <c r="B435" t="s">
        <v>1113</v>
      </c>
      <c r="C435" t="s">
        <v>1114</v>
      </c>
      <c r="D435" s="3" t="s">
        <v>1115</v>
      </c>
      <c r="E435" s="3" t="s">
        <v>129</v>
      </c>
      <c r="F435" s="3" t="s">
        <v>1112</v>
      </c>
      <c r="G435" s="3" t="s">
        <v>183</v>
      </c>
      <c r="H435" s="3" t="s">
        <v>1113</v>
      </c>
      <c r="I435" s="3" t="s">
        <v>68</v>
      </c>
    </row>
    <row r="436" spans="1:9" x14ac:dyDescent="0.2">
      <c r="A436">
        <v>18408</v>
      </c>
      <c r="B436" t="s">
        <v>1116</v>
      </c>
      <c r="C436" t="s">
        <v>1117</v>
      </c>
      <c r="D436" s="3" t="s">
        <v>1115</v>
      </c>
      <c r="E436" s="3" t="s">
        <v>129</v>
      </c>
      <c r="F436" s="3" t="s">
        <v>1112</v>
      </c>
      <c r="G436" s="3" t="s">
        <v>183</v>
      </c>
      <c r="H436" s="3" t="s">
        <v>1116</v>
      </c>
      <c r="I436" s="3" t="s">
        <v>68</v>
      </c>
    </row>
    <row r="437" spans="1:9" x14ac:dyDescent="0.2">
      <c r="A437">
        <v>18409</v>
      </c>
      <c r="B437" t="s">
        <v>1118</v>
      </c>
      <c r="C437" t="s">
        <v>1119</v>
      </c>
      <c r="D437" s="3" t="s">
        <v>381</v>
      </c>
      <c r="E437" s="3" t="s">
        <v>129</v>
      </c>
      <c r="F437" s="3" t="s">
        <v>1112</v>
      </c>
      <c r="G437" s="3" t="s">
        <v>183</v>
      </c>
      <c r="H437" s="3" t="s">
        <v>1118</v>
      </c>
      <c r="I437" s="3" t="s">
        <v>68</v>
      </c>
    </row>
    <row r="438" spans="1:9" x14ac:dyDescent="0.2">
      <c r="A438">
        <v>18410</v>
      </c>
      <c r="B438" t="s">
        <v>1120</v>
      </c>
      <c r="C438" t="s">
        <v>1121</v>
      </c>
      <c r="D438" s="3" t="s">
        <v>381</v>
      </c>
      <c r="E438" s="3" t="s">
        <v>129</v>
      </c>
      <c r="F438" s="3" t="s">
        <v>1112</v>
      </c>
      <c r="G438" s="3" t="s">
        <v>183</v>
      </c>
      <c r="H438" s="3" t="s">
        <v>1120</v>
      </c>
      <c r="I438" s="3" t="s">
        <v>68</v>
      </c>
    </row>
    <row r="439" spans="1:9" x14ac:dyDescent="0.2">
      <c r="A439">
        <v>18411</v>
      </c>
      <c r="B439" t="s">
        <v>1122</v>
      </c>
      <c r="C439" t="s">
        <v>1123</v>
      </c>
      <c r="D439" s="3" t="s">
        <v>1124</v>
      </c>
      <c r="E439" s="3" t="s">
        <v>129</v>
      </c>
      <c r="F439" s="3" t="s">
        <v>1112</v>
      </c>
      <c r="G439" s="3" t="s">
        <v>183</v>
      </c>
      <c r="H439" s="3" t="s">
        <v>1122</v>
      </c>
      <c r="I439" s="3" t="s">
        <v>68</v>
      </c>
    </row>
    <row r="440" spans="1:9" x14ac:dyDescent="0.2">
      <c r="A440">
        <v>18412</v>
      </c>
      <c r="B440" t="s">
        <v>1125</v>
      </c>
      <c r="C440" t="s">
        <v>1126</v>
      </c>
      <c r="D440" s="3" t="s">
        <v>1124</v>
      </c>
      <c r="E440" s="3" t="s">
        <v>129</v>
      </c>
      <c r="F440" s="3" t="s">
        <v>1112</v>
      </c>
      <c r="G440" s="3" t="s">
        <v>183</v>
      </c>
      <c r="H440" s="3" t="s">
        <v>1125</v>
      </c>
      <c r="I440" s="3" t="s">
        <v>68</v>
      </c>
    </row>
    <row r="441" spans="1:9" x14ac:dyDescent="0.2">
      <c r="A441">
        <v>18413</v>
      </c>
      <c r="B441" t="s">
        <v>1127</v>
      </c>
      <c r="C441" t="s">
        <v>1128</v>
      </c>
      <c r="D441" s="3" t="s">
        <v>1129</v>
      </c>
      <c r="E441" s="3" t="s">
        <v>129</v>
      </c>
      <c r="F441" s="3" t="s">
        <v>1112</v>
      </c>
      <c r="G441" s="3" t="s">
        <v>183</v>
      </c>
      <c r="H441" s="3" t="s">
        <v>1127</v>
      </c>
      <c r="I441" s="3" t="s">
        <v>68</v>
      </c>
    </row>
    <row r="442" spans="1:9" x14ac:dyDescent="0.2">
      <c r="A442">
        <v>18414</v>
      </c>
      <c r="B442" t="s">
        <v>1130</v>
      </c>
      <c r="C442" t="s">
        <v>1131</v>
      </c>
      <c r="D442" s="3" t="s">
        <v>1129</v>
      </c>
      <c r="E442" s="3" t="s">
        <v>129</v>
      </c>
      <c r="F442" s="3" t="s">
        <v>1112</v>
      </c>
      <c r="G442" s="3" t="s">
        <v>183</v>
      </c>
      <c r="H442" s="3" t="s">
        <v>1130</v>
      </c>
      <c r="I442" s="3" t="s">
        <v>68</v>
      </c>
    </row>
    <row r="443" spans="1:9" x14ac:dyDescent="0.2">
      <c r="A443">
        <v>18415</v>
      </c>
      <c r="B443" t="s">
        <v>112</v>
      </c>
      <c r="C443" t="s">
        <v>138</v>
      </c>
      <c r="D443" s="3" t="s">
        <v>1129</v>
      </c>
      <c r="E443" s="3" t="s">
        <v>129</v>
      </c>
      <c r="F443" s="3" t="s">
        <v>1112</v>
      </c>
      <c r="G443" s="3" t="s">
        <v>183</v>
      </c>
      <c r="H443" s="3" t="s">
        <v>112</v>
      </c>
      <c r="I443" s="3" t="s">
        <v>68</v>
      </c>
    </row>
    <row r="444" spans="1:9" x14ac:dyDescent="0.2">
      <c r="A444">
        <v>18416</v>
      </c>
      <c r="B444" t="s">
        <v>1132</v>
      </c>
      <c r="C444" t="s">
        <v>1133</v>
      </c>
      <c r="D444" s="3" t="s">
        <v>1134</v>
      </c>
      <c r="E444" s="3" t="s">
        <v>129</v>
      </c>
      <c r="F444" s="3" t="s">
        <v>1112</v>
      </c>
      <c r="G444" s="3" t="s">
        <v>183</v>
      </c>
      <c r="H444" s="3" t="s">
        <v>1132</v>
      </c>
      <c r="I444" s="3" t="s">
        <v>68</v>
      </c>
    </row>
    <row r="445" spans="1:9" x14ac:dyDescent="0.2">
      <c r="A445">
        <v>18417</v>
      </c>
      <c r="B445" t="s">
        <v>1135</v>
      </c>
      <c r="C445" t="s">
        <v>1136</v>
      </c>
      <c r="D445" s="3" t="s">
        <v>410</v>
      </c>
      <c r="E445" s="3" t="s">
        <v>129</v>
      </c>
      <c r="F445" s="3" t="s">
        <v>1112</v>
      </c>
      <c r="G445" s="3" t="s">
        <v>183</v>
      </c>
      <c r="H445" s="3" t="s">
        <v>1135</v>
      </c>
      <c r="I445" s="3" t="s">
        <v>68</v>
      </c>
    </row>
    <row r="446" spans="1:9" x14ac:dyDescent="0.2">
      <c r="A446">
        <v>18418</v>
      </c>
      <c r="B446" t="s">
        <v>1137</v>
      </c>
      <c r="C446" t="s">
        <v>1138</v>
      </c>
      <c r="D446" s="3" t="s">
        <v>410</v>
      </c>
      <c r="E446" s="3" t="s">
        <v>129</v>
      </c>
      <c r="F446" s="3" t="s">
        <v>1112</v>
      </c>
      <c r="G446" s="3" t="s">
        <v>183</v>
      </c>
      <c r="H446" s="3" t="s">
        <v>1137</v>
      </c>
      <c r="I446" s="3" t="s">
        <v>68</v>
      </c>
    </row>
    <row r="447" spans="1:9" x14ac:dyDescent="0.2">
      <c r="A447">
        <v>18419</v>
      </c>
      <c r="B447" t="s">
        <v>1139</v>
      </c>
      <c r="C447" t="s">
        <v>1140</v>
      </c>
      <c r="D447" s="3" t="s">
        <v>415</v>
      </c>
      <c r="E447" s="3" t="s">
        <v>129</v>
      </c>
      <c r="F447" s="3" t="s">
        <v>1112</v>
      </c>
      <c r="G447" s="3" t="s">
        <v>183</v>
      </c>
      <c r="H447" s="3" t="s">
        <v>1139</v>
      </c>
      <c r="I447" s="3" t="s">
        <v>68</v>
      </c>
    </row>
    <row r="448" spans="1:9" x14ac:dyDescent="0.2">
      <c r="A448">
        <v>18420</v>
      </c>
      <c r="B448" t="s">
        <v>1141</v>
      </c>
      <c r="C448" t="s">
        <v>1142</v>
      </c>
      <c r="D448" s="3" t="s">
        <v>427</v>
      </c>
      <c r="E448" s="3" t="s">
        <v>129</v>
      </c>
      <c r="F448" s="3" t="s">
        <v>1112</v>
      </c>
      <c r="G448" s="3" t="s">
        <v>183</v>
      </c>
      <c r="H448" s="3" t="s">
        <v>1141</v>
      </c>
      <c r="I448" s="3" t="s">
        <v>68</v>
      </c>
    </row>
    <row r="449" spans="1:9" x14ac:dyDescent="0.2">
      <c r="A449">
        <v>18421</v>
      </c>
      <c r="B449" t="s">
        <v>1143</v>
      </c>
      <c r="C449" t="s">
        <v>1144</v>
      </c>
      <c r="D449" s="3" t="s">
        <v>1145</v>
      </c>
      <c r="E449" s="3" t="s">
        <v>129</v>
      </c>
      <c r="F449" s="3" t="s">
        <v>1112</v>
      </c>
      <c r="G449" s="3" t="s">
        <v>183</v>
      </c>
      <c r="H449" s="3" t="s">
        <v>1143</v>
      </c>
      <c r="I449" s="3" t="s">
        <v>68</v>
      </c>
    </row>
    <row r="450" spans="1:9" x14ac:dyDescent="0.2">
      <c r="A450">
        <v>18422</v>
      </c>
      <c r="B450" t="s">
        <v>1146</v>
      </c>
      <c r="C450" t="s">
        <v>1147</v>
      </c>
      <c r="D450" s="3" t="s">
        <v>1145</v>
      </c>
      <c r="E450" s="3" t="s">
        <v>129</v>
      </c>
      <c r="F450" s="3" t="s">
        <v>1112</v>
      </c>
      <c r="G450" s="3" t="s">
        <v>183</v>
      </c>
      <c r="H450" s="3" t="s">
        <v>1146</v>
      </c>
      <c r="I450" s="3" t="s">
        <v>68</v>
      </c>
    </row>
    <row r="451" spans="1:9" x14ac:dyDescent="0.2">
      <c r="A451">
        <v>18423</v>
      </c>
      <c r="B451" t="s">
        <v>1148</v>
      </c>
      <c r="C451" t="s">
        <v>1149</v>
      </c>
      <c r="D451" s="3" t="s">
        <v>1150</v>
      </c>
      <c r="E451" s="3" t="s">
        <v>129</v>
      </c>
      <c r="F451" s="3" t="s">
        <v>1112</v>
      </c>
      <c r="G451" s="3" t="s">
        <v>183</v>
      </c>
      <c r="H451" s="3" t="s">
        <v>1148</v>
      </c>
      <c r="I451" s="3" t="s">
        <v>68</v>
      </c>
    </row>
    <row r="452" spans="1:9" x14ac:dyDescent="0.2">
      <c r="A452">
        <v>18424</v>
      </c>
      <c r="B452" t="s">
        <v>1151</v>
      </c>
      <c r="C452" t="s">
        <v>1152</v>
      </c>
      <c r="D452" s="3" t="s">
        <v>381</v>
      </c>
      <c r="E452" s="3" t="s">
        <v>129</v>
      </c>
      <c r="F452" s="3" t="s">
        <v>1153</v>
      </c>
      <c r="G452" s="3" t="s">
        <v>183</v>
      </c>
      <c r="H452" s="3" t="s">
        <v>1151</v>
      </c>
      <c r="I452" s="3" t="s">
        <v>68</v>
      </c>
    </row>
    <row r="453" spans="1:9" x14ac:dyDescent="0.2">
      <c r="A453">
        <v>18425</v>
      </c>
      <c r="B453" t="s">
        <v>1154</v>
      </c>
      <c r="C453" t="s">
        <v>1155</v>
      </c>
      <c r="D453" s="3" t="s">
        <v>1129</v>
      </c>
      <c r="E453" s="3" t="s">
        <v>129</v>
      </c>
      <c r="F453" s="3" t="s">
        <v>1153</v>
      </c>
      <c r="G453" s="3" t="s">
        <v>183</v>
      </c>
      <c r="H453" s="3" t="s">
        <v>1154</v>
      </c>
      <c r="I453" s="3" t="s">
        <v>68</v>
      </c>
    </row>
    <row r="454" spans="1:9" x14ac:dyDescent="0.2">
      <c r="A454">
        <v>18426</v>
      </c>
      <c r="B454" t="s">
        <v>1156</v>
      </c>
      <c r="C454" t="s">
        <v>1157</v>
      </c>
      <c r="D454" s="3" t="s">
        <v>1129</v>
      </c>
      <c r="E454" s="3" t="s">
        <v>129</v>
      </c>
      <c r="F454" s="3" t="s">
        <v>1153</v>
      </c>
      <c r="G454" s="3" t="s">
        <v>183</v>
      </c>
      <c r="H454" s="3" t="s">
        <v>1156</v>
      </c>
      <c r="I454" s="3" t="s">
        <v>68</v>
      </c>
    </row>
    <row r="455" spans="1:9" x14ac:dyDescent="0.2">
      <c r="A455">
        <v>18427</v>
      </c>
      <c r="B455" t="s">
        <v>1158</v>
      </c>
      <c r="C455" t="s">
        <v>1159</v>
      </c>
      <c r="D455" s="3" t="s">
        <v>427</v>
      </c>
      <c r="E455" s="3" t="s">
        <v>129</v>
      </c>
      <c r="F455" s="3" t="s">
        <v>1153</v>
      </c>
      <c r="G455" s="3" t="s">
        <v>183</v>
      </c>
      <c r="H455" s="3" t="s">
        <v>1158</v>
      </c>
      <c r="I455" s="3" t="s">
        <v>68</v>
      </c>
    </row>
    <row r="456" spans="1:9" x14ac:dyDescent="0.2">
      <c r="A456">
        <v>18428</v>
      </c>
      <c r="B456" t="s">
        <v>1160</v>
      </c>
      <c r="C456" t="s">
        <v>1161</v>
      </c>
      <c r="D456" s="3" t="s">
        <v>1129</v>
      </c>
      <c r="E456" s="3" t="s">
        <v>129</v>
      </c>
      <c r="F456" s="3" t="s">
        <v>1153</v>
      </c>
      <c r="G456" s="3" t="s">
        <v>183</v>
      </c>
      <c r="H456" s="3" t="s">
        <v>1160</v>
      </c>
      <c r="I456" s="3" t="s">
        <v>68</v>
      </c>
    </row>
    <row r="457" spans="1:9" x14ac:dyDescent="0.2">
      <c r="A457">
        <v>18429</v>
      </c>
      <c r="B457" t="s">
        <v>1162</v>
      </c>
      <c r="C457" t="s">
        <v>1163</v>
      </c>
      <c r="D457" s="3" t="s">
        <v>1129</v>
      </c>
      <c r="E457" s="3" t="s">
        <v>129</v>
      </c>
      <c r="F457" s="3" t="s">
        <v>1153</v>
      </c>
      <c r="G457" s="3" t="s">
        <v>183</v>
      </c>
      <c r="H457" s="3" t="s">
        <v>1162</v>
      </c>
      <c r="I457" s="3" t="s">
        <v>68</v>
      </c>
    </row>
    <row r="458" spans="1:9" x14ac:dyDescent="0.2">
      <c r="A458">
        <v>18430</v>
      </c>
      <c r="B458" t="s">
        <v>1164</v>
      </c>
      <c r="C458" t="s">
        <v>1165</v>
      </c>
      <c r="D458" s="3" t="s">
        <v>1145</v>
      </c>
      <c r="E458" s="3" t="s">
        <v>129</v>
      </c>
      <c r="F458" s="3" t="s">
        <v>1112</v>
      </c>
      <c r="G458" s="3" t="s">
        <v>183</v>
      </c>
      <c r="H458" s="3" t="s">
        <v>1164</v>
      </c>
      <c r="I458" s="3" t="s">
        <v>68</v>
      </c>
    </row>
    <row r="459" spans="1:9" x14ac:dyDescent="0.2">
      <c r="A459">
        <v>18431</v>
      </c>
      <c r="B459" t="s">
        <v>1166</v>
      </c>
      <c r="C459" t="s">
        <v>1167</v>
      </c>
      <c r="D459" s="3" t="s">
        <v>1145</v>
      </c>
      <c r="E459" s="3" t="s">
        <v>129</v>
      </c>
      <c r="F459" s="3" t="s">
        <v>1112</v>
      </c>
      <c r="G459" s="3" t="s">
        <v>183</v>
      </c>
      <c r="H459" s="3" t="s">
        <v>1166</v>
      </c>
      <c r="I459" s="3" t="s">
        <v>68</v>
      </c>
    </row>
    <row r="460" spans="1:9" x14ac:dyDescent="0.2">
      <c r="A460">
        <v>18432</v>
      </c>
      <c r="B460" t="s">
        <v>1168</v>
      </c>
      <c r="C460" t="s">
        <v>1169</v>
      </c>
      <c r="D460" s="3" t="s">
        <v>1145</v>
      </c>
      <c r="E460" s="3" t="s">
        <v>129</v>
      </c>
      <c r="F460" s="3" t="s">
        <v>1112</v>
      </c>
      <c r="G460" s="3" t="s">
        <v>183</v>
      </c>
      <c r="H460" s="3" t="s">
        <v>1168</v>
      </c>
      <c r="I460" s="3" t="s">
        <v>68</v>
      </c>
    </row>
    <row r="461" spans="1:9" x14ac:dyDescent="0.2">
      <c r="A461">
        <v>18433</v>
      </c>
      <c r="B461" t="s">
        <v>1170</v>
      </c>
      <c r="C461" t="s">
        <v>1171</v>
      </c>
      <c r="D461" s="3" t="s">
        <v>1145</v>
      </c>
      <c r="E461" s="3" t="s">
        <v>129</v>
      </c>
      <c r="F461" s="3" t="s">
        <v>1112</v>
      </c>
      <c r="G461" s="3" t="s">
        <v>183</v>
      </c>
      <c r="H461" s="3" t="s">
        <v>1170</v>
      </c>
      <c r="I461" s="3" t="s">
        <v>68</v>
      </c>
    </row>
    <row r="462" spans="1:9" x14ac:dyDescent="0.2">
      <c r="A462">
        <v>18434</v>
      </c>
      <c r="B462" t="s">
        <v>1172</v>
      </c>
      <c r="C462" t="s">
        <v>1173</v>
      </c>
      <c r="D462" s="3" t="s">
        <v>1145</v>
      </c>
      <c r="E462" s="3" t="s">
        <v>129</v>
      </c>
      <c r="F462" s="3" t="s">
        <v>1112</v>
      </c>
      <c r="G462" s="3" t="s">
        <v>183</v>
      </c>
      <c r="H462" s="3" t="s">
        <v>1172</v>
      </c>
      <c r="I462" s="3" t="s">
        <v>68</v>
      </c>
    </row>
    <row r="463" spans="1:9" x14ac:dyDescent="0.2">
      <c r="A463">
        <v>18435</v>
      </c>
      <c r="B463" t="s">
        <v>1174</v>
      </c>
      <c r="C463" t="s">
        <v>1175</v>
      </c>
      <c r="D463" s="3" t="s">
        <v>1145</v>
      </c>
      <c r="E463" s="3" t="s">
        <v>129</v>
      </c>
      <c r="F463" s="3" t="s">
        <v>1112</v>
      </c>
      <c r="G463" s="3" t="s">
        <v>183</v>
      </c>
      <c r="H463" s="3" t="s">
        <v>1174</v>
      </c>
      <c r="I463" s="3" t="s">
        <v>68</v>
      </c>
    </row>
    <row r="464" spans="1:9" x14ac:dyDescent="0.2">
      <c r="A464">
        <v>18436</v>
      </c>
      <c r="B464" t="s">
        <v>1176</v>
      </c>
      <c r="C464" t="s">
        <v>1177</v>
      </c>
      <c r="D464" s="3" t="s">
        <v>1145</v>
      </c>
      <c r="E464" s="3" t="s">
        <v>129</v>
      </c>
      <c r="F464" s="3" t="s">
        <v>1112</v>
      </c>
      <c r="G464" s="3" t="s">
        <v>183</v>
      </c>
      <c r="H464" s="3" t="s">
        <v>1176</v>
      </c>
      <c r="I464" s="3" t="s">
        <v>68</v>
      </c>
    </row>
    <row r="465" spans="1:9" x14ac:dyDescent="0.2">
      <c r="A465">
        <v>18437</v>
      </c>
      <c r="B465" t="s">
        <v>1178</v>
      </c>
      <c r="C465" t="s">
        <v>1179</v>
      </c>
      <c r="D465" s="3" t="s">
        <v>182</v>
      </c>
      <c r="E465" s="3" t="s">
        <v>129</v>
      </c>
      <c r="F465" s="3" t="s">
        <v>183</v>
      </c>
      <c r="G465" s="3" t="s">
        <v>183</v>
      </c>
      <c r="H465" s="3" t="s">
        <v>1178</v>
      </c>
      <c r="I465" s="3" t="s">
        <v>68</v>
      </c>
    </row>
    <row r="466" spans="1:9" x14ac:dyDescent="0.2">
      <c r="A466">
        <v>18438</v>
      </c>
      <c r="B466" t="s">
        <v>1180</v>
      </c>
      <c r="C466" t="s">
        <v>1181</v>
      </c>
      <c r="D466" s="3" t="s">
        <v>182</v>
      </c>
      <c r="E466" s="3" t="s">
        <v>129</v>
      </c>
      <c r="F466" s="3" t="s">
        <v>183</v>
      </c>
      <c r="G466" s="3" t="s">
        <v>183</v>
      </c>
      <c r="H466" s="3" t="s">
        <v>1180</v>
      </c>
      <c r="I466" s="3" t="s">
        <v>68</v>
      </c>
    </row>
    <row r="467" spans="1:9" x14ac:dyDescent="0.2">
      <c r="A467">
        <v>18439</v>
      </c>
      <c r="B467" t="s">
        <v>1182</v>
      </c>
      <c r="C467" t="s">
        <v>1183</v>
      </c>
      <c r="D467" s="3" t="s">
        <v>182</v>
      </c>
      <c r="E467" s="3" t="s">
        <v>129</v>
      </c>
      <c r="F467" s="3" t="s">
        <v>183</v>
      </c>
      <c r="G467" s="3" t="s">
        <v>183</v>
      </c>
      <c r="H467" s="3" t="s">
        <v>1182</v>
      </c>
      <c r="I467" s="3" t="s">
        <v>68</v>
      </c>
    </row>
    <row r="468" spans="1:9" x14ac:dyDescent="0.2">
      <c r="A468">
        <v>18440</v>
      </c>
      <c r="B468" t="s">
        <v>1184</v>
      </c>
      <c r="C468" t="s">
        <v>1185</v>
      </c>
      <c r="D468" s="3" t="s">
        <v>182</v>
      </c>
      <c r="E468" s="3" t="s">
        <v>129</v>
      </c>
      <c r="F468" s="3" t="s">
        <v>183</v>
      </c>
      <c r="G468" s="3" t="s">
        <v>183</v>
      </c>
      <c r="H468" s="3" t="s">
        <v>1184</v>
      </c>
      <c r="I468" s="3" t="s">
        <v>68</v>
      </c>
    </row>
    <row r="469" spans="1:9" x14ac:dyDescent="0.2">
      <c r="A469">
        <v>18441</v>
      </c>
      <c r="B469" t="s">
        <v>1186</v>
      </c>
      <c r="C469" t="s">
        <v>1187</v>
      </c>
      <c r="D469" s="3" t="s">
        <v>182</v>
      </c>
      <c r="E469" s="3" t="s">
        <v>129</v>
      </c>
      <c r="F469" s="3" t="s">
        <v>183</v>
      </c>
      <c r="G469" s="3" t="s">
        <v>183</v>
      </c>
      <c r="H469" s="3" t="s">
        <v>1186</v>
      </c>
      <c r="I469" s="3" t="s">
        <v>68</v>
      </c>
    </row>
    <row r="470" spans="1:9" x14ac:dyDescent="0.2">
      <c r="A470">
        <v>18442</v>
      </c>
      <c r="B470" t="s">
        <v>1188</v>
      </c>
      <c r="C470" t="s">
        <v>1189</v>
      </c>
      <c r="D470" s="3" t="s">
        <v>427</v>
      </c>
      <c r="E470" s="3" t="s">
        <v>129</v>
      </c>
      <c r="F470" s="3" t="s">
        <v>1109</v>
      </c>
      <c r="G470" s="3" t="s">
        <v>183</v>
      </c>
      <c r="H470" s="3" t="s">
        <v>1188</v>
      </c>
      <c r="I470" s="3" t="s">
        <v>68</v>
      </c>
    </row>
    <row r="471" spans="1:9" x14ac:dyDescent="0.2">
      <c r="A471">
        <v>18443</v>
      </c>
      <c r="B471" t="s">
        <v>1190</v>
      </c>
      <c r="C471" t="s">
        <v>1191</v>
      </c>
      <c r="D471" s="3" t="s">
        <v>427</v>
      </c>
      <c r="E471" s="3" t="s">
        <v>129</v>
      </c>
      <c r="F471" s="3" t="s">
        <v>1109</v>
      </c>
      <c r="G471" s="3" t="s">
        <v>183</v>
      </c>
      <c r="H471" s="3" t="s">
        <v>1190</v>
      </c>
      <c r="I471" s="3" t="s">
        <v>68</v>
      </c>
    </row>
    <row r="472" spans="1:9" x14ac:dyDescent="0.2">
      <c r="A472">
        <v>18444</v>
      </c>
      <c r="B472" t="s">
        <v>1192</v>
      </c>
      <c r="C472" t="s">
        <v>1193</v>
      </c>
      <c r="D472" s="3" t="s">
        <v>427</v>
      </c>
      <c r="E472" s="3" t="s">
        <v>129</v>
      </c>
      <c r="F472" s="3" t="s">
        <v>1109</v>
      </c>
      <c r="G472" s="3" t="s">
        <v>183</v>
      </c>
      <c r="H472" s="3" t="s">
        <v>1192</v>
      </c>
      <c r="I472" s="3" t="s">
        <v>68</v>
      </c>
    </row>
    <row r="473" spans="1:9" x14ac:dyDescent="0.2">
      <c r="A473">
        <v>18445</v>
      </c>
      <c r="B473" t="s">
        <v>1194</v>
      </c>
      <c r="C473" t="s">
        <v>1195</v>
      </c>
      <c r="D473" s="3" t="s">
        <v>427</v>
      </c>
      <c r="E473" s="3" t="s">
        <v>129</v>
      </c>
      <c r="F473" s="3" t="s">
        <v>1109</v>
      </c>
      <c r="G473" s="3" t="s">
        <v>183</v>
      </c>
      <c r="H473" s="3" t="s">
        <v>1194</v>
      </c>
      <c r="I473" s="3" t="s">
        <v>68</v>
      </c>
    </row>
    <row r="474" spans="1:9" x14ac:dyDescent="0.2">
      <c r="A474">
        <v>18446</v>
      </c>
      <c r="B474" t="s">
        <v>1196</v>
      </c>
      <c r="C474" t="s">
        <v>1197</v>
      </c>
      <c r="D474" s="3" t="s">
        <v>427</v>
      </c>
      <c r="E474" s="3" t="s">
        <v>129</v>
      </c>
      <c r="F474" s="3" t="s">
        <v>1109</v>
      </c>
      <c r="G474" s="3" t="s">
        <v>183</v>
      </c>
      <c r="H474" s="3" t="s">
        <v>1196</v>
      </c>
      <c r="I474" s="3" t="s">
        <v>68</v>
      </c>
    </row>
    <row r="475" spans="1:9" x14ac:dyDescent="0.2">
      <c r="A475">
        <v>18447</v>
      </c>
      <c r="B475" t="s">
        <v>1198</v>
      </c>
      <c r="C475" t="s">
        <v>1199</v>
      </c>
      <c r="D475" s="3" t="s">
        <v>427</v>
      </c>
      <c r="E475" s="3" t="s">
        <v>129</v>
      </c>
      <c r="F475" s="3" t="s">
        <v>1109</v>
      </c>
      <c r="G475" s="3" t="s">
        <v>183</v>
      </c>
      <c r="H475" s="3" t="s">
        <v>1198</v>
      </c>
      <c r="I475" s="3" t="s">
        <v>68</v>
      </c>
    </row>
    <row r="476" spans="1:9" x14ac:dyDescent="0.2">
      <c r="A476">
        <v>18448</v>
      </c>
      <c r="B476" t="s">
        <v>1200</v>
      </c>
      <c r="C476" t="s">
        <v>1201</v>
      </c>
      <c r="D476" s="3" t="s">
        <v>427</v>
      </c>
      <c r="E476" s="3" t="s">
        <v>129</v>
      </c>
      <c r="F476" s="3" t="s">
        <v>1109</v>
      </c>
      <c r="G476" s="3" t="s">
        <v>183</v>
      </c>
      <c r="H476" s="3" t="s">
        <v>1200</v>
      </c>
      <c r="I476" s="3" t="s">
        <v>68</v>
      </c>
    </row>
    <row r="477" spans="1:9" x14ac:dyDescent="0.2">
      <c r="A477">
        <v>18449</v>
      </c>
      <c r="B477" t="s">
        <v>1202</v>
      </c>
      <c r="C477" t="s">
        <v>1203</v>
      </c>
      <c r="D477" s="3" t="s">
        <v>427</v>
      </c>
      <c r="E477" s="3" t="s">
        <v>129</v>
      </c>
      <c r="F477" s="3" t="s">
        <v>1109</v>
      </c>
      <c r="G477" s="3" t="s">
        <v>183</v>
      </c>
      <c r="H477" s="3" t="s">
        <v>1202</v>
      </c>
      <c r="I477" s="3" t="s">
        <v>68</v>
      </c>
    </row>
    <row r="478" spans="1:9" x14ac:dyDescent="0.2">
      <c r="A478">
        <v>18450</v>
      </c>
      <c r="B478" t="s">
        <v>1204</v>
      </c>
      <c r="C478" t="s">
        <v>1205</v>
      </c>
      <c r="D478" s="3" t="s">
        <v>427</v>
      </c>
      <c r="E478" s="3" t="s">
        <v>129</v>
      </c>
      <c r="F478" s="3" t="s">
        <v>1109</v>
      </c>
      <c r="G478" s="3" t="s">
        <v>183</v>
      </c>
      <c r="H478" s="3" t="s">
        <v>1204</v>
      </c>
      <c r="I478" s="3" t="s">
        <v>68</v>
      </c>
    </row>
    <row r="479" spans="1:9" x14ac:dyDescent="0.2">
      <c r="A479">
        <v>18451</v>
      </c>
      <c r="B479" t="s">
        <v>1206</v>
      </c>
      <c r="C479" t="s">
        <v>1207</v>
      </c>
      <c r="D479" s="3" t="s">
        <v>427</v>
      </c>
      <c r="E479" s="3" t="s">
        <v>129</v>
      </c>
      <c r="F479" s="3" t="s">
        <v>1109</v>
      </c>
      <c r="G479" s="3" t="s">
        <v>183</v>
      </c>
      <c r="H479" s="3" t="s">
        <v>1206</v>
      </c>
      <c r="I479" s="3" t="s">
        <v>68</v>
      </c>
    </row>
    <row r="480" spans="1:9" x14ac:dyDescent="0.2">
      <c r="A480">
        <v>18452</v>
      </c>
      <c r="B480" t="s">
        <v>1208</v>
      </c>
      <c r="C480" t="s">
        <v>1209</v>
      </c>
      <c r="D480" s="3" t="s">
        <v>427</v>
      </c>
      <c r="E480" s="3" t="s">
        <v>129</v>
      </c>
      <c r="F480" s="3" t="s">
        <v>1109</v>
      </c>
      <c r="G480" s="3" t="s">
        <v>183</v>
      </c>
      <c r="H480" s="3" t="s">
        <v>1208</v>
      </c>
      <c r="I480" s="3" t="s">
        <v>68</v>
      </c>
    </row>
    <row r="481" spans="1:9" x14ac:dyDescent="0.2">
      <c r="A481">
        <v>18453</v>
      </c>
      <c r="B481" t="s">
        <v>1210</v>
      </c>
      <c r="C481" t="s">
        <v>1211</v>
      </c>
      <c r="D481" s="3" t="s">
        <v>427</v>
      </c>
      <c r="E481" s="3" t="s">
        <v>129</v>
      </c>
      <c r="F481" s="3" t="s">
        <v>1109</v>
      </c>
      <c r="G481" s="3" t="s">
        <v>183</v>
      </c>
      <c r="H481" s="3" t="s">
        <v>1210</v>
      </c>
      <c r="I481" s="3" t="s">
        <v>68</v>
      </c>
    </row>
    <row r="482" spans="1:9" x14ac:dyDescent="0.2">
      <c r="A482">
        <v>18454</v>
      </c>
      <c r="B482" t="s">
        <v>1212</v>
      </c>
      <c r="C482" t="s">
        <v>1213</v>
      </c>
      <c r="D482" s="3" t="s">
        <v>427</v>
      </c>
      <c r="E482" s="3" t="s">
        <v>129</v>
      </c>
      <c r="F482" s="3" t="s">
        <v>1109</v>
      </c>
      <c r="G482" s="3" t="s">
        <v>183</v>
      </c>
      <c r="H482" s="3" t="s">
        <v>1212</v>
      </c>
      <c r="I482" s="3" t="s">
        <v>68</v>
      </c>
    </row>
    <row r="483" spans="1:9" x14ac:dyDescent="0.2">
      <c r="A483">
        <v>25735</v>
      </c>
      <c r="B483" t="s">
        <v>1214</v>
      </c>
      <c r="C483" t="s">
        <v>1215</v>
      </c>
      <c r="D483" s="3" t="s">
        <v>427</v>
      </c>
      <c r="E483" s="3" t="s">
        <v>129</v>
      </c>
      <c r="F483" s="3" t="s">
        <v>1216</v>
      </c>
      <c r="G483" s="3" t="s">
        <v>183</v>
      </c>
      <c r="H483" s="3" t="s">
        <v>1214</v>
      </c>
      <c r="I483" s="3" t="s">
        <v>68</v>
      </c>
    </row>
    <row r="484" spans="1:9" x14ac:dyDescent="0.2">
      <c r="A484">
        <v>40171</v>
      </c>
      <c r="B484" t="s">
        <v>1217</v>
      </c>
      <c r="C484" t="s">
        <v>1218</v>
      </c>
      <c r="D484" s="3" t="s">
        <v>1219</v>
      </c>
      <c r="E484" s="3" t="s">
        <v>129</v>
      </c>
      <c r="F484" s="3" t="s">
        <v>527</v>
      </c>
      <c r="G484" s="3" t="s">
        <v>183</v>
      </c>
      <c r="H484" s="3" t="s">
        <v>1217</v>
      </c>
      <c r="I484" s="3" t="s">
        <v>68</v>
      </c>
    </row>
    <row r="485" spans="1:9" x14ac:dyDescent="0.2">
      <c r="A485">
        <v>40172</v>
      </c>
      <c r="B485" t="s">
        <v>1220</v>
      </c>
      <c r="C485" t="s">
        <v>1221</v>
      </c>
      <c r="D485" s="3" t="s">
        <v>1219</v>
      </c>
      <c r="E485" s="3" t="s">
        <v>129</v>
      </c>
      <c r="F485" s="3" t="s">
        <v>527</v>
      </c>
      <c r="G485" s="3" t="s">
        <v>183</v>
      </c>
      <c r="H485" s="3" t="s">
        <v>1220</v>
      </c>
      <c r="I485" s="3" t="s">
        <v>68</v>
      </c>
    </row>
    <row r="486" spans="1:9" x14ac:dyDescent="0.2">
      <c r="A486">
        <v>40173</v>
      </c>
      <c r="B486" t="s">
        <v>1222</v>
      </c>
      <c r="C486" t="s">
        <v>1223</v>
      </c>
      <c r="D486" s="3" t="s">
        <v>1224</v>
      </c>
      <c r="E486" s="3" t="s">
        <v>129</v>
      </c>
      <c r="F486" s="3" t="s">
        <v>527</v>
      </c>
      <c r="G486" s="3" t="s">
        <v>183</v>
      </c>
      <c r="H486" s="3" t="s">
        <v>1222</v>
      </c>
      <c r="I486" s="3" t="s">
        <v>68</v>
      </c>
    </row>
    <row r="487" spans="1:9" x14ac:dyDescent="0.2">
      <c r="A487">
        <v>40174</v>
      </c>
      <c r="B487" t="s">
        <v>1225</v>
      </c>
      <c r="C487" t="s">
        <v>1226</v>
      </c>
      <c r="D487" s="3" t="s">
        <v>1224</v>
      </c>
      <c r="E487" s="3" t="s">
        <v>129</v>
      </c>
      <c r="F487" s="3" t="s">
        <v>527</v>
      </c>
      <c r="G487" s="3" t="s">
        <v>183</v>
      </c>
      <c r="H487" s="3" t="s">
        <v>1225</v>
      </c>
      <c r="I487" s="3" t="s">
        <v>68</v>
      </c>
    </row>
    <row r="488" spans="1:9" x14ac:dyDescent="0.2">
      <c r="A488">
        <v>40175</v>
      </c>
      <c r="B488" t="s">
        <v>1227</v>
      </c>
      <c r="C488" t="s">
        <v>1228</v>
      </c>
      <c r="D488" s="3" t="s">
        <v>1229</v>
      </c>
      <c r="E488" s="3" t="s">
        <v>129</v>
      </c>
      <c r="F488" s="3" t="s">
        <v>527</v>
      </c>
      <c r="G488" s="3" t="s">
        <v>183</v>
      </c>
      <c r="H488" s="3" t="s">
        <v>1227</v>
      </c>
      <c r="I488" s="3" t="s">
        <v>68</v>
      </c>
    </row>
    <row r="489" spans="1:9" x14ac:dyDescent="0.2">
      <c r="A489">
        <v>40176</v>
      </c>
      <c r="B489" t="s">
        <v>1230</v>
      </c>
      <c r="C489" t="s">
        <v>1231</v>
      </c>
      <c r="D489" s="3" t="s">
        <v>1229</v>
      </c>
      <c r="E489" s="3" t="s">
        <v>129</v>
      </c>
      <c r="F489" s="3" t="s">
        <v>527</v>
      </c>
      <c r="G489" s="3" t="s">
        <v>183</v>
      </c>
      <c r="H489" s="3" t="s">
        <v>1230</v>
      </c>
      <c r="I489" s="3" t="s">
        <v>68</v>
      </c>
    </row>
    <row r="490" spans="1:9" x14ac:dyDescent="0.2">
      <c r="A490">
        <v>40177</v>
      </c>
      <c r="B490" t="s">
        <v>1232</v>
      </c>
      <c r="C490" t="s">
        <v>1233</v>
      </c>
      <c r="D490" s="3" t="s">
        <v>1234</v>
      </c>
      <c r="E490" s="3" t="s">
        <v>129</v>
      </c>
      <c r="F490" s="3" t="s">
        <v>527</v>
      </c>
      <c r="G490" s="3" t="s">
        <v>183</v>
      </c>
      <c r="H490" s="3" t="s">
        <v>1232</v>
      </c>
      <c r="I490" s="3" t="s">
        <v>68</v>
      </c>
    </row>
    <row r="491" spans="1:9" x14ac:dyDescent="0.2">
      <c r="A491">
        <v>40178</v>
      </c>
      <c r="B491" t="s">
        <v>1235</v>
      </c>
      <c r="C491" t="s">
        <v>1236</v>
      </c>
      <c r="D491" s="3" t="s">
        <v>1234</v>
      </c>
      <c r="E491" s="3" t="s">
        <v>129</v>
      </c>
      <c r="F491" s="3" t="s">
        <v>527</v>
      </c>
      <c r="G491" s="3" t="s">
        <v>183</v>
      </c>
      <c r="H491" s="3" t="s">
        <v>1235</v>
      </c>
      <c r="I491" s="3" t="s">
        <v>68</v>
      </c>
    </row>
    <row r="492" spans="1:9" x14ac:dyDescent="0.2">
      <c r="A492">
        <v>40179</v>
      </c>
      <c r="B492" t="s">
        <v>1237</v>
      </c>
      <c r="C492" t="s">
        <v>1238</v>
      </c>
      <c r="D492" s="3" t="s">
        <v>1239</v>
      </c>
      <c r="E492" s="3" t="s">
        <v>129</v>
      </c>
      <c r="F492" s="3" t="s">
        <v>527</v>
      </c>
      <c r="G492" s="3" t="s">
        <v>183</v>
      </c>
      <c r="H492" s="3" t="s">
        <v>1237</v>
      </c>
      <c r="I492" s="3" t="s">
        <v>68</v>
      </c>
    </row>
    <row r="493" spans="1:9" x14ac:dyDescent="0.2">
      <c r="A493">
        <v>40180</v>
      </c>
      <c r="B493" t="s">
        <v>1240</v>
      </c>
      <c r="C493" t="s">
        <v>1241</v>
      </c>
      <c r="D493" s="3" t="s">
        <v>1239</v>
      </c>
      <c r="E493" s="3" t="s">
        <v>129</v>
      </c>
      <c r="F493" s="3" t="s">
        <v>527</v>
      </c>
      <c r="G493" s="3" t="s">
        <v>183</v>
      </c>
      <c r="H493" s="3" t="s">
        <v>1240</v>
      </c>
      <c r="I493" s="3" t="s">
        <v>68</v>
      </c>
    </row>
    <row r="494" spans="1:9" x14ac:dyDescent="0.2">
      <c r="A494">
        <v>40181</v>
      </c>
      <c r="B494" t="s">
        <v>1242</v>
      </c>
      <c r="C494" t="s">
        <v>1243</v>
      </c>
      <c r="D494" s="3" t="s">
        <v>1244</v>
      </c>
      <c r="E494" s="3" t="s">
        <v>129</v>
      </c>
      <c r="F494" s="3" t="s">
        <v>527</v>
      </c>
      <c r="G494" s="3" t="s">
        <v>183</v>
      </c>
      <c r="H494" s="3" t="s">
        <v>1242</v>
      </c>
      <c r="I494" s="3" t="s">
        <v>68</v>
      </c>
    </row>
    <row r="495" spans="1:9" x14ac:dyDescent="0.2">
      <c r="A495">
        <v>40182</v>
      </c>
      <c r="B495" t="s">
        <v>1245</v>
      </c>
      <c r="C495" t="s">
        <v>1246</v>
      </c>
      <c r="D495" s="3" t="s">
        <v>1244</v>
      </c>
      <c r="E495" s="3" t="s">
        <v>129</v>
      </c>
      <c r="F495" s="3" t="s">
        <v>527</v>
      </c>
      <c r="G495" s="3" t="s">
        <v>183</v>
      </c>
      <c r="H495" s="3" t="s">
        <v>1245</v>
      </c>
      <c r="I495" s="3" t="s">
        <v>68</v>
      </c>
    </row>
    <row r="496" spans="1:9" x14ac:dyDescent="0.2">
      <c r="A496">
        <v>40183</v>
      </c>
      <c r="B496" t="s">
        <v>1247</v>
      </c>
      <c r="C496" t="s">
        <v>1248</v>
      </c>
      <c r="D496" s="3" t="s">
        <v>1249</v>
      </c>
      <c r="E496" s="3" t="s">
        <v>129</v>
      </c>
      <c r="F496" s="3" t="s">
        <v>527</v>
      </c>
      <c r="G496" s="3" t="s">
        <v>183</v>
      </c>
      <c r="H496" s="3" t="s">
        <v>1247</v>
      </c>
      <c r="I496" s="3" t="s">
        <v>68</v>
      </c>
    </row>
    <row r="497" spans="1:9" x14ac:dyDescent="0.2">
      <c r="A497">
        <v>40184</v>
      </c>
      <c r="B497" t="s">
        <v>1250</v>
      </c>
      <c r="C497" t="s">
        <v>1251</v>
      </c>
      <c r="D497" s="3" t="s">
        <v>1249</v>
      </c>
      <c r="E497" s="3" t="s">
        <v>129</v>
      </c>
      <c r="F497" s="3" t="s">
        <v>527</v>
      </c>
      <c r="G497" s="3" t="s">
        <v>183</v>
      </c>
      <c r="H497" s="3" t="s">
        <v>1250</v>
      </c>
      <c r="I497" s="3" t="s">
        <v>68</v>
      </c>
    </row>
    <row r="498" spans="1:9" x14ac:dyDescent="0.2">
      <c r="A498">
        <v>40185</v>
      </c>
      <c r="B498" t="s">
        <v>1252</v>
      </c>
      <c r="C498" t="s">
        <v>1253</v>
      </c>
      <c r="D498" s="3" t="s">
        <v>1254</v>
      </c>
      <c r="E498" s="3" t="s">
        <v>129</v>
      </c>
      <c r="F498" s="3" t="s">
        <v>527</v>
      </c>
      <c r="G498" s="3" t="s">
        <v>183</v>
      </c>
      <c r="H498" s="3" t="s">
        <v>1252</v>
      </c>
      <c r="I498" s="3" t="s">
        <v>68</v>
      </c>
    </row>
    <row r="499" spans="1:9" x14ac:dyDescent="0.2">
      <c r="A499">
        <v>40186</v>
      </c>
      <c r="B499" t="s">
        <v>1255</v>
      </c>
      <c r="C499" t="s">
        <v>1256</v>
      </c>
      <c r="D499" s="3" t="s">
        <v>1254</v>
      </c>
      <c r="E499" s="3" t="s">
        <v>129</v>
      </c>
      <c r="F499" s="3" t="s">
        <v>527</v>
      </c>
      <c r="G499" s="3" t="s">
        <v>183</v>
      </c>
      <c r="H499" s="3" t="s">
        <v>1255</v>
      </c>
      <c r="I499" s="3" t="s">
        <v>68</v>
      </c>
    </row>
    <row r="500" spans="1:9" x14ac:dyDescent="0.2">
      <c r="A500">
        <v>40187</v>
      </c>
      <c r="B500" t="s">
        <v>1257</v>
      </c>
      <c r="C500" t="s">
        <v>1258</v>
      </c>
      <c r="D500" s="3" t="s">
        <v>182</v>
      </c>
      <c r="E500" s="3" t="s">
        <v>129</v>
      </c>
      <c r="F500" s="3" t="s">
        <v>527</v>
      </c>
      <c r="G500" s="3" t="s">
        <v>183</v>
      </c>
      <c r="H500" s="3" t="s">
        <v>1257</v>
      </c>
      <c r="I500" s="3" t="s">
        <v>68</v>
      </c>
    </row>
    <row r="501" spans="1:9" x14ac:dyDescent="0.2">
      <c r="A501">
        <v>40396</v>
      </c>
      <c r="B501" t="s">
        <v>1259</v>
      </c>
      <c r="C501" t="s">
        <v>1260</v>
      </c>
      <c r="D501" s="3" t="s">
        <v>855</v>
      </c>
      <c r="E501" s="3" t="s">
        <v>129</v>
      </c>
      <c r="F501" s="3" t="s">
        <v>183</v>
      </c>
      <c r="G501" s="3" t="s">
        <v>183</v>
      </c>
      <c r="H501" s="3" t="s">
        <v>1259</v>
      </c>
      <c r="I501" s="3" t="s">
        <v>68</v>
      </c>
    </row>
    <row r="502" spans="1:9" x14ac:dyDescent="0.2">
      <c r="A502">
        <v>40397</v>
      </c>
      <c r="B502" t="s">
        <v>1261</v>
      </c>
      <c r="C502" t="s">
        <v>1262</v>
      </c>
      <c r="D502" s="3" t="s">
        <v>801</v>
      </c>
      <c r="E502" s="3" t="s">
        <v>129</v>
      </c>
      <c r="F502" s="3" t="s">
        <v>956</v>
      </c>
      <c r="G502" s="3" t="s">
        <v>183</v>
      </c>
      <c r="H502" s="3" t="s">
        <v>1261</v>
      </c>
      <c r="I502" s="3" t="s">
        <v>68</v>
      </c>
    </row>
    <row r="503" spans="1:9" x14ac:dyDescent="0.2">
      <c r="A503">
        <v>40398</v>
      </c>
      <c r="B503" t="s">
        <v>1263</v>
      </c>
      <c r="C503" t="s">
        <v>1264</v>
      </c>
      <c r="D503" s="3" t="s">
        <v>855</v>
      </c>
      <c r="E503" s="3" t="s">
        <v>129</v>
      </c>
      <c r="F503" s="3" t="s">
        <v>956</v>
      </c>
      <c r="G503" s="3" t="s">
        <v>183</v>
      </c>
      <c r="H503" s="3" t="s">
        <v>1263</v>
      </c>
      <c r="I503" s="3" t="s">
        <v>68</v>
      </c>
    </row>
    <row r="504" spans="1:9" x14ac:dyDescent="0.2">
      <c r="A504">
        <v>40399</v>
      </c>
      <c r="B504" t="s">
        <v>1265</v>
      </c>
      <c r="C504" t="s">
        <v>1266</v>
      </c>
      <c r="D504" s="3" t="s">
        <v>801</v>
      </c>
      <c r="E504" s="3" t="s">
        <v>129</v>
      </c>
      <c r="F504" s="3" t="s">
        <v>1267</v>
      </c>
      <c r="G504" s="3" t="s">
        <v>183</v>
      </c>
      <c r="H504" s="3" t="s">
        <v>1265</v>
      </c>
      <c r="I504" s="3" t="s">
        <v>68</v>
      </c>
    </row>
    <row r="505" spans="1:9" x14ac:dyDescent="0.2">
      <c r="A505">
        <v>40400</v>
      </c>
      <c r="B505" t="s">
        <v>1268</v>
      </c>
      <c r="C505" t="s">
        <v>1269</v>
      </c>
      <c r="D505" s="3" t="s">
        <v>855</v>
      </c>
      <c r="E505" s="3" t="s">
        <v>129</v>
      </c>
      <c r="F505" s="3" t="s">
        <v>183</v>
      </c>
      <c r="G505" s="3" t="s">
        <v>183</v>
      </c>
      <c r="H505" s="3" t="s">
        <v>1268</v>
      </c>
      <c r="I505" s="3" t="s">
        <v>68</v>
      </c>
    </row>
    <row r="506" spans="1:9" x14ac:dyDescent="0.2">
      <c r="A506">
        <v>40401</v>
      </c>
      <c r="B506" t="s">
        <v>1270</v>
      </c>
      <c r="C506" t="s">
        <v>1271</v>
      </c>
      <c r="D506" s="3" t="s">
        <v>801</v>
      </c>
      <c r="E506" s="3" t="s">
        <v>129</v>
      </c>
      <c r="F506" s="3" t="s">
        <v>1267</v>
      </c>
      <c r="G506" s="3" t="s">
        <v>183</v>
      </c>
      <c r="H506" s="3" t="s">
        <v>1270</v>
      </c>
      <c r="I506" s="3" t="s">
        <v>68</v>
      </c>
    </row>
    <row r="507" spans="1:9" x14ac:dyDescent="0.2">
      <c r="A507">
        <v>40420</v>
      </c>
      <c r="B507" t="s">
        <v>1272</v>
      </c>
      <c r="C507" t="s">
        <v>1273</v>
      </c>
      <c r="D507" s="3" t="s">
        <v>427</v>
      </c>
      <c r="E507" s="3" t="s">
        <v>129</v>
      </c>
      <c r="F507" s="3" t="s">
        <v>1274</v>
      </c>
      <c r="G507" s="3" t="s">
        <v>1275</v>
      </c>
      <c r="H507" s="3" t="s">
        <v>1272</v>
      </c>
    </row>
    <row r="508" spans="1:9" x14ac:dyDescent="0.2">
      <c r="A508">
        <v>40421</v>
      </c>
      <c r="B508" t="s">
        <v>1276</v>
      </c>
      <c r="C508" t="s">
        <v>1277</v>
      </c>
      <c r="D508" s="3" t="s">
        <v>427</v>
      </c>
      <c r="E508" s="3" t="s">
        <v>129</v>
      </c>
      <c r="F508" s="3" t="s">
        <v>1274</v>
      </c>
      <c r="G508" s="3" t="s">
        <v>1275</v>
      </c>
      <c r="H508" s="3" t="s">
        <v>1276</v>
      </c>
    </row>
    <row r="509" spans="1:9" x14ac:dyDescent="0.2">
      <c r="A509">
        <v>40422</v>
      </c>
      <c r="B509" t="s">
        <v>1278</v>
      </c>
      <c r="C509" t="s">
        <v>1279</v>
      </c>
      <c r="D509" s="3" t="s">
        <v>427</v>
      </c>
      <c r="E509" s="3" t="s">
        <v>129</v>
      </c>
      <c r="F509" s="3" t="s">
        <v>1274</v>
      </c>
      <c r="G509" s="3" t="s">
        <v>1275</v>
      </c>
      <c r="H509" s="3" t="s">
        <v>1278</v>
      </c>
    </row>
    <row r="510" spans="1:9" x14ac:dyDescent="0.2">
      <c r="A510">
        <v>40423</v>
      </c>
      <c r="B510" t="s">
        <v>1280</v>
      </c>
      <c r="C510" t="s">
        <v>1281</v>
      </c>
      <c r="D510" s="3" t="s">
        <v>427</v>
      </c>
      <c r="E510" s="3" t="s">
        <v>129</v>
      </c>
      <c r="F510" s="3" t="s">
        <v>1274</v>
      </c>
      <c r="G510" s="3" t="s">
        <v>1275</v>
      </c>
      <c r="H510" s="3" t="s">
        <v>1280</v>
      </c>
    </row>
    <row r="511" spans="1:9" x14ac:dyDescent="0.2">
      <c r="A511">
        <v>40424</v>
      </c>
      <c r="B511" t="s">
        <v>1282</v>
      </c>
      <c r="C511" t="s">
        <v>1283</v>
      </c>
      <c r="D511" s="3" t="s">
        <v>427</v>
      </c>
      <c r="E511" s="3" t="s">
        <v>129</v>
      </c>
      <c r="F511" s="3" t="s">
        <v>1274</v>
      </c>
      <c r="G511" s="3" t="s">
        <v>1275</v>
      </c>
      <c r="H511" s="3" t="s">
        <v>1282</v>
      </c>
    </row>
    <row r="512" spans="1:9" x14ac:dyDescent="0.2">
      <c r="A512">
        <v>40425</v>
      </c>
      <c r="B512" t="s">
        <v>1284</v>
      </c>
      <c r="C512" t="s">
        <v>1285</v>
      </c>
      <c r="D512" s="3" t="s">
        <v>427</v>
      </c>
      <c r="E512" s="3" t="s">
        <v>129</v>
      </c>
      <c r="F512" s="3" t="s">
        <v>1274</v>
      </c>
      <c r="G512" s="3" t="s">
        <v>1275</v>
      </c>
      <c r="H512" s="3" t="s">
        <v>1284</v>
      </c>
    </row>
    <row r="513" spans="1:9" x14ac:dyDescent="0.2">
      <c r="A513">
        <v>40427</v>
      </c>
      <c r="B513" t="s">
        <v>1286</v>
      </c>
      <c r="C513" t="s">
        <v>1287</v>
      </c>
      <c r="D513" s="3" t="s">
        <v>661</v>
      </c>
      <c r="E513" s="3" t="s">
        <v>129</v>
      </c>
      <c r="F513" s="3" t="s">
        <v>1288</v>
      </c>
      <c r="G513" s="3" t="s">
        <v>1288</v>
      </c>
      <c r="H513" s="3" t="s">
        <v>1289</v>
      </c>
    </row>
    <row r="514" spans="1:9" x14ac:dyDescent="0.2">
      <c r="A514">
        <v>41310</v>
      </c>
      <c r="B514" t="s">
        <v>1290</v>
      </c>
      <c r="C514" t="s">
        <v>1291</v>
      </c>
      <c r="D514" s="3" t="s">
        <v>427</v>
      </c>
      <c r="E514" s="3" t="s">
        <v>129</v>
      </c>
      <c r="F514" s="3" t="s">
        <v>1292</v>
      </c>
      <c r="G514" s="3" t="s">
        <v>183</v>
      </c>
      <c r="H514" s="3" t="s">
        <v>1290</v>
      </c>
      <c r="I514" s="3" t="s">
        <v>68</v>
      </c>
    </row>
    <row r="515" spans="1:9" x14ac:dyDescent="0.2">
      <c r="A515">
        <v>41311</v>
      </c>
      <c r="B515" t="s">
        <v>1293</v>
      </c>
      <c r="C515" t="s">
        <v>1294</v>
      </c>
      <c r="D515" s="3" t="s">
        <v>1129</v>
      </c>
      <c r="E515" s="3" t="s">
        <v>129</v>
      </c>
      <c r="F515" s="3" t="s">
        <v>527</v>
      </c>
      <c r="G515" s="3" t="s">
        <v>183</v>
      </c>
      <c r="H515" s="3" t="s">
        <v>1293</v>
      </c>
      <c r="I515" s="3" t="s">
        <v>68</v>
      </c>
    </row>
    <row r="516" spans="1:9" x14ac:dyDescent="0.2">
      <c r="A516">
        <v>41312</v>
      </c>
      <c r="B516" t="s">
        <v>1295</v>
      </c>
      <c r="C516" t="s">
        <v>1294</v>
      </c>
      <c r="D516" s="3" t="s">
        <v>1129</v>
      </c>
      <c r="E516" s="3" t="s">
        <v>129</v>
      </c>
      <c r="F516" s="3" t="s">
        <v>527</v>
      </c>
      <c r="G516" s="3" t="s">
        <v>183</v>
      </c>
      <c r="H516" s="3" t="s">
        <v>1295</v>
      </c>
      <c r="I516" s="3" t="s">
        <v>68</v>
      </c>
    </row>
    <row r="517" spans="1:9" x14ac:dyDescent="0.2">
      <c r="A517">
        <v>41313</v>
      </c>
      <c r="B517" t="s">
        <v>1296</v>
      </c>
      <c r="C517" t="s">
        <v>1297</v>
      </c>
      <c r="D517" s="3" t="s">
        <v>1129</v>
      </c>
      <c r="E517" s="3" t="s">
        <v>129</v>
      </c>
      <c r="F517" s="3" t="s">
        <v>1153</v>
      </c>
      <c r="G517" s="3" t="s">
        <v>183</v>
      </c>
      <c r="H517" s="3" t="s">
        <v>1296</v>
      </c>
      <c r="I517" s="3" t="s">
        <v>68</v>
      </c>
    </row>
    <row r="518" spans="1:9" x14ac:dyDescent="0.2">
      <c r="A518">
        <v>41315</v>
      </c>
      <c r="B518" t="s">
        <v>1143</v>
      </c>
      <c r="C518" t="s">
        <v>1298</v>
      </c>
      <c r="D518" s="3" t="s">
        <v>1129</v>
      </c>
      <c r="E518" s="3" t="s">
        <v>129</v>
      </c>
      <c r="F518" s="3" t="s">
        <v>1153</v>
      </c>
      <c r="G518" s="3" t="s">
        <v>183</v>
      </c>
      <c r="H518" s="3" t="s">
        <v>1143</v>
      </c>
      <c r="I518" s="3" t="s">
        <v>68</v>
      </c>
    </row>
    <row r="519" spans="1:9" x14ac:dyDescent="0.2">
      <c r="A519">
        <v>41316</v>
      </c>
      <c r="B519" t="s">
        <v>1164</v>
      </c>
      <c r="C519" t="s">
        <v>1298</v>
      </c>
      <c r="D519" s="3" t="s">
        <v>1129</v>
      </c>
      <c r="E519" s="3" t="s">
        <v>129</v>
      </c>
      <c r="F519" s="3" t="s">
        <v>1153</v>
      </c>
      <c r="G519" s="3" t="s">
        <v>183</v>
      </c>
      <c r="H519" s="3" t="s">
        <v>1164</v>
      </c>
      <c r="I519" s="3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</vt:lpstr>
      <vt:lpstr>Portfolios</vt:lpstr>
      <vt:lpstr>Risk-Metrics</vt:lpstr>
      <vt:lpstr>Factor Charts</vt:lpstr>
      <vt:lpstr>Assumptions</vt:lpstr>
      <vt:lpstr>RAW WEIGHTS</vt:lpstr>
      <vt:lpstr>Sheet5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2025-06-22T22:49:23Z</dcterms:modified>
</cp:coreProperties>
</file>