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python/epsilonPhi/core/reporting/"/>
    </mc:Choice>
  </mc:AlternateContent>
  <xr:revisionPtr revIDLastSave="0" documentId="13_ncr:1_{2CB26ADA-E1A5-3A46-9528-9429F21776F4}" xr6:coauthVersionLast="47" xr6:coauthVersionMax="47" xr10:uidLastSave="{00000000-0000-0000-0000-000000000000}"/>
  <bookViews>
    <workbookView xWindow="15460" yWindow="500" windowWidth="26200" windowHeight="18680" firstSheet="1" activeTab="5" xr2:uid="{00000000-000D-0000-FFFF-FFFF00000000}"/>
  </bookViews>
  <sheets>
    <sheet name="Sheet" sheetId="1" r:id="rId1"/>
    <sheet name="Portfolios" sheetId="2" r:id="rId2"/>
    <sheet name="Risk-Metrics" sheetId="3" r:id="rId3"/>
    <sheet name="Factor Charts" sheetId="4" r:id="rId4"/>
    <sheet name="Assumptions" sheetId="5" r:id="rId5"/>
    <sheet name="RAW WEIGH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6" l="1"/>
  <c r="E24" i="6"/>
  <c r="F24" i="6"/>
  <c r="C24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<sst xmlns="http://schemas.openxmlformats.org/spreadsheetml/2006/main" count="253" uniqueCount="129">
  <si>
    <t>Name</t>
  </si>
  <si>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</si>
  <si>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</si>
  <si>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</si>
  <si>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</si>
  <si>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</si>
  <si>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</si>
  <si>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</si>
  <si>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</si>
  <si>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</si>
  <si>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</si>
  <si>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</si>
  <si>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</si>
  <si>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</si>
  <si>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</si>
  <si>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</si>
  <si>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</si>
  <si>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</si>
  <si>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Income-Oriented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</si>
  <si>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</si>
  <si>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</si>
  <si>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</si>
  <si>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</si>
  <si>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</si>
  <si>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</si>
  <si>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</si>
  <si>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</si>
  <si>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</si>
  <si>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</si>
  <si>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Infrastructure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</si>
  <si>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</si>
  <si>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</si>
  <si>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</si>
  <si>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</si>
  <si>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</si>
  <si>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</si>
  <si>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</si>
  <si>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</si>
  <si>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</si>
  <si>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</si>
  <si>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Core Real Estate and Infrastructure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</si>
  <si>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</si>
  <si>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</si>
  <si>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</si>
  <si>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</si>
  <si>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</si>
  <si>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</si>
  <si>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</si>
  <si>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</si>
  <si>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</si>
  <si>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</si>
  <si>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</si>
  <si>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</si>
  <si>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</si>
  <si>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</si>
  <si>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</si>
  <si>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</si>
  <si>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</si>
  <si>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</si>
  <si>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</si>
  <si>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</si>
  <si>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</si>
  <si>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</si>
  <si>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</si>
  <si>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</si>
  <si>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</si>
  <si>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</si>
  <si>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</si>
  <si>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</si>
  <si>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</si>
  <si>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</si>
  <si>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</si>
  <si>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</si>
  <si>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</si>
  <si>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</si>
  <si>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</si>
  <si>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</si>
  <si>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</si>
  <si>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</si>
  <si>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</si>
  <si>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</si>
  <si>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</si>
  <si>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</si>
  <si>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</si>
  <si>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</si>
  <si>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</si>
  <si>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</si>
  <si>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</si>
  <si>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</si>
  <si>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</si>
  <si>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</si>
  <si>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</si>
  <si>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</si>
  <si>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</si>
  <si>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</si>
  <si>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</si>
  <si>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</si>
  <si>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</si>
  <si>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</si>
  <si>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</si>
  <si>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Core Real Estate</t>
  </si>
  <si>
    <t>Total</t>
  </si>
  <si>
    <t>Hedge Ratios</t>
  </si>
  <si>
    <t>LHTRYIN</t>
  </si>
  <si>
    <t>LHYIELD_GE20</t>
  </si>
  <si>
    <t>FRUS1GR</t>
  </si>
  <si>
    <t>FRUS1VA</t>
  </si>
  <si>
    <t>FRUSS2L</t>
  </si>
  <si>
    <t>MSEXUKL</t>
  </si>
  <si>
    <t>MSUTDKL</t>
  </si>
  <si>
    <t>MSJPANL</t>
  </si>
  <si>
    <t>MSPXJPL</t>
  </si>
  <si>
    <t>MSEMKF$</t>
  </si>
  <si>
    <t>SBBRGLL</t>
  </si>
  <si>
    <t>Global REITs</t>
  </si>
  <si>
    <t>Infrastructure Equity</t>
  </si>
  <si>
    <t>INFRA_EQUITY</t>
  </si>
  <si>
    <t>CSTEVDH</t>
  </si>
  <si>
    <t>CSTLNSH</t>
  </si>
  <si>
    <t>CSFBMTT</t>
  </si>
  <si>
    <t>Codes</t>
  </si>
  <si>
    <t>PE_BUYOUT</t>
  </si>
  <si>
    <t>PE_DISTRESSED</t>
  </si>
  <si>
    <t>PE_VENTURE</t>
  </si>
  <si>
    <t>PRIVATE_CREDIT</t>
  </si>
  <si>
    <t>PA_REAL_ESTATE</t>
  </si>
  <si>
    <t>PA_INFRA</t>
  </si>
  <si>
    <t>US High Yield Bonds</t>
  </si>
  <si>
    <t>LHUT1T3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</si>
</sst>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109">
    <xf numFmtId="0" fontId="0" fillId="0" borderId="0" xfId="0"/>
    <xf numFmtId="0" fontId="2" fillId="2" borderId="1" xfId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NumberFormat="1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NumberFormat="1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12" borderId="1" xfId="2" applyNumberFormat="1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0" fontId="6" fillId="3" borderId="12" xfId="0" applyFont="1" applyFill="1" applyBorder="1" applyAlignment="1">
      <alignment horizontal="center"/>
    </xf>
    <xf numFmtId="9" fontId="6" fillId="3" borderId="12" xfId="2" applyNumberFormat="1" applyFont="1" applyFill="1" applyBorder="1" applyAlignment="1">
      <alignment horizontal="center"/>
    </xf>
    <xf numFmtId="0" fontId="14" fillId="4" borderId="8" xfId="0" applyFont="1" applyFill="1" applyBorder="1"/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164" fontId="15" fillId="3" borderId="1" xfId="2" applyNumberFormat="1" applyFont="1" applyFill="1" applyBorder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164" fontId="15" fillId="3" borderId="4" xfId="2" applyNumberFormat="1" applyFont="1" applyFill="1" applyBorder="1" applyAlignment="1">
      <alignment horizontal="center" vertical="center"/>
    </xf>
    <xf numFmtId="0" fontId="15" fillId="3" borderId="0" xfId="0" applyFont="1" applyFill="1" applyAlignment="1">
      <alignment vertical="center"/>
    </xf>
    <xf numFmtId="164" fontId="15" fillId="3" borderId="5" xfId="2" applyNumberFormat="1" applyFont="1" applyFill="1" applyBorder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left" vertical="center"/>
    </xf>
    <xf numFmtId="164" fontId="17" fillId="13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165" fontId="15" fillId="3" borderId="0" xfId="0" applyNumberFormat="1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9" fontId="12" fillId="11" borderId="1" xfId="2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 vertical="center"/>
    </xf>
    <xf numFmtId="164" fontId="6" fillId="3" borderId="9" xfId="2" applyNumberFormat="1" applyFont="1" applyFill="1" applyBorder="1" applyAlignment="1">
      <alignment horizontal="center"/>
    </xf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D3DDEA"/>
      <color rgb="FFA2AAB4"/>
      <color rgb="FFB2B4B3"/>
      <color rgb="FFE1ECFA"/>
      <color rgb="FF039644"/>
      <color rgb="FF1636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9" customWidth="1"/>
    <col min="2" max="2" width="7" customWidth="1"/>
  </cols>
  <sheetData>
    <row r="1" spans="1:2" x14ac:dyDescent="0.2">
      <c r="A1" s="1"/>
      <c r="B1" s="1"/>
    </row>
    <row r="2" spans="1:2" x14ac:dyDescent="0.2">
      <c r="B2" s="2"/>
    </row>
    <row r="3" spans="1:2" x14ac:dyDescent="0.2">
      <c r="B3" s="2"/>
    </row>
    <row r="4" spans="1:2" x14ac:dyDescent="0.2">
      <c r="B4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3"/>
  <sheetViews>
    <sheetView zoomScale="110" zoomScaleNormal="110" workbookViewId="0">
      <selection sqref="A1:E27"/>
    </sheetView>
  </sheetViews>
  <sheetFormatPr baseColWidth="10" defaultRowHeight="15" x14ac:dyDescent="0.2"/>
  <cols>
    <col min="1" max="1" width="44" bestFit="1" customWidth="1"/>
    <col min="2" max="5" width="20.33203125" customWidth="1"/>
  </cols>
  <sheetData>
    <row r="1" spans="1:5" ht="37" customHeight="1" x14ac:dyDescent="0.2">
      <c r="A1" s="86"/>
      <c r="B1" s="87" t="s">
        <v>1</v>
      </c>
      <c r="C1" s="87" t="s">
        <v>2</v>
      </c>
      <c r="D1" s="87" t="s">
        <v>3</v>
      </c>
      <c r="E1" s="87" t="s">
        <v>4</v>
      </c>
    </row>
    <row r="2" spans="1:5" ht="18" customHeight="1" x14ac:dyDescent="0.2">
      <c r="A2" s="88" t="s">
        <v>5</v>
      </c>
      <c r="B2" s="89">
        <v>0.745</v>
      </c>
      <c r="C2" s="89" t="s">
        <v>41</v>
      </c>
      <c r="D2" s="89">
        <v>0.36</v>
      </c>
      <c r="E2" s="89">
        <v>0.15</v>
      </c>
    </row>
    <row r="3" spans="1:5" ht="18" customHeight="1" x14ac:dyDescent="0.2">
      <c r="A3" s="90" t="s">
        <v>38</v>
      </c>
      <c r="B3" s="91">
        <v>24.5</v>
      </c>
      <c r="C3" s="91">
        <v>58.5</v>
      </c>
      <c r="D3" s="92">
        <v>36</v>
      </c>
      <c r="E3" s="92">
        <v>15</v>
      </c>
    </row>
    <row r="4" spans="1:5" ht="18" customHeight="1" x14ac:dyDescent="0.2">
      <c r="A4" s="90" t="s">
        <v>6</v>
      </c>
      <c r="B4" s="92">
        <v>50</v>
      </c>
      <c r="C4" s="91" t="s">
        <v>39</v>
      </c>
      <c r="D4" s="91" t="s">
        <v>39</v>
      </c>
      <c r="E4" s="91" t="s">
        <v>39</v>
      </c>
    </row>
    <row r="5" spans="1:5" ht="18" customHeight="1" x14ac:dyDescent="0.2">
      <c r="A5" s="88" t="s">
        <v>7</v>
      </c>
      <c r="B5" s="89">
        <v>0.02</v>
      </c>
      <c r="C5" s="89">
        <v>0.03</v>
      </c>
      <c r="D5" s="89">
        <v>4.4999999999999998E-2</v>
      </c>
      <c r="E5" s="89">
        <v>5.5E-2</v>
      </c>
    </row>
    <row r="6" spans="1:5" ht="18" customHeight="1" x14ac:dyDescent="0.2">
      <c r="A6" s="90" t="s">
        <v>8</v>
      </c>
      <c r="B6" s="92">
        <v>2</v>
      </c>
      <c r="C6" s="92">
        <v>3</v>
      </c>
      <c r="D6" s="91">
        <v>4.5</v>
      </c>
      <c r="E6" s="91">
        <v>5.5</v>
      </c>
    </row>
    <row r="7" spans="1:5" ht="18" customHeight="1" x14ac:dyDescent="0.2">
      <c r="A7" s="88" t="s">
        <v>9</v>
      </c>
      <c r="B7" s="89">
        <v>0.14000000000000001</v>
      </c>
      <c r="C7" s="89">
        <v>0.22500000000000001</v>
      </c>
      <c r="D7" s="89">
        <v>0.35499999999999998</v>
      </c>
      <c r="E7" s="89">
        <v>0.505</v>
      </c>
    </row>
    <row r="8" spans="1:5" ht="18" customHeight="1" x14ac:dyDescent="0.2">
      <c r="A8" s="90" t="s">
        <v>10</v>
      </c>
      <c r="B8" s="91">
        <v>3.9</v>
      </c>
      <c r="C8" s="91">
        <v>6.3</v>
      </c>
      <c r="D8" s="92">
        <v>10</v>
      </c>
      <c r="E8" s="91">
        <v>14.2</v>
      </c>
    </row>
    <row r="9" spans="1:5" ht="18" customHeight="1" x14ac:dyDescent="0.2">
      <c r="A9" s="90" t="s">
        <v>11</v>
      </c>
      <c r="B9" s="91">
        <v>4.4000000000000004</v>
      </c>
      <c r="C9" s="91">
        <v>7.1</v>
      </c>
      <c r="D9" s="91">
        <v>11.2</v>
      </c>
      <c r="E9" s="91">
        <v>15.9</v>
      </c>
    </row>
    <row r="10" spans="1:5" ht="18" customHeight="1" x14ac:dyDescent="0.2">
      <c r="A10" s="90" t="s">
        <v>12</v>
      </c>
      <c r="B10" s="91">
        <v>1.4</v>
      </c>
      <c r="C10" s="91">
        <v>2.2000000000000002</v>
      </c>
      <c r="D10" s="91">
        <v>3.5</v>
      </c>
      <c r="E10" s="92">
        <v>5</v>
      </c>
    </row>
    <row r="11" spans="1:5" ht="18" customHeight="1" x14ac:dyDescent="0.2">
      <c r="A11" s="90" t="s">
        <v>13</v>
      </c>
      <c r="B11" s="91">
        <v>1.6</v>
      </c>
      <c r="C11" s="91">
        <v>2.5</v>
      </c>
      <c r="D11" s="92">
        <v>4</v>
      </c>
      <c r="E11" s="91">
        <v>5.7</v>
      </c>
    </row>
    <row r="12" spans="1:5" ht="18" customHeight="1" x14ac:dyDescent="0.2">
      <c r="A12" s="90" t="s">
        <v>14</v>
      </c>
      <c r="B12" s="91">
        <v>0.5</v>
      </c>
      <c r="C12" s="91">
        <v>0.8</v>
      </c>
      <c r="D12" s="91">
        <v>1.2</v>
      </c>
      <c r="E12" s="91">
        <v>1.7</v>
      </c>
    </row>
    <row r="13" spans="1:5" ht="18" customHeight="1" x14ac:dyDescent="0.2">
      <c r="A13" s="90" t="s">
        <v>15</v>
      </c>
      <c r="B13" s="91">
        <v>0.7</v>
      </c>
      <c r="C13" s="91">
        <v>1.1000000000000001</v>
      </c>
      <c r="D13" s="91">
        <v>1.8</v>
      </c>
      <c r="E13" s="91">
        <v>2.6</v>
      </c>
    </row>
    <row r="14" spans="1:5" ht="18" customHeight="1" x14ac:dyDescent="0.2">
      <c r="A14" s="90" t="s">
        <v>16</v>
      </c>
      <c r="B14" s="91">
        <v>0.4</v>
      </c>
      <c r="C14" s="91">
        <v>0.6</v>
      </c>
      <c r="D14" s="91">
        <v>0.9</v>
      </c>
      <c r="E14" s="91">
        <v>1.3</v>
      </c>
    </row>
    <row r="15" spans="1:5" ht="18" customHeight="1" x14ac:dyDescent="0.2">
      <c r="A15" s="90" t="s">
        <v>17</v>
      </c>
      <c r="B15" s="91">
        <v>0.4</v>
      </c>
      <c r="C15" s="91">
        <v>0.6</v>
      </c>
      <c r="D15" s="91">
        <v>0.9</v>
      </c>
      <c r="E15" s="91">
        <v>1.3</v>
      </c>
    </row>
    <row r="16" spans="1:5" ht="18" customHeight="1" x14ac:dyDescent="0.2">
      <c r="A16" s="90" t="s">
        <v>18</v>
      </c>
      <c r="B16" s="91">
        <v>0.8</v>
      </c>
      <c r="C16" s="91">
        <v>1.3</v>
      </c>
      <c r="D16" s="92">
        <v>2</v>
      </c>
      <c r="E16" s="91">
        <v>2.8</v>
      </c>
    </row>
    <row r="17" spans="1:5" ht="18" customHeight="1" x14ac:dyDescent="0.2">
      <c r="A17" s="88" t="s">
        <v>19</v>
      </c>
      <c r="B17" s="89">
        <v>1.4999999999999999E-2</v>
      </c>
      <c r="C17" s="89">
        <v>3.5000000000000003E-2</v>
      </c>
      <c r="D17" s="89">
        <v>4.4999999999999998E-2</v>
      </c>
      <c r="E17" s="89">
        <v>0.03</v>
      </c>
    </row>
    <row r="18" spans="1:5" ht="18" customHeight="1" x14ac:dyDescent="0.2">
      <c r="A18" s="90" t="s">
        <v>20</v>
      </c>
      <c r="B18" s="91">
        <v>0.3</v>
      </c>
      <c r="C18" s="91">
        <v>0.7</v>
      </c>
      <c r="D18" s="91">
        <v>0.9</v>
      </c>
      <c r="E18" s="91">
        <v>0.6</v>
      </c>
    </row>
    <row r="19" spans="1:5" ht="18" customHeight="1" x14ac:dyDescent="0.2">
      <c r="A19" s="90" t="s">
        <v>21</v>
      </c>
      <c r="B19" s="91">
        <v>0.6</v>
      </c>
      <c r="C19" s="91">
        <v>1.4</v>
      </c>
      <c r="D19" s="91">
        <v>1.8</v>
      </c>
      <c r="E19" s="91">
        <v>1.2</v>
      </c>
    </row>
    <row r="20" spans="1:5" ht="18" customHeight="1" x14ac:dyDescent="0.2">
      <c r="A20" s="90" t="s">
        <v>22</v>
      </c>
      <c r="B20" s="91">
        <v>0.6</v>
      </c>
      <c r="C20" s="91">
        <v>1.4</v>
      </c>
      <c r="D20" s="91">
        <v>1.8</v>
      </c>
      <c r="E20" s="91">
        <v>1.2</v>
      </c>
    </row>
    <row r="21" spans="1:5" ht="18" customHeight="1" x14ac:dyDescent="0.2">
      <c r="A21" s="88" t="s">
        <v>23</v>
      </c>
      <c r="B21" s="89">
        <v>0.04</v>
      </c>
      <c r="C21" s="89">
        <v>5.5E-2</v>
      </c>
      <c r="D21" s="89">
        <v>0.12</v>
      </c>
      <c r="E21" s="89">
        <v>0.185</v>
      </c>
    </row>
    <row r="22" spans="1:5" ht="18" customHeight="1" x14ac:dyDescent="0.2">
      <c r="A22" s="90" t="s">
        <v>24</v>
      </c>
      <c r="B22" s="92">
        <v>3</v>
      </c>
      <c r="C22" s="92">
        <v>4.0999999999999996</v>
      </c>
      <c r="D22" s="92">
        <v>8.4</v>
      </c>
      <c r="E22" s="92">
        <v>13</v>
      </c>
    </row>
    <row r="23" spans="1:5" ht="18" customHeight="1" x14ac:dyDescent="0.2">
      <c r="A23" s="90" t="s">
        <v>25</v>
      </c>
      <c r="B23" s="92">
        <v>1</v>
      </c>
      <c r="C23" s="92">
        <v>1.4</v>
      </c>
      <c r="D23" s="92">
        <v>2.8</v>
      </c>
      <c r="E23" s="92">
        <v>4.3</v>
      </c>
    </row>
    <row r="24" spans="1:5" ht="18" customHeight="1" x14ac:dyDescent="0.2">
      <c r="A24" s="90" t="s">
        <v>26</v>
      </c>
      <c r="B24" s="91" t="s">
        <v>39</v>
      </c>
      <c r="C24" s="91" t="s">
        <v>39</v>
      </c>
      <c r="D24" s="91">
        <v>0.8</v>
      </c>
      <c r="E24" s="91">
        <v>1.2</v>
      </c>
    </row>
    <row r="25" spans="1:5" ht="18" customHeight="1" x14ac:dyDescent="0.2">
      <c r="A25" s="88" t="s">
        <v>27</v>
      </c>
      <c r="B25" s="89">
        <v>0.04</v>
      </c>
      <c r="C25" s="89">
        <v>7.0000000000000007E-2</v>
      </c>
      <c r="D25" s="89">
        <v>7.4999999999999997E-2</v>
      </c>
      <c r="E25" s="89">
        <v>7.4999999999999997E-2</v>
      </c>
    </row>
    <row r="26" spans="1:5" ht="18" customHeight="1" x14ac:dyDescent="0.2">
      <c r="A26" s="90" t="s">
        <v>28</v>
      </c>
      <c r="B26" s="91">
        <v>1.3</v>
      </c>
      <c r="C26" s="91">
        <v>2.2999999999999998</v>
      </c>
      <c r="D26" s="91">
        <v>3.5</v>
      </c>
      <c r="E26" s="91">
        <v>3.5</v>
      </c>
    </row>
    <row r="27" spans="1:5" ht="18" customHeight="1" x14ac:dyDescent="0.2">
      <c r="A27" s="90" t="s">
        <v>40</v>
      </c>
      <c r="B27" s="91">
        <v>2.7</v>
      </c>
      <c r="C27" s="91">
        <v>4.7</v>
      </c>
      <c r="D27" s="92">
        <v>4</v>
      </c>
      <c r="E27" s="92">
        <v>4</v>
      </c>
    </row>
    <row r="28" spans="1:5" ht="17" x14ac:dyDescent="0.2">
      <c r="A28" s="93" t="s">
        <v>30</v>
      </c>
      <c r="B28" s="94">
        <v>1</v>
      </c>
      <c r="C28" s="94">
        <v>1</v>
      </c>
      <c r="D28" s="94">
        <v>1</v>
      </c>
      <c r="E28" s="94">
        <v>1</v>
      </c>
    </row>
    <row r="29" spans="1:5" ht="5" customHeight="1" x14ac:dyDescent="0.2">
      <c r="A29" s="8"/>
      <c r="B29" s="9"/>
      <c r="C29" s="9"/>
      <c r="D29" s="9"/>
      <c r="E29" s="9"/>
    </row>
    <row r="30" spans="1:5" ht="24" customHeight="1" x14ac:dyDescent="0.2">
      <c r="A30" s="95" t="s">
        <v>31</v>
      </c>
      <c r="B30" s="96">
        <v>4.3999999999999997E-2</v>
      </c>
      <c r="C30" s="96">
        <v>5.3999999999999999E-2</v>
      </c>
      <c r="D30" s="96">
        <v>6.5000000000000002E-2</v>
      </c>
      <c r="E30" s="96">
        <v>7.5999999999999998E-2</v>
      </c>
    </row>
    <row r="31" spans="1:5" ht="24" customHeight="1" x14ac:dyDescent="0.2">
      <c r="A31" s="95" t="s">
        <v>32</v>
      </c>
      <c r="B31" s="97">
        <v>0.6</v>
      </c>
      <c r="C31" s="97">
        <v>0.59</v>
      </c>
      <c r="D31" s="97">
        <v>0.53</v>
      </c>
      <c r="E31" s="97">
        <v>0.49</v>
      </c>
    </row>
    <row r="32" spans="1:5" ht="24" customHeight="1" x14ac:dyDescent="0.2">
      <c r="A32" s="95" t="s">
        <v>33</v>
      </c>
      <c r="B32" s="96">
        <v>3.1E-2</v>
      </c>
      <c r="C32" s="96">
        <v>4.9000000000000002E-2</v>
      </c>
      <c r="D32" s="96">
        <v>7.3999999999999996E-2</v>
      </c>
      <c r="E32" s="96">
        <v>0.10299999999999999</v>
      </c>
    </row>
    <row r="33" spans="1:5" ht="24" customHeight="1" x14ac:dyDescent="0.2">
      <c r="A33" s="95" t="s">
        <v>42</v>
      </c>
      <c r="B33" s="98" t="s">
        <v>34</v>
      </c>
      <c r="C33" s="98" t="s">
        <v>35</v>
      </c>
      <c r="D33" s="98" t="s">
        <v>36</v>
      </c>
      <c r="E33" s="98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G19" sqref="G19"/>
    </sheetView>
  </sheetViews>
  <sheetFormatPr baseColWidth="10" defaultRowHeight="15" x14ac:dyDescent="0.2"/>
  <cols>
    <col min="1" max="1" width="44" bestFit="1" customWidth="1"/>
    <col min="2" max="8" width="14.6640625" style="3" customWidth="1"/>
    <col min="9" max="9" width="14.6640625" customWidth="1"/>
  </cols>
  <sheetData>
    <row r="1" spans="1:9" ht="21" customHeight="1" x14ac:dyDescent="0.2">
      <c r="A1" s="60"/>
      <c r="B1" s="61" t="s">
        <v>1</v>
      </c>
      <c r="C1" s="61"/>
      <c r="D1" s="61" t="s">
        <v>2</v>
      </c>
      <c r="E1" s="61"/>
      <c r="F1" s="61" t="s">
        <v>3</v>
      </c>
      <c r="G1" s="61"/>
      <c r="H1" s="61" t="s">
        <v>4</v>
      </c>
      <c r="I1" s="62"/>
    </row>
    <row r="2" spans="1:9" ht="17" customHeight="1" x14ac:dyDescent="0.2">
      <c r="A2" s="63" t="s">
        <v>5</v>
      </c>
      <c r="B2" s="64">
        <v>0.745</v>
      </c>
      <c r="C2" s="64"/>
      <c r="D2" s="64" t="s">
        <v>41</v>
      </c>
      <c r="E2" s="64"/>
      <c r="F2" s="64">
        <v>0.36</v>
      </c>
      <c r="G2" s="64"/>
      <c r="H2" s="64">
        <v>0.15</v>
      </c>
      <c r="I2" s="64"/>
    </row>
    <row r="3" spans="1:9" ht="17" customHeight="1" x14ac:dyDescent="0.2">
      <c r="A3" s="65" t="s">
        <v>7</v>
      </c>
      <c r="B3" s="66">
        <v>0.02</v>
      </c>
      <c r="C3" s="66"/>
      <c r="D3" s="66">
        <v>0.03</v>
      </c>
      <c r="E3" s="66"/>
      <c r="F3" s="66">
        <v>4.4999999999999998E-2</v>
      </c>
      <c r="G3" s="66"/>
      <c r="H3" s="66">
        <v>5.5E-2</v>
      </c>
      <c r="I3" s="66"/>
    </row>
    <row r="4" spans="1:9" ht="17" customHeight="1" x14ac:dyDescent="0.2">
      <c r="A4" s="65" t="s">
        <v>9</v>
      </c>
      <c r="B4" s="66">
        <v>0.14000000000000001</v>
      </c>
      <c r="C4" s="66"/>
      <c r="D4" s="66">
        <v>0.22500000000000001</v>
      </c>
      <c r="E4" s="66"/>
      <c r="F4" s="66">
        <v>0.35499999999999998</v>
      </c>
      <c r="G4" s="66"/>
      <c r="H4" s="66">
        <v>0.505</v>
      </c>
      <c r="I4" s="66"/>
    </row>
    <row r="5" spans="1:9" ht="17" customHeight="1" x14ac:dyDescent="0.2">
      <c r="A5" s="65" t="s">
        <v>19</v>
      </c>
      <c r="B5" s="66">
        <v>1.4999999999999999E-2</v>
      </c>
      <c r="C5" s="66"/>
      <c r="D5" s="66">
        <v>3.5000000000000003E-2</v>
      </c>
      <c r="E5" s="66"/>
      <c r="F5" s="66">
        <v>4.4999999999999998E-2</v>
      </c>
      <c r="G5" s="66"/>
      <c r="H5" s="66">
        <v>0.03</v>
      </c>
      <c r="I5" s="66"/>
    </row>
    <row r="6" spans="1:9" ht="17" customHeight="1" x14ac:dyDescent="0.2">
      <c r="A6" s="65" t="s">
        <v>23</v>
      </c>
      <c r="B6" s="66">
        <v>0.04</v>
      </c>
      <c r="C6" s="66"/>
      <c r="D6" s="66">
        <v>5.5E-2</v>
      </c>
      <c r="E6" s="66"/>
      <c r="F6" s="66">
        <v>0.12</v>
      </c>
      <c r="G6" s="66"/>
      <c r="H6" s="66">
        <v>0.185</v>
      </c>
      <c r="I6" s="66"/>
    </row>
    <row r="7" spans="1:9" ht="17" customHeight="1" x14ac:dyDescent="0.2">
      <c r="A7" s="67" t="s">
        <v>27</v>
      </c>
      <c r="B7" s="68">
        <v>0.04</v>
      </c>
      <c r="C7" s="68"/>
      <c r="D7" s="68">
        <v>7.0000000000000007E-2</v>
      </c>
      <c r="E7" s="68"/>
      <c r="F7" s="68">
        <v>7.4999999999999997E-2</v>
      </c>
      <c r="G7" s="68"/>
      <c r="H7" s="68">
        <v>7.4999999999999997E-2</v>
      </c>
      <c r="I7" s="68"/>
    </row>
    <row r="8" spans="1:9" ht="17" customHeight="1" x14ac:dyDescent="0.2">
      <c r="A8" s="69" t="s">
        <v>31</v>
      </c>
      <c r="B8" s="70">
        <v>4.3999999999999997E-2</v>
      </c>
      <c r="C8" s="70"/>
      <c r="D8" s="70">
        <v>5.3999999999999999E-2</v>
      </c>
      <c r="E8" s="70"/>
      <c r="F8" s="70">
        <v>6.5000000000000002E-2</v>
      </c>
      <c r="G8" s="70"/>
      <c r="H8" s="70">
        <v>7.5999999999999998E-2</v>
      </c>
      <c r="I8" s="70"/>
    </row>
    <row r="9" spans="1:9" ht="17" customHeight="1" x14ac:dyDescent="0.2">
      <c r="A9" s="69" t="s">
        <v>32</v>
      </c>
      <c r="B9" s="71">
        <v>0.6</v>
      </c>
      <c r="C9" s="71"/>
      <c r="D9" s="71">
        <v>0.59</v>
      </c>
      <c r="E9" s="71"/>
      <c r="F9" s="71">
        <v>0.53</v>
      </c>
      <c r="G9" s="71"/>
      <c r="H9" s="71">
        <v>0.49</v>
      </c>
      <c r="I9" s="71"/>
    </row>
    <row r="10" spans="1:9" ht="17" customHeight="1" x14ac:dyDescent="0.2">
      <c r="A10" s="69" t="s">
        <v>33</v>
      </c>
      <c r="B10" s="66">
        <v>3.1E-2</v>
      </c>
      <c r="C10" s="66"/>
      <c r="D10" s="66">
        <v>4.9000000000000002E-2</v>
      </c>
      <c r="E10" s="66"/>
      <c r="F10" s="66">
        <v>7.3999999999999996E-2</v>
      </c>
      <c r="G10" s="66"/>
      <c r="H10" s="66">
        <v>0.10299999999999999</v>
      </c>
      <c r="I10" s="66"/>
    </row>
    <row r="11" spans="1:9" ht="17" customHeight="1" x14ac:dyDescent="0.2">
      <c r="A11" s="69" t="s">
        <v>42</v>
      </c>
      <c r="B11" s="72" t="s">
        <v>34</v>
      </c>
      <c r="C11" s="72"/>
      <c r="D11" s="72" t="s">
        <v>35</v>
      </c>
      <c r="E11" s="72"/>
      <c r="F11" s="72" t="s">
        <v>36</v>
      </c>
      <c r="G11" s="72"/>
      <c r="H11" s="72" t="s">
        <v>37</v>
      </c>
      <c r="I11" s="72"/>
    </row>
    <row r="12" spans="1:9" s="10" customFormat="1" ht="17" customHeight="1" x14ac:dyDescent="0.2">
      <c r="A12" s="73" t="s">
        <v>43</v>
      </c>
      <c r="B12" s="73"/>
      <c r="C12" s="73"/>
      <c r="D12" s="73"/>
      <c r="E12" s="73"/>
      <c r="F12" s="73"/>
      <c r="G12" s="73"/>
      <c r="H12" s="73"/>
      <c r="I12" s="73"/>
    </row>
    <row r="13" spans="1:9" ht="17" customHeight="1" x14ac:dyDescent="0.2">
      <c r="A13" s="74" t="s">
        <v>44</v>
      </c>
      <c r="B13" s="75" t="s">
        <v>53</v>
      </c>
      <c r="C13" s="75" t="s">
        <v>54</v>
      </c>
      <c r="D13" s="75" t="s">
        <v>53</v>
      </c>
      <c r="E13" s="75" t="s">
        <v>54</v>
      </c>
      <c r="F13" s="75" t="s">
        <v>53</v>
      </c>
      <c r="G13" s="75" t="s">
        <v>54</v>
      </c>
      <c r="H13" s="75" t="s">
        <v>53</v>
      </c>
      <c r="I13" s="75" t="s">
        <v>54</v>
      </c>
    </row>
    <row r="14" spans="1:9" ht="17" customHeight="1" x14ac:dyDescent="0.2">
      <c r="A14" s="76" t="s">
        <v>45</v>
      </c>
      <c r="B14" s="77">
        <v>-3.3000000000000002E-2</v>
      </c>
      <c r="C14" s="77">
        <v>-0.184</v>
      </c>
      <c r="D14" s="77">
        <v>-0.11799999999999999</v>
      </c>
      <c r="E14" s="77">
        <v>-0.25600000000000001</v>
      </c>
      <c r="F14" s="77">
        <v>-0.2</v>
      </c>
      <c r="G14" s="77">
        <v>-0.32700000000000001</v>
      </c>
      <c r="H14" s="77">
        <v>-0.28299999999999997</v>
      </c>
      <c r="I14" s="77">
        <v>-0.39500000000000002</v>
      </c>
    </row>
    <row r="15" spans="1:9" ht="17" customHeight="1" x14ac:dyDescent="0.2">
      <c r="A15" s="76" t="s">
        <v>46</v>
      </c>
      <c r="B15" s="77">
        <v>7.0000000000000007E-2</v>
      </c>
      <c r="C15" s="77">
        <v>-9.8000000000000004E-2</v>
      </c>
      <c r="D15" s="77">
        <v>3.5000000000000003E-2</v>
      </c>
      <c r="E15" s="77">
        <v>-0.128</v>
      </c>
      <c r="F15" s="77">
        <v>5.6000000000000001E-2</v>
      </c>
      <c r="G15" s="77">
        <v>-0.11</v>
      </c>
      <c r="H15" s="77">
        <v>7.6999999999999999E-2</v>
      </c>
      <c r="I15" s="77">
        <v>-9.1999999999999998E-2</v>
      </c>
    </row>
    <row r="16" spans="1:9" ht="17" customHeight="1" x14ac:dyDescent="0.2">
      <c r="A16" s="76" t="s">
        <v>47</v>
      </c>
      <c r="B16" s="77">
        <v>0.16200000000000001</v>
      </c>
      <c r="C16" s="77">
        <v>0.02</v>
      </c>
      <c r="D16" s="77">
        <v>0.112</v>
      </c>
      <c r="E16" s="77">
        <v>-2.3E-2</v>
      </c>
      <c r="F16" s="77">
        <v>4.5999999999999999E-2</v>
      </c>
      <c r="G16" s="77">
        <v>-8.2000000000000003E-2</v>
      </c>
      <c r="H16" s="77">
        <v>-2.1000000000000001E-2</v>
      </c>
      <c r="I16" s="77">
        <v>-0.14000000000000001</v>
      </c>
    </row>
    <row r="17" spans="1:9" ht="17" customHeight="1" x14ac:dyDescent="0.2">
      <c r="A17" s="76" t="s">
        <v>48</v>
      </c>
      <c r="B17" s="77">
        <v>-2.5000000000000001E-2</v>
      </c>
      <c r="C17" s="77">
        <v>-2.8000000000000001E-2</v>
      </c>
      <c r="D17" s="77">
        <v>-4.8000000000000001E-2</v>
      </c>
      <c r="E17" s="77">
        <v>-0.05</v>
      </c>
      <c r="F17" s="77">
        <v>-9.7000000000000003E-2</v>
      </c>
      <c r="G17" s="77">
        <v>-9.9000000000000005E-2</v>
      </c>
      <c r="H17" s="77">
        <v>-0.14799999999999999</v>
      </c>
      <c r="I17" s="77">
        <v>-0.15</v>
      </c>
    </row>
    <row r="18" spans="1:9" ht="17" customHeight="1" x14ac:dyDescent="0.2">
      <c r="A18" s="76" t="s">
        <v>49</v>
      </c>
      <c r="B18" s="77">
        <v>-1.4999999999999999E-2</v>
      </c>
      <c r="C18" s="77">
        <v>-3.5999999999999997E-2</v>
      </c>
      <c r="D18" s="77">
        <v>-3.3000000000000002E-2</v>
      </c>
      <c r="E18" s="77">
        <v>-5.2999999999999999E-2</v>
      </c>
      <c r="F18" s="77">
        <v>-2.7E-2</v>
      </c>
      <c r="G18" s="77">
        <v>-4.7E-2</v>
      </c>
      <c r="H18" s="77">
        <v>-2.1999999999999999E-2</v>
      </c>
      <c r="I18" s="77">
        <v>-4.2000000000000003E-2</v>
      </c>
    </row>
    <row r="19" spans="1:9" ht="17" customHeight="1" x14ac:dyDescent="0.2">
      <c r="A19" s="76" t="s">
        <v>50</v>
      </c>
      <c r="B19" s="77">
        <v>1.0999999999999999E-2</v>
      </c>
      <c r="C19" s="77">
        <v>-4.3999999999999997E-2</v>
      </c>
      <c r="D19" s="77">
        <v>-4.9000000000000002E-2</v>
      </c>
      <c r="E19" s="77">
        <v>-0.1</v>
      </c>
      <c r="F19" s="77">
        <v>-0.16700000000000001</v>
      </c>
      <c r="G19" s="77">
        <v>-0.21199999999999999</v>
      </c>
      <c r="H19" s="77">
        <v>-0.27500000000000002</v>
      </c>
      <c r="I19" s="77">
        <v>-0.315</v>
      </c>
    </row>
    <row r="20" spans="1:9" ht="17" customHeight="1" x14ac:dyDescent="0.2">
      <c r="A20" s="76" t="s">
        <v>51</v>
      </c>
      <c r="B20" s="77">
        <v>-8.7999999999999995E-2</v>
      </c>
      <c r="C20" s="77">
        <v>-0.10299999999999999</v>
      </c>
      <c r="D20" s="77">
        <v>-0.159</v>
      </c>
      <c r="E20" s="77">
        <v>-0.17299999999999999</v>
      </c>
      <c r="F20" s="77">
        <v>-0.28299999999999997</v>
      </c>
      <c r="G20" s="77">
        <v>-0.29499999999999998</v>
      </c>
      <c r="H20" s="77">
        <v>-0.39300000000000002</v>
      </c>
      <c r="I20" s="77">
        <v>-0.40300000000000002</v>
      </c>
    </row>
    <row r="21" spans="1:9" ht="17" customHeight="1" x14ac:dyDescent="0.2">
      <c r="A21" s="78" t="s">
        <v>52</v>
      </c>
      <c r="B21" s="79">
        <v>-0.03</v>
      </c>
      <c r="C21" s="79">
        <v>-2.8000000000000001E-2</v>
      </c>
      <c r="D21" s="79">
        <v>-5.2999999999999999E-2</v>
      </c>
      <c r="E21" s="79">
        <v>-5.0999999999999997E-2</v>
      </c>
      <c r="F21" s="79">
        <v>-9.8000000000000004E-2</v>
      </c>
      <c r="G21" s="79">
        <v>-9.7000000000000003E-2</v>
      </c>
      <c r="H21" s="79">
        <v>-0.14499999999999999</v>
      </c>
      <c r="I21" s="79">
        <v>-0.14299999999999999</v>
      </c>
    </row>
    <row r="22" spans="1:9" ht="17" customHeight="1" x14ac:dyDescent="0.2">
      <c r="A22" s="74" t="s">
        <v>55</v>
      </c>
      <c r="B22" s="80"/>
      <c r="C22" s="80"/>
      <c r="D22" s="80"/>
      <c r="E22" s="80"/>
      <c r="F22" s="80"/>
      <c r="G22" s="80"/>
      <c r="H22" s="80"/>
      <c r="I22" s="74"/>
    </row>
    <row r="23" spans="1:9" ht="17" customHeight="1" x14ac:dyDescent="0.2">
      <c r="A23" s="76" t="s">
        <v>56</v>
      </c>
      <c r="B23" s="81">
        <v>2.1999999999999999E-2</v>
      </c>
      <c r="C23" s="81"/>
      <c r="D23" s="81">
        <v>3.7999999999999999E-2</v>
      </c>
      <c r="E23" s="81"/>
      <c r="F23" s="81">
        <v>6.3E-2</v>
      </c>
      <c r="G23" s="81"/>
      <c r="H23" s="81">
        <v>8.8999999999999996E-2</v>
      </c>
      <c r="I23" s="81"/>
    </row>
    <row r="24" spans="1:9" ht="17" customHeight="1" x14ac:dyDescent="0.2">
      <c r="A24" s="76" t="s">
        <v>57</v>
      </c>
      <c r="B24" s="81">
        <v>3.5000000000000003E-2</v>
      </c>
      <c r="C24" s="81"/>
      <c r="D24" s="81">
        <v>8.2000000000000003E-2</v>
      </c>
      <c r="E24" s="81"/>
      <c r="F24" s="81">
        <v>0.16200000000000001</v>
      </c>
      <c r="G24" s="81"/>
      <c r="H24" s="81">
        <v>0.24299999999999999</v>
      </c>
      <c r="I24" s="81"/>
    </row>
    <row r="25" spans="1:9" ht="17" customHeight="1" x14ac:dyDescent="0.2">
      <c r="A25" s="76" t="s">
        <v>58</v>
      </c>
      <c r="B25" s="82">
        <v>0</v>
      </c>
      <c r="C25" s="82"/>
      <c r="D25" s="82">
        <v>4.3999999999999997E-2</v>
      </c>
      <c r="E25" s="82"/>
      <c r="F25" s="82">
        <v>0.14899999999999999</v>
      </c>
      <c r="G25" s="82"/>
      <c r="H25" s="82">
        <v>0.253</v>
      </c>
      <c r="I25" s="82"/>
    </row>
    <row r="26" spans="1:9" ht="17" customHeight="1" x14ac:dyDescent="0.2">
      <c r="A26" s="83" t="s">
        <v>59</v>
      </c>
      <c r="B26" s="84"/>
      <c r="C26" s="84"/>
      <c r="D26" s="84"/>
      <c r="E26" s="84"/>
      <c r="F26" s="84"/>
      <c r="G26" s="84"/>
      <c r="H26" s="84"/>
      <c r="I26" s="84"/>
    </row>
    <row r="27" spans="1:9" ht="17" customHeight="1" x14ac:dyDescent="0.2">
      <c r="A27" s="76" t="s">
        <v>56</v>
      </c>
      <c r="B27" s="81">
        <v>0.23799999999999999</v>
      </c>
      <c r="C27" s="81"/>
      <c r="D27" s="81">
        <v>0.27900000000000003</v>
      </c>
      <c r="E27" s="81"/>
      <c r="F27" s="81">
        <v>0.314</v>
      </c>
      <c r="G27" s="81"/>
      <c r="H27" s="81">
        <v>0.33700000000000002</v>
      </c>
      <c r="I27" s="81"/>
    </row>
    <row r="28" spans="1:9" ht="17" customHeight="1" x14ac:dyDescent="0.2">
      <c r="A28" s="76" t="s">
        <v>57</v>
      </c>
      <c r="B28" s="81">
        <v>0.04</v>
      </c>
      <c r="C28" s="81"/>
      <c r="D28" s="81">
        <v>8.4000000000000005E-2</v>
      </c>
      <c r="E28" s="81"/>
      <c r="F28" s="81">
        <v>0.14299999999999999</v>
      </c>
      <c r="G28" s="81"/>
      <c r="H28" s="81">
        <v>0.187</v>
      </c>
      <c r="I28" s="81"/>
    </row>
    <row r="29" spans="1:9" ht="17" customHeight="1" x14ac:dyDescent="0.2">
      <c r="A29" s="76" t="s">
        <v>58</v>
      </c>
      <c r="B29" s="81">
        <v>8.0000000000000002E-3</v>
      </c>
      <c r="C29" s="81"/>
      <c r="D29" s="81">
        <v>2.5999999999999999E-2</v>
      </c>
      <c r="E29" s="81"/>
      <c r="F29" s="81">
        <v>7.0000000000000007E-2</v>
      </c>
      <c r="G29" s="81"/>
      <c r="H29" s="81">
        <v>0.108</v>
      </c>
      <c r="I29" s="81"/>
    </row>
    <row r="30" spans="1:9" ht="22" customHeight="1" x14ac:dyDescent="0.2">
      <c r="A30" s="73" t="s">
        <v>60</v>
      </c>
      <c r="B30" s="85"/>
      <c r="C30" s="85"/>
      <c r="D30" s="85"/>
      <c r="E30" s="85"/>
      <c r="F30" s="85"/>
      <c r="G30" s="85"/>
      <c r="H30" s="85"/>
      <c r="I30" s="85"/>
    </row>
    <row r="31" spans="1:9" ht="16" x14ac:dyDescent="0.2">
      <c r="A31" s="11"/>
      <c r="B31" s="12"/>
      <c r="C31" s="12"/>
      <c r="D31" s="12"/>
      <c r="E31" s="12"/>
      <c r="F31" s="12"/>
      <c r="G31" s="12"/>
      <c r="H31" s="12"/>
      <c r="I31" s="11"/>
    </row>
    <row r="32" spans="1:9" ht="16" x14ac:dyDescent="0.2">
      <c r="A32" s="11"/>
      <c r="B32" s="12"/>
      <c r="C32" s="12"/>
      <c r="D32" s="12"/>
      <c r="E32" s="12"/>
      <c r="F32" s="12"/>
      <c r="G32" s="12"/>
      <c r="H32" s="12"/>
      <c r="I32" s="11"/>
    </row>
    <row r="33" spans="1:9" ht="16" x14ac:dyDescent="0.2">
      <c r="A33" s="11"/>
      <c r="B33" s="12"/>
      <c r="C33" s="12"/>
      <c r="D33" s="12"/>
      <c r="E33" s="12"/>
      <c r="F33" s="12"/>
      <c r="G33" s="12"/>
      <c r="H33" s="12"/>
      <c r="I33" s="11"/>
    </row>
    <row r="34" spans="1:9" ht="16" x14ac:dyDescent="0.2">
      <c r="A34" s="11"/>
      <c r="B34" s="12"/>
      <c r="C34" s="12"/>
      <c r="D34" s="12"/>
      <c r="E34" s="12"/>
      <c r="F34" s="12"/>
      <c r="G34" s="12"/>
      <c r="H34" s="12"/>
      <c r="I34" s="11"/>
    </row>
    <row r="35" spans="1:9" ht="16" x14ac:dyDescent="0.2">
      <c r="A35" s="11"/>
      <c r="B35" s="12"/>
      <c r="C35" s="12"/>
      <c r="D35" s="12"/>
      <c r="E35" s="12"/>
      <c r="F35" s="12"/>
      <c r="G35" s="12"/>
      <c r="H35" s="12"/>
      <c r="I35" s="11"/>
    </row>
    <row r="36" spans="1:9" ht="16" x14ac:dyDescent="0.2">
      <c r="A36" s="11"/>
      <c r="B36" s="12"/>
      <c r="C36" s="12"/>
      <c r="D36" s="12"/>
      <c r="E36" s="12"/>
      <c r="F36" s="12"/>
      <c r="G36" s="12"/>
      <c r="H36" s="12"/>
      <c r="I36" s="11"/>
    </row>
    <row r="37" spans="1:9" ht="16" x14ac:dyDescent="0.2">
      <c r="A37" s="11"/>
      <c r="B37" s="12"/>
      <c r="C37" s="12"/>
      <c r="D37" s="12"/>
      <c r="E37" s="12"/>
      <c r="F37" s="12"/>
      <c r="G37" s="12"/>
      <c r="H37" s="12"/>
      <c r="I37" s="11"/>
    </row>
    <row r="38" spans="1:9" ht="16" x14ac:dyDescent="0.2">
      <c r="A38" s="11"/>
      <c r="B38" s="12"/>
      <c r="C38" s="12"/>
      <c r="D38" s="12"/>
      <c r="E38" s="12"/>
      <c r="F38" s="12"/>
      <c r="G38" s="12"/>
      <c r="H38" s="12"/>
      <c r="I38" s="11"/>
    </row>
    <row r="39" spans="1:9" x14ac:dyDescent="0.2">
      <c r="A39" s="4"/>
      <c r="B39" s="5"/>
      <c r="C39" s="5"/>
      <c r="D39" s="5"/>
      <c r="E39" s="5"/>
      <c r="F39" s="5"/>
      <c r="G39" s="5"/>
      <c r="H39" s="5"/>
      <c r="I39" s="4"/>
    </row>
    <row r="40" spans="1:9" x14ac:dyDescent="0.2">
      <c r="A40" s="4"/>
      <c r="B40" s="5"/>
      <c r="C40" s="5"/>
      <c r="D40" s="5"/>
      <c r="E40" s="5"/>
      <c r="F40" s="5"/>
      <c r="G40" s="5"/>
      <c r="H40" s="5"/>
      <c r="I40" s="4"/>
    </row>
    <row r="41" spans="1:9" x14ac:dyDescent="0.2">
      <c r="A41" s="4"/>
      <c r="B41" s="5"/>
      <c r="C41" s="5"/>
      <c r="D41" s="5"/>
      <c r="E41" s="5"/>
      <c r="F41" s="5"/>
      <c r="G41" s="5"/>
      <c r="H41" s="5"/>
      <c r="I41" s="4"/>
    </row>
    <row r="42" spans="1:9" x14ac:dyDescent="0.2">
      <c r="A42" s="4"/>
      <c r="B42" s="5"/>
      <c r="C42" s="5"/>
      <c r="D42" s="5"/>
      <c r="E42" s="5"/>
      <c r="F42" s="5"/>
      <c r="G42" s="5"/>
      <c r="H42" s="5"/>
      <c r="I42" s="4"/>
    </row>
    <row r="43" spans="1:9" x14ac:dyDescent="0.2">
      <c r="A43" s="4"/>
      <c r="B43" s="5"/>
      <c r="C43" s="5"/>
      <c r="D43" s="5"/>
      <c r="E43" s="5"/>
      <c r="F43" s="5"/>
      <c r="G43" s="5"/>
      <c r="H43" s="5"/>
      <c r="I43" s="4"/>
    </row>
    <row r="44" spans="1:9" x14ac:dyDescent="0.2">
      <c r="A44" s="4"/>
      <c r="B44" s="5"/>
      <c r="C44" s="5"/>
      <c r="D44" s="5"/>
      <c r="E44" s="5"/>
      <c r="F44" s="5"/>
      <c r="G44" s="5"/>
      <c r="H44" s="5"/>
      <c r="I44" s="4"/>
    </row>
    <row r="45" spans="1:9" x14ac:dyDescent="0.2">
      <c r="A45" s="4"/>
      <c r="B45" s="5"/>
      <c r="C45" s="5"/>
      <c r="D45" s="5"/>
      <c r="E45" s="5"/>
      <c r="F45" s="5"/>
      <c r="G45" s="5"/>
      <c r="H45" s="5"/>
      <c r="I45" s="4"/>
    </row>
    <row r="46" spans="1:9" x14ac:dyDescent="0.2">
      <c r="A46" s="4"/>
      <c r="B46" s="5"/>
      <c r="C46" s="5"/>
      <c r="D46" s="5"/>
      <c r="E46" s="5"/>
      <c r="F46" s="5"/>
      <c r="G46" s="5"/>
      <c r="H46" s="5"/>
      <c r="I46" s="4"/>
    </row>
    <row r="47" spans="1:9" x14ac:dyDescent="0.2">
      <c r="A47" s="4"/>
      <c r="B47" s="5"/>
      <c r="C47" s="5"/>
      <c r="D47" s="5"/>
      <c r="E47" s="5"/>
      <c r="F47" s="5"/>
      <c r="G47" s="5"/>
      <c r="H47" s="5"/>
      <c r="I47" s="4"/>
    </row>
    <row r="48" spans="1:9" x14ac:dyDescent="0.2">
      <c r="A48" s="4"/>
      <c r="B48" s="5"/>
      <c r="C48" s="5"/>
      <c r="D48" s="5"/>
      <c r="E48" s="5"/>
      <c r="F48" s="5"/>
      <c r="G48" s="5"/>
      <c r="H48" s="5"/>
      <c r="I48" s="4"/>
    </row>
    <row r="49" spans="1:9" x14ac:dyDescent="0.2">
      <c r="A49" s="4"/>
      <c r="B49" s="5"/>
      <c r="C49" s="5"/>
      <c r="D49" s="5"/>
      <c r="E49" s="5"/>
      <c r="F49" s="5"/>
      <c r="G49" s="5"/>
      <c r="H49" s="5"/>
      <c r="I49" s="4"/>
    </row>
    <row r="50" spans="1:9" x14ac:dyDescent="0.2">
      <c r="A50" s="4"/>
      <c r="B50" s="5"/>
      <c r="C50" s="5"/>
      <c r="D50" s="5"/>
      <c r="E50" s="5"/>
      <c r="F50" s="5"/>
      <c r="G50" s="5"/>
      <c r="H50" s="5"/>
      <c r="I50" s="4"/>
    </row>
    <row r="51" spans="1:9" x14ac:dyDescent="0.2">
      <c r="A51" s="4"/>
      <c r="B51" s="5"/>
      <c r="C51" s="5"/>
      <c r="D51" s="5"/>
      <c r="E51" s="5"/>
      <c r="F51" s="5"/>
      <c r="G51" s="5"/>
      <c r="H51" s="5"/>
      <c r="I51" s="4"/>
    </row>
    <row r="52" spans="1:9" x14ac:dyDescent="0.2">
      <c r="A52" s="4"/>
      <c r="B52" s="5"/>
      <c r="C52" s="5"/>
      <c r="D52" s="5"/>
      <c r="E52" s="5"/>
      <c r="F52" s="5"/>
      <c r="G52" s="5"/>
      <c r="H52" s="5"/>
      <c r="I52" s="4"/>
    </row>
    <row r="53" spans="1:9" x14ac:dyDescent="0.2">
      <c r="A53" s="4"/>
      <c r="B53" s="5"/>
      <c r="C53" s="5"/>
      <c r="D53" s="5"/>
      <c r="E53" s="5"/>
      <c r="F53" s="5"/>
      <c r="G53" s="5"/>
      <c r="H53" s="5"/>
      <c r="I53" s="4"/>
    </row>
    <row r="54" spans="1:9" x14ac:dyDescent="0.2">
      <c r="A54" s="4"/>
      <c r="B54" s="5"/>
      <c r="C54" s="5"/>
      <c r="D54" s="5"/>
      <c r="E54" s="5"/>
      <c r="F54" s="5"/>
      <c r="G54" s="5"/>
      <c r="H54" s="5"/>
      <c r="I54" s="4"/>
    </row>
    <row r="55" spans="1:9" x14ac:dyDescent="0.2">
      <c r="A55" s="4"/>
      <c r="B55" s="5"/>
      <c r="C55" s="5"/>
      <c r="D55" s="5"/>
      <c r="E55" s="5"/>
      <c r="F55" s="5"/>
      <c r="G55" s="5"/>
      <c r="H55" s="5"/>
      <c r="I55" s="4"/>
    </row>
    <row r="56" spans="1:9" x14ac:dyDescent="0.2">
      <c r="A56" s="4"/>
      <c r="B56" s="5"/>
      <c r="C56" s="5"/>
      <c r="D56" s="5"/>
      <c r="E56" s="5"/>
      <c r="F56" s="5"/>
      <c r="G56" s="5"/>
      <c r="H56" s="5"/>
      <c r="I56" s="4"/>
    </row>
    <row r="57" spans="1:9" x14ac:dyDescent="0.2">
      <c r="A57" s="4"/>
      <c r="B57" s="5"/>
      <c r="C57" s="5"/>
      <c r="D57" s="5"/>
      <c r="E57" s="5"/>
      <c r="F57" s="5"/>
      <c r="G57" s="5"/>
      <c r="H57" s="5"/>
      <c r="I57" s="4"/>
    </row>
    <row r="58" spans="1:9" x14ac:dyDescent="0.2">
      <c r="A58" s="4"/>
      <c r="B58" s="5"/>
      <c r="C58" s="5"/>
      <c r="D58" s="5"/>
      <c r="E58" s="5"/>
      <c r="F58" s="5"/>
      <c r="G58" s="5"/>
      <c r="H58" s="5"/>
      <c r="I58" s="4"/>
    </row>
    <row r="59" spans="1:9" x14ac:dyDescent="0.2">
      <c r="A59" s="4"/>
      <c r="B59" s="5"/>
      <c r="C59" s="5"/>
      <c r="D59" s="5"/>
      <c r="E59" s="5"/>
      <c r="F59" s="5"/>
      <c r="G59" s="5"/>
      <c r="H59" s="5"/>
      <c r="I59" s="4"/>
    </row>
    <row r="60" spans="1:9" x14ac:dyDescent="0.2">
      <c r="A60" s="4"/>
      <c r="B60" s="5"/>
      <c r="C60" s="5"/>
      <c r="D60" s="5"/>
      <c r="E60" s="5"/>
      <c r="F60" s="5"/>
      <c r="G60" s="5"/>
      <c r="H60" s="5"/>
      <c r="I60" s="4"/>
    </row>
    <row r="61" spans="1:9" x14ac:dyDescent="0.2">
      <c r="A61" s="4"/>
      <c r="B61" s="5"/>
      <c r="C61" s="5"/>
      <c r="D61" s="5"/>
      <c r="E61" s="5"/>
      <c r="F61" s="5"/>
      <c r="G61" s="5"/>
      <c r="H61" s="5"/>
      <c r="I61" s="4"/>
    </row>
    <row r="62" spans="1:9" x14ac:dyDescent="0.2">
      <c r="A62" s="4"/>
      <c r="B62" s="5"/>
      <c r="C62" s="5"/>
      <c r="D62" s="5"/>
      <c r="E62" s="5"/>
      <c r="F62" s="5"/>
      <c r="G62" s="5"/>
      <c r="H62" s="5"/>
      <c r="I62" s="4"/>
    </row>
    <row r="63" spans="1:9" x14ac:dyDescent="0.2">
      <c r="A63" s="4"/>
      <c r="B63" s="5"/>
      <c r="C63" s="5"/>
      <c r="D63" s="5"/>
      <c r="E63" s="5"/>
      <c r="F63" s="5"/>
      <c r="G63" s="5"/>
      <c r="H63" s="5"/>
      <c r="I63" s="4"/>
    </row>
    <row r="64" spans="1:9" x14ac:dyDescent="0.2">
      <c r="A64" s="4"/>
      <c r="B64" s="5"/>
      <c r="C64" s="5"/>
      <c r="D64" s="5"/>
      <c r="E64" s="5"/>
      <c r="F64" s="5"/>
      <c r="G64" s="5"/>
      <c r="H64" s="5"/>
      <c r="I64" s="4"/>
    </row>
    <row r="65" spans="9:9" x14ac:dyDescent="0.2">
      <c r="I65" s="4"/>
    </row>
  </sheetData>
  <mergeCells count="68">
    <mergeCell ref="H23:I23"/>
    <mergeCell ref="H24:I24"/>
    <mergeCell ref="H25:I25"/>
    <mergeCell ref="H27:I27"/>
    <mergeCell ref="H28:I28"/>
    <mergeCell ref="H29:I29"/>
    <mergeCell ref="F23:G23"/>
    <mergeCell ref="F24:G24"/>
    <mergeCell ref="F25:G25"/>
    <mergeCell ref="F27:G27"/>
    <mergeCell ref="F28:G28"/>
    <mergeCell ref="F29:G29"/>
    <mergeCell ref="D23:E23"/>
    <mergeCell ref="D24:E24"/>
    <mergeCell ref="D25:E25"/>
    <mergeCell ref="D27:E27"/>
    <mergeCell ref="D28:E28"/>
    <mergeCell ref="D29:E29"/>
    <mergeCell ref="B23:C23"/>
    <mergeCell ref="B24:C24"/>
    <mergeCell ref="B25:C25"/>
    <mergeCell ref="B27:C27"/>
    <mergeCell ref="B28:C28"/>
    <mergeCell ref="B29:C29"/>
    <mergeCell ref="H6:I6"/>
    <mergeCell ref="H7:I7"/>
    <mergeCell ref="H8:I8"/>
    <mergeCell ref="H9:I9"/>
    <mergeCell ref="H10:I10"/>
    <mergeCell ref="H11:I11"/>
    <mergeCell ref="F7:G7"/>
    <mergeCell ref="F8:G8"/>
    <mergeCell ref="F9:G9"/>
    <mergeCell ref="F10:G10"/>
    <mergeCell ref="F11:G11"/>
    <mergeCell ref="H1:I1"/>
    <mergeCell ref="H2:I2"/>
    <mergeCell ref="H3:I3"/>
    <mergeCell ref="H4:I4"/>
    <mergeCell ref="H5:I5"/>
    <mergeCell ref="F1:G1"/>
    <mergeCell ref="F2:G2"/>
    <mergeCell ref="F3:G3"/>
    <mergeCell ref="F4:G4"/>
    <mergeCell ref="F5:G5"/>
    <mergeCell ref="F6:G6"/>
    <mergeCell ref="D6:E6"/>
    <mergeCell ref="D7:E7"/>
    <mergeCell ref="D8:E8"/>
    <mergeCell ref="D9:E9"/>
    <mergeCell ref="D10:E10"/>
    <mergeCell ref="D11:E11"/>
    <mergeCell ref="B5:C5"/>
    <mergeCell ref="B4:C4"/>
    <mergeCell ref="B3:C3"/>
    <mergeCell ref="B2:C2"/>
    <mergeCell ref="B1:C1"/>
    <mergeCell ref="D1:E1"/>
    <mergeCell ref="D2:E2"/>
    <mergeCell ref="D3:E3"/>
    <mergeCell ref="D4:E4"/>
    <mergeCell ref="D5:E5"/>
    <mergeCell ref="B11:C11"/>
    <mergeCell ref="B10:C10"/>
    <mergeCell ref="B9:C9"/>
    <mergeCell ref="B8:C8"/>
    <mergeCell ref="B7:C7"/>
    <mergeCell ref="B6:C6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G13"/>
  <sheetViews>
    <sheetView workbookViewId="0">
      <selection activeCell="G17" sqref="G17"/>
    </sheetView>
  </sheetViews>
  <sheetFormatPr baseColWidth="10" defaultRowHeight="15" x14ac:dyDescent="0.2"/>
  <cols>
    <col min="1" max="1" width="13.83203125" style="13" bestFit="1" customWidth="1"/>
    <col min="2" max="4" width="10.83203125" style="3"/>
    <col min="5" max="5" width="5.33203125" customWidth="1"/>
  </cols>
  <sheetData>
    <row r="1" spans="1:7" x14ac:dyDescent="0.2">
      <c r="A1" s="14"/>
      <c r="B1" s="5" t="s">
        <v>67</v>
      </c>
      <c r="C1" s="5" t="s">
        <v>68</v>
      </c>
      <c r="D1" s="5" t="s">
        <v>69</v>
      </c>
      <c r="E1" s="4"/>
      <c r="F1" s="4"/>
      <c r="G1" s="4"/>
    </row>
    <row r="2" spans="1:7" x14ac:dyDescent="0.2">
      <c r="A2" s="14" t="s">
        <v>61</v>
      </c>
      <c r="B2" s="5"/>
      <c r="C2" s="5"/>
      <c r="D2" s="5"/>
      <c r="E2" s="16"/>
      <c r="F2" s="4"/>
      <c r="G2" s="4"/>
    </row>
    <row r="3" spans="1:7" x14ac:dyDescent="0.2">
      <c r="A3" s="14" t="s">
        <v>62</v>
      </c>
      <c r="B3" s="5"/>
      <c r="C3" s="5"/>
      <c r="D3" s="5"/>
      <c r="E3" s="15"/>
      <c r="F3" s="4"/>
      <c r="G3" s="4"/>
    </row>
    <row r="4" spans="1:7" x14ac:dyDescent="0.2">
      <c r="A4" s="14" t="s">
        <v>63</v>
      </c>
      <c r="B4" s="5"/>
      <c r="C4" s="5"/>
      <c r="D4" s="5"/>
      <c r="E4" s="17"/>
      <c r="F4" s="4"/>
      <c r="G4" s="4"/>
    </row>
    <row r="5" spans="1:7" x14ac:dyDescent="0.2">
      <c r="A5" s="14" t="s">
        <v>64</v>
      </c>
      <c r="B5" s="5"/>
      <c r="C5" s="5"/>
      <c r="D5" s="5"/>
      <c r="E5" s="18"/>
      <c r="F5" s="4"/>
      <c r="G5" s="4"/>
    </row>
    <row r="6" spans="1:7" x14ac:dyDescent="0.2">
      <c r="A6" s="14" t="s">
        <v>65</v>
      </c>
      <c r="B6" s="5"/>
      <c r="C6" s="5"/>
      <c r="D6" s="5"/>
      <c r="E6" s="19"/>
      <c r="F6" s="4"/>
      <c r="G6" s="4"/>
    </row>
    <row r="7" spans="1:7" x14ac:dyDescent="0.2">
      <c r="A7" s="14" t="s">
        <v>66</v>
      </c>
      <c r="B7" s="5"/>
      <c r="C7" s="5"/>
      <c r="D7" s="5"/>
      <c r="E7" s="20"/>
      <c r="F7" s="4"/>
      <c r="G7" s="4"/>
    </row>
    <row r="8" spans="1:7" x14ac:dyDescent="0.2">
      <c r="A8" s="14"/>
      <c r="B8" s="5"/>
      <c r="C8" s="5"/>
      <c r="D8" s="5"/>
      <c r="E8" s="4"/>
      <c r="F8" s="4"/>
      <c r="G8" s="4"/>
    </row>
    <row r="9" spans="1:7" x14ac:dyDescent="0.2">
      <c r="A9" s="14"/>
      <c r="B9" s="5"/>
      <c r="C9" s="5"/>
      <c r="D9" s="5"/>
      <c r="E9" s="4"/>
      <c r="F9" s="4"/>
      <c r="G9" s="4"/>
    </row>
    <row r="10" spans="1:7" x14ac:dyDescent="0.2">
      <c r="A10" s="14"/>
      <c r="B10" s="5"/>
      <c r="C10" s="5"/>
      <c r="D10" s="5"/>
      <c r="E10" s="4"/>
      <c r="F10" s="4"/>
      <c r="G10" s="4"/>
    </row>
    <row r="11" spans="1:7" x14ac:dyDescent="0.2">
      <c r="A11" s="14"/>
      <c r="B11" s="5"/>
      <c r="C11" s="5"/>
      <c r="D11" s="5"/>
      <c r="E11" s="4"/>
      <c r="F11" s="4"/>
      <c r="G11" s="4"/>
    </row>
    <row r="12" spans="1:7" x14ac:dyDescent="0.2">
      <c r="A12" s="14"/>
      <c r="B12" s="5"/>
      <c r="C12" s="5"/>
      <c r="D12" s="5"/>
      <c r="E12" s="4"/>
      <c r="F12" s="4"/>
      <c r="G12" s="4"/>
    </row>
    <row r="13" spans="1:7" x14ac:dyDescent="0.2">
      <c r="A13" s="14"/>
      <c r="B13" s="5"/>
      <c r="C13" s="5"/>
      <c r="D13" s="5"/>
      <c r="E13" s="4"/>
      <c r="F13" s="4"/>
      <c r="G13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workbookViewId="0">
      <selection activeCell="N25" sqref="N25"/>
    </sheetView>
  </sheetViews>
  <sheetFormatPr baseColWidth="10" defaultRowHeight="15" x14ac:dyDescent="0.2"/>
  <cols>
    <col min="1" max="1" width="38.1640625" bestFit="1" customWidth="1"/>
    <col min="2" max="2" width="16" style="22" customWidth="1"/>
    <col min="3" max="3" width="2.83203125" style="3" customWidth="1"/>
    <col min="4" max="4" width="9.33203125" style="3" customWidth="1"/>
    <col min="5" max="5" width="2.83203125" style="3" customWidth="1"/>
    <col min="6" max="6" width="16" style="7" customWidth="1"/>
    <col min="7" max="7" width="10.83203125" style="3"/>
    <col min="8" max="8" width="10.6640625" style="3" bestFit="1" customWidth="1"/>
    <col min="9" max="9" width="25" style="3" customWidth="1"/>
    <col min="10" max="10" width="15.83203125" style="3" customWidth="1"/>
    <col min="11" max="16" width="10.83203125" style="3"/>
  </cols>
  <sheetData>
    <row r="1" spans="1:16" ht="19" customHeight="1" x14ac:dyDescent="0.2">
      <c r="A1" s="23"/>
      <c r="B1" s="24" t="s">
        <v>99</v>
      </c>
      <c r="C1" s="24"/>
      <c r="D1" s="24"/>
      <c r="E1" s="24"/>
      <c r="F1" s="24"/>
      <c r="G1" s="24"/>
      <c r="H1" s="24"/>
      <c r="I1" s="24"/>
      <c r="J1" s="25"/>
      <c r="K1" s="5"/>
      <c r="L1" s="5"/>
      <c r="M1" s="5"/>
    </row>
    <row r="2" spans="1:16" ht="41" customHeight="1" x14ac:dyDescent="0.2">
      <c r="A2" s="26"/>
      <c r="B2" s="27" t="s">
        <v>76</v>
      </c>
      <c r="C2" s="27"/>
      <c r="D2" s="28"/>
      <c r="E2" s="28"/>
      <c r="F2" s="28"/>
      <c r="G2" s="29" t="s">
        <v>33</v>
      </c>
      <c r="H2" s="29" t="s">
        <v>32</v>
      </c>
      <c r="I2" s="30" t="s">
        <v>75</v>
      </c>
      <c r="J2" s="29" t="s">
        <v>70</v>
      </c>
      <c r="K2" s="5"/>
      <c r="L2" s="5"/>
      <c r="M2" s="5"/>
      <c r="N2" s="5"/>
      <c r="O2" s="5"/>
      <c r="P2" s="5"/>
    </row>
    <row r="3" spans="1:16" ht="17" x14ac:dyDescent="0.2">
      <c r="A3" s="31" t="s">
        <v>5</v>
      </c>
      <c r="B3" s="32"/>
      <c r="C3" s="33"/>
      <c r="D3" s="25"/>
      <c r="E3" s="25"/>
      <c r="F3" s="34"/>
      <c r="G3" s="25"/>
      <c r="H3" s="25"/>
      <c r="I3" s="25"/>
      <c r="J3" s="25"/>
      <c r="K3" s="5"/>
      <c r="L3" s="5"/>
      <c r="M3" s="5"/>
      <c r="N3" s="5"/>
      <c r="O3" s="5"/>
      <c r="P3" s="5"/>
    </row>
    <row r="4" spans="1:16" ht="17" x14ac:dyDescent="0.2">
      <c r="A4" s="35" t="s">
        <v>38</v>
      </c>
      <c r="B4" s="36">
        <v>6.0000000000000001E-3</v>
      </c>
      <c r="C4" s="37" t="s">
        <v>97</v>
      </c>
      <c r="D4" s="38">
        <v>1.0999999999999999E-2</v>
      </c>
      <c r="E4" s="39" t="s">
        <v>98</v>
      </c>
      <c r="F4" s="40" t="s">
        <v>77</v>
      </c>
      <c r="G4" s="38">
        <v>3.3000000000000002E-2</v>
      </c>
      <c r="H4" s="25">
        <v>0.35</v>
      </c>
      <c r="I4" s="38">
        <f>D4+2.5%</f>
        <v>3.6000000000000004E-2</v>
      </c>
      <c r="J4" s="41">
        <v>0</v>
      </c>
      <c r="K4" s="5"/>
      <c r="L4" s="5"/>
      <c r="M4" s="5"/>
      <c r="N4" s="5"/>
      <c r="O4" s="5"/>
      <c r="P4" s="5"/>
    </row>
    <row r="5" spans="1:16" ht="17" x14ac:dyDescent="0.2">
      <c r="A5" s="42" t="s">
        <v>6</v>
      </c>
      <c r="B5" s="43">
        <v>1E-3</v>
      </c>
      <c r="C5" s="44" t="s">
        <v>97</v>
      </c>
      <c r="D5" s="45">
        <v>4.0000000000000001E-3</v>
      </c>
      <c r="E5" s="46" t="s">
        <v>98</v>
      </c>
      <c r="F5" s="47" t="s">
        <v>78</v>
      </c>
      <c r="G5" s="45">
        <v>1.6E-2</v>
      </c>
      <c r="H5" s="48">
        <v>0.25</v>
      </c>
      <c r="I5" s="45">
        <f>D5+2.5%</f>
        <v>2.9000000000000001E-2</v>
      </c>
      <c r="J5" s="49">
        <v>0</v>
      </c>
      <c r="K5" s="5"/>
      <c r="L5" s="5"/>
      <c r="M5" s="5"/>
      <c r="N5" s="5"/>
      <c r="O5" s="5"/>
      <c r="P5" s="5"/>
    </row>
    <row r="6" spans="1:16" ht="17" x14ac:dyDescent="0.2">
      <c r="A6" s="31" t="s">
        <v>7</v>
      </c>
      <c r="B6" s="36"/>
      <c r="C6" s="33"/>
      <c r="D6" s="38"/>
      <c r="E6" s="50"/>
      <c r="F6" s="40"/>
      <c r="G6" s="38"/>
      <c r="H6" s="25"/>
      <c r="I6" s="38"/>
      <c r="J6" s="41"/>
      <c r="K6" s="5"/>
      <c r="L6" s="5"/>
      <c r="M6" s="5"/>
      <c r="N6" s="5"/>
      <c r="O6" s="5"/>
      <c r="P6" s="5"/>
    </row>
    <row r="7" spans="1:16" ht="17" x14ac:dyDescent="0.2">
      <c r="A7" s="42" t="s">
        <v>8</v>
      </c>
      <c r="B7" s="43">
        <v>1.6E-2</v>
      </c>
      <c r="C7" s="44" t="s">
        <v>97</v>
      </c>
      <c r="D7" s="45">
        <v>3.5000000000000003E-2</v>
      </c>
      <c r="E7" s="46" t="s">
        <v>98</v>
      </c>
      <c r="F7" s="47" t="s">
        <v>79</v>
      </c>
      <c r="G7" s="45">
        <v>0.11700000000000001</v>
      </c>
      <c r="H7" s="48">
        <v>0.3</v>
      </c>
      <c r="I7" s="45">
        <f>D7+2.5%</f>
        <v>6.0000000000000005E-2</v>
      </c>
      <c r="J7" s="49">
        <v>0</v>
      </c>
      <c r="K7" s="5"/>
      <c r="L7" s="5"/>
      <c r="M7" s="5"/>
      <c r="N7" s="5"/>
      <c r="O7" s="5"/>
      <c r="P7" s="5"/>
    </row>
    <row r="8" spans="1:16" ht="17" x14ac:dyDescent="0.2">
      <c r="A8" s="31" t="s">
        <v>9</v>
      </c>
      <c r="B8" s="36"/>
      <c r="C8" s="33"/>
      <c r="D8" s="38"/>
      <c r="E8" s="50"/>
      <c r="F8" s="40"/>
      <c r="G8" s="38"/>
      <c r="H8" s="25"/>
      <c r="I8" s="38"/>
      <c r="J8" s="41"/>
      <c r="K8" s="5"/>
      <c r="L8" s="5"/>
      <c r="M8" s="5"/>
      <c r="N8" s="5"/>
      <c r="O8" s="5"/>
      <c r="P8" s="5"/>
    </row>
    <row r="9" spans="1:16" ht="17" x14ac:dyDescent="0.2">
      <c r="A9" s="35" t="s">
        <v>10</v>
      </c>
      <c r="B9" s="36">
        <v>2.7E-2</v>
      </c>
      <c r="C9" s="37" t="s">
        <v>97</v>
      </c>
      <c r="D9" s="38">
        <v>5.3999999999999999E-2</v>
      </c>
      <c r="E9" s="39" t="s">
        <v>98</v>
      </c>
      <c r="F9" s="40" t="s">
        <v>80</v>
      </c>
      <c r="G9" s="38">
        <v>0.16800000000000001</v>
      </c>
      <c r="H9" s="25">
        <v>0.32</v>
      </c>
      <c r="I9" s="38">
        <f>D9+2.5%</f>
        <v>7.9000000000000001E-2</v>
      </c>
      <c r="J9" s="41">
        <v>0</v>
      </c>
      <c r="K9" s="5"/>
      <c r="L9" s="5"/>
      <c r="M9" s="5"/>
      <c r="N9" s="5"/>
      <c r="O9" s="5"/>
      <c r="P9" s="5"/>
    </row>
    <row r="10" spans="1:16" ht="17" x14ac:dyDescent="0.2">
      <c r="A10" s="35" t="s">
        <v>11</v>
      </c>
      <c r="B10" s="36">
        <v>3.6999999999999998E-2</v>
      </c>
      <c r="C10" s="37" t="s">
        <v>97</v>
      </c>
      <c r="D10" s="38">
        <v>0.06</v>
      </c>
      <c r="E10" s="39" t="s">
        <v>98</v>
      </c>
      <c r="F10" s="40" t="s">
        <v>81</v>
      </c>
      <c r="G10" s="38">
        <v>0.14499999999999999</v>
      </c>
      <c r="H10" s="25">
        <v>0.41</v>
      </c>
      <c r="I10" s="38">
        <f t="shared" ref="I10:I30" si="0">D10+2.5%</f>
        <v>8.4999999999999992E-2</v>
      </c>
      <c r="J10" s="41">
        <v>0</v>
      </c>
      <c r="K10" s="5"/>
      <c r="L10" s="5"/>
      <c r="M10" s="5"/>
      <c r="N10" s="5"/>
      <c r="O10" s="5"/>
      <c r="P10" s="5"/>
    </row>
    <row r="11" spans="1:16" ht="17" x14ac:dyDescent="0.2">
      <c r="A11" s="35" t="s">
        <v>12</v>
      </c>
      <c r="B11" s="36">
        <v>3.2000000000000001E-2</v>
      </c>
      <c r="C11" s="37" t="s">
        <v>97</v>
      </c>
      <c r="D11" s="38">
        <v>6.3E-2</v>
      </c>
      <c r="E11" s="39" t="s">
        <v>98</v>
      </c>
      <c r="F11" s="40" t="s">
        <v>82</v>
      </c>
      <c r="G11" s="38">
        <v>0.191</v>
      </c>
      <c r="H11" s="25">
        <v>0.33</v>
      </c>
      <c r="I11" s="38">
        <f t="shared" si="0"/>
        <v>8.7999999999999995E-2</v>
      </c>
      <c r="J11" s="41">
        <v>0</v>
      </c>
      <c r="K11" s="5"/>
      <c r="L11" s="5"/>
      <c r="M11" s="5"/>
      <c r="N11" s="5"/>
      <c r="O11" s="5"/>
      <c r="P11" s="5"/>
    </row>
    <row r="12" spans="1:16" ht="17" x14ac:dyDescent="0.2">
      <c r="A12" s="35" t="s">
        <v>13</v>
      </c>
      <c r="B12" s="36">
        <v>2.1000000000000001E-2</v>
      </c>
      <c r="C12" s="37" t="s">
        <v>97</v>
      </c>
      <c r="D12" s="38">
        <v>4.8000000000000001E-2</v>
      </c>
      <c r="E12" s="39" t="s">
        <v>98</v>
      </c>
      <c r="F12" s="40" t="s">
        <v>83</v>
      </c>
      <c r="G12" s="38">
        <v>0.16400000000000001</v>
      </c>
      <c r="H12" s="25">
        <v>0.28999999999999998</v>
      </c>
      <c r="I12" s="38">
        <f t="shared" si="0"/>
        <v>7.3000000000000009E-2</v>
      </c>
      <c r="J12" s="41">
        <v>0.7</v>
      </c>
      <c r="K12" s="5"/>
      <c r="L12" s="5"/>
      <c r="M12" s="5"/>
      <c r="N12" s="5"/>
      <c r="O12" s="5"/>
      <c r="P12" s="5"/>
    </row>
    <row r="13" spans="1:16" ht="17" x14ac:dyDescent="0.2">
      <c r="A13" s="35" t="s">
        <v>14</v>
      </c>
      <c r="B13" s="36">
        <v>2.5999999999999999E-2</v>
      </c>
      <c r="C13" s="37" t="s">
        <v>97</v>
      </c>
      <c r="D13" s="38">
        <v>5.0999999999999997E-2</v>
      </c>
      <c r="E13" s="39" t="s">
        <v>98</v>
      </c>
      <c r="F13" s="40" t="s">
        <v>84</v>
      </c>
      <c r="G13" s="38">
        <v>0.151</v>
      </c>
      <c r="H13" s="25">
        <v>0.34</v>
      </c>
      <c r="I13" s="38">
        <f t="shared" si="0"/>
        <v>7.5999999999999998E-2</v>
      </c>
      <c r="J13" s="41">
        <v>0.7</v>
      </c>
      <c r="K13" s="5"/>
      <c r="L13" s="5"/>
      <c r="M13" s="5"/>
      <c r="N13" s="5"/>
      <c r="O13" s="5"/>
      <c r="P13" s="5"/>
    </row>
    <row r="14" spans="1:16" ht="17" x14ac:dyDescent="0.2">
      <c r="A14" s="35" t="s">
        <v>15</v>
      </c>
      <c r="B14" s="36">
        <v>-6.0000000000000001E-3</v>
      </c>
      <c r="C14" s="37" t="s">
        <v>97</v>
      </c>
      <c r="D14" s="38">
        <v>2.5999999999999999E-2</v>
      </c>
      <c r="E14" s="39" t="s">
        <v>98</v>
      </c>
      <c r="F14" s="40" t="s">
        <v>85</v>
      </c>
      <c r="G14" s="38">
        <v>0.16400000000000001</v>
      </c>
      <c r="H14" s="25">
        <v>0.16</v>
      </c>
      <c r="I14" s="38">
        <f t="shared" si="0"/>
        <v>5.1000000000000004E-2</v>
      </c>
      <c r="J14" s="41">
        <v>0.7</v>
      </c>
      <c r="K14" s="5"/>
      <c r="L14" s="5"/>
      <c r="M14" s="5"/>
      <c r="N14" s="5"/>
      <c r="O14" s="5"/>
      <c r="P14" s="5"/>
    </row>
    <row r="15" spans="1:16" ht="17" x14ac:dyDescent="0.2">
      <c r="A15" s="35" t="s">
        <v>16</v>
      </c>
      <c r="B15" s="36">
        <v>0.04</v>
      </c>
      <c r="C15" s="37" t="s">
        <v>97</v>
      </c>
      <c r="D15" s="38">
        <v>6.9000000000000006E-2</v>
      </c>
      <c r="E15" s="39" t="s">
        <v>98</v>
      </c>
      <c r="F15" s="40" t="s">
        <v>86</v>
      </c>
      <c r="G15" s="38">
        <v>0.18099999999999999</v>
      </c>
      <c r="H15" s="25">
        <v>0.38</v>
      </c>
      <c r="I15" s="38">
        <f t="shared" si="0"/>
        <v>9.4E-2</v>
      </c>
      <c r="J15" s="41">
        <v>0.7</v>
      </c>
      <c r="K15" s="5"/>
      <c r="L15" s="5"/>
      <c r="M15" s="5"/>
      <c r="N15" s="5"/>
      <c r="O15" s="5"/>
      <c r="P15" s="5"/>
    </row>
    <row r="16" spans="1:16" ht="17" x14ac:dyDescent="0.2">
      <c r="A16" s="35" t="s">
        <v>17</v>
      </c>
      <c r="B16" s="36">
        <v>0.02</v>
      </c>
      <c r="C16" s="37" t="s">
        <v>97</v>
      </c>
      <c r="D16" s="38">
        <v>8.5999999999999993E-2</v>
      </c>
      <c r="E16" s="39" t="s">
        <v>98</v>
      </c>
      <c r="F16" s="40" t="s">
        <v>87</v>
      </c>
      <c r="G16" s="38">
        <v>0.22</v>
      </c>
      <c r="H16" s="25">
        <v>0.39</v>
      </c>
      <c r="I16" s="38">
        <f t="shared" si="0"/>
        <v>0.11099999999999999</v>
      </c>
      <c r="J16" s="41">
        <v>0</v>
      </c>
      <c r="K16" s="5"/>
      <c r="L16" s="5"/>
      <c r="M16" s="5"/>
      <c r="N16" s="5"/>
      <c r="O16" s="5"/>
      <c r="P16" s="5"/>
    </row>
    <row r="17" spans="1:16" ht="17" x14ac:dyDescent="0.2">
      <c r="A17" s="35" t="s">
        <v>71</v>
      </c>
      <c r="B17" s="36">
        <v>0.03</v>
      </c>
      <c r="C17" s="37" t="s">
        <v>97</v>
      </c>
      <c r="D17" s="38">
        <v>6.0999999999999999E-2</v>
      </c>
      <c r="E17" s="39" t="s">
        <v>98</v>
      </c>
      <c r="F17" s="40" t="s">
        <v>88</v>
      </c>
      <c r="G17" s="38">
        <v>0.16200000000000001</v>
      </c>
      <c r="H17" s="25">
        <v>0.38</v>
      </c>
      <c r="I17" s="38">
        <f t="shared" si="0"/>
        <v>8.5999999999999993E-2</v>
      </c>
      <c r="J17" s="51">
        <v>0.7</v>
      </c>
      <c r="K17" s="5"/>
      <c r="L17" s="5"/>
      <c r="M17" s="5"/>
      <c r="N17" s="5"/>
      <c r="O17" s="5"/>
      <c r="P17" s="5"/>
    </row>
    <row r="18" spans="1:16" ht="17" x14ac:dyDescent="0.2">
      <c r="A18" s="42" t="s">
        <v>72</v>
      </c>
      <c r="B18" s="43">
        <v>1.9E-2</v>
      </c>
      <c r="C18" s="44" t="s">
        <v>97</v>
      </c>
      <c r="D18" s="45">
        <v>4.8000000000000001E-2</v>
      </c>
      <c r="E18" s="46" t="s">
        <v>98</v>
      </c>
      <c r="F18" s="47" t="s">
        <v>89</v>
      </c>
      <c r="G18" s="45">
        <v>0.14000000000000001</v>
      </c>
      <c r="H18" s="48">
        <v>0.34</v>
      </c>
      <c r="I18" s="45">
        <f t="shared" si="0"/>
        <v>7.3000000000000009E-2</v>
      </c>
      <c r="J18" s="49">
        <v>0.7</v>
      </c>
      <c r="K18" s="5"/>
      <c r="L18" s="5"/>
      <c r="M18" s="5"/>
      <c r="N18" s="5"/>
      <c r="O18" s="5"/>
      <c r="P18" s="5"/>
    </row>
    <row r="19" spans="1:16" ht="17" x14ac:dyDescent="0.2">
      <c r="A19" s="31" t="s">
        <v>19</v>
      </c>
      <c r="B19" s="36"/>
      <c r="C19" s="37"/>
      <c r="D19" s="38"/>
      <c r="E19" s="39"/>
      <c r="F19" s="40"/>
      <c r="G19" s="38"/>
      <c r="H19" s="25"/>
      <c r="I19" s="38"/>
      <c r="J19" s="41"/>
      <c r="K19" s="5"/>
      <c r="L19" s="5"/>
      <c r="M19" s="5"/>
      <c r="N19" s="5"/>
      <c r="O19" s="5"/>
      <c r="P19" s="5"/>
    </row>
    <row r="20" spans="1:16" ht="17" x14ac:dyDescent="0.2">
      <c r="A20" s="35" t="s">
        <v>20</v>
      </c>
      <c r="B20" s="36">
        <v>-6.0000000000000001E-3</v>
      </c>
      <c r="C20" s="37" t="s">
        <v>97</v>
      </c>
      <c r="D20" s="38">
        <v>1.9E-2</v>
      </c>
      <c r="E20" s="39" t="s">
        <v>98</v>
      </c>
      <c r="F20" s="40" t="s">
        <v>90</v>
      </c>
      <c r="G20" s="38">
        <v>6.4000000000000001E-2</v>
      </c>
      <c r="H20" s="25">
        <v>0.28999999999999998</v>
      </c>
      <c r="I20" s="38">
        <f t="shared" si="0"/>
        <v>4.3999999999999997E-2</v>
      </c>
      <c r="J20" s="41">
        <v>1</v>
      </c>
      <c r="K20" s="5"/>
      <c r="L20" s="5"/>
      <c r="M20" s="5"/>
      <c r="N20" s="5"/>
      <c r="O20" s="5"/>
      <c r="P20" s="5"/>
    </row>
    <row r="21" spans="1:16" ht="17" x14ac:dyDescent="0.2">
      <c r="A21" s="35" t="s">
        <v>21</v>
      </c>
      <c r="B21" s="36">
        <v>-6.0000000000000001E-3</v>
      </c>
      <c r="C21" s="37" t="s">
        <v>97</v>
      </c>
      <c r="D21" s="38">
        <v>2.7E-2</v>
      </c>
      <c r="E21" s="39" t="s">
        <v>98</v>
      </c>
      <c r="F21" s="40" t="s">
        <v>91</v>
      </c>
      <c r="G21" s="38">
        <v>8.7999999999999995E-2</v>
      </c>
      <c r="H21" s="25">
        <v>0.31</v>
      </c>
      <c r="I21" s="38">
        <f t="shared" si="0"/>
        <v>5.2000000000000005E-2</v>
      </c>
      <c r="J21" s="41">
        <v>1</v>
      </c>
      <c r="K21" s="5"/>
      <c r="L21" s="5"/>
      <c r="M21" s="5"/>
      <c r="N21" s="5"/>
      <c r="O21" s="5"/>
      <c r="P21" s="5"/>
    </row>
    <row r="22" spans="1:16" ht="17" x14ac:dyDescent="0.2">
      <c r="A22" s="42" t="s">
        <v>22</v>
      </c>
      <c r="B22" s="43">
        <v>-2E-3</v>
      </c>
      <c r="C22" s="44" t="s">
        <v>97</v>
      </c>
      <c r="D22" s="45">
        <v>2.9000000000000001E-2</v>
      </c>
      <c r="E22" s="46" t="s">
        <v>98</v>
      </c>
      <c r="F22" s="47" t="s">
        <v>92</v>
      </c>
      <c r="G22" s="45">
        <v>8.1000000000000003E-2</v>
      </c>
      <c r="H22" s="48">
        <v>0.35</v>
      </c>
      <c r="I22" s="45">
        <f t="shared" si="0"/>
        <v>5.4000000000000006E-2</v>
      </c>
      <c r="J22" s="49">
        <v>1</v>
      </c>
      <c r="K22" s="5"/>
      <c r="L22" s="5"/>
      <c r="M22" s="5"/>
      <c r="N22" s="5"/>
      <c r="O22" s="5"/>
      <c r="P22" s="5"/>
    </row>
    <row r="23" spans="1:16" ht="17" x14ac:dyDescent="0.2">
      <c r="A23" s="31" t="s">
        <v>23</v>
      </c>
      <c r="B23" s="36"/>
      <c r="C23" s="37"/>
      <c r="D23" s="38"/>
      <c r="E23" s="39"/>
      <c r="F23" s="40"/>
      <c r="G23" s="38"/>
      <c r="H23" s="25"/>
      <c r="I23" s="38"/>
      <c r="J23" s="41"/>
      <c r="K23" s="5"/>
      <c r="L23" s="5"/>
      <c r="M23" s="5"/>
      <c r="N23" s="5"/>
      <c r="O23" s="5"/>
      <c r="P23" s="5"/>
    </row>
    <row r="24" spans="1:16" ht="17" x14ac:dyDescent="0.2">
      <c r="A24" s="35" t="s">
        <v>24</v>
      </c>
      <c r="B24" s="36">
        <v>4.8000000000000001E-2</v>
      </c>
      <c r="C24" s="37" t="s">
        <v>97</v>
      </c>
      <c r="D24" s="38">
        <v>0.08</v>
      </c>
      <c r="E24" s="39" t="s">
        <v>98</v>
      </c>
      <c r="F24" s="40">
        <v>0.113</v>
      </c>
      <c r="G24" s="38">
        <v>0.16200000000000001</v>
      </c>
      <c r="H24" s="25">
        <v>0.51</v>
      </c>
      <c r="I24" s="38">
        <f t="shared" si="0"/>
        <v>0.10500000000000001</v>
      </c>
      <c r="J24" s="41">
        <v>0</v>
      </c>
      <c r="K24" s="5"/>
      <c r="L24" s="5"/>
      <c r="M24" s="5"/>
      <c r="N24" s="5"/>
      <c r="O24" s="5"/>
      <c r="P24" s="5"/>
    </row>
    <row r="25" spans="1:16" ht="17" x14ac:dyDescent="0.2">
      <c r="A25" s="35" t="s">
        <v>25</v>
      </c>
      <c r="B25" s="36">
        <v>4.9000000000000002E-2</v>
      </c>
      <c r="C25" s="37" t="s">
        <v>97</v>
      </c>
      <c r="D25" s="38">
        <v>8.2000000000000003E-2</v>
      </c>
      <c r="E25" s="39" t="s">
        <v>98</v>
      </c>
      <c r="F25" s="40">
        <v>0.115</v>
      </c>
      <c r="G25" s="38">
        <v>0.22800000000000001</v>
      </c>
      <c r="H25" s="25">
        <v>0.51</v>
      </c>
      <c r="I25" s="38">
        <f t="shared" si="0"/>
        <v>0.10700000000000001</v>
      </c>
      <c r="J25" s="41">
        <v>0</v>
      </c>
      <c r="K25" s="5"/>
      <c r="L25" s="5"/>
      <c r="M25" s="5"/>
      <c r="N25" s="5"/>
      <c r="O25" s="5"/>
      <c r="P25" s="5"/>
    </row>
    <row r="26" spans="1:16" ht="17" x14ac:dyDescent="0.2">
      <c r="A26" s="42" t="s">
        <v>26</v>
      </c>
      <c r="B26" s="43">
        <v>2.5999999999999999E-2</v>
      </c>
      <c r="C26" s="44" t="s">
        <v>97</v>
      </c>
      <c r="D26" s="45">
        <v>7.2999999999999995E-2</v>
      </c>
      <c r="E26" s="46" t="s">
        <v>98</v>
      </c>
      <c r="F26" s="47" t="s">
        <v>93</v>
      </c>
      <c r="G26" s="45">
        <v>0.22800000000000001</v>
      </c>
      <c r="H26" s="48">
        <v>0.32</v>
      </c>
      <c r="I26" s="45">
        <f t="shared" si="0"/>
        <v>9.8000000000000004E-2</v>
      </c>
      <c r="J26" s="49">
        <v>0</v>
      </c>
      <c r="K26" s="5"/>
      <c r="L26" s="5"/>
      <c r="M26" s="5"/>
      <c r="N26" s="5"/>
      <c r="O26" s="5"/>
      <c r="P26" s="5"/>
    </row>
    <row r="27" spans="1:16" ht="17" x14ac:dyDescent="0.2">
      <c r="A27" s="31" t="s">
        <v>27</v>
      </c>
      <c r="B27" s="36"/>
      <c r="C27" s="37"/>
      <c r="D27" s="38"/>
      <c r="E27" s="39"/>
      <c r="F27" s="40"/>
      <c r="G27" s="38"/>
      <c r="H27" s="25"/>
      <c r="I27" s="38"/>
      <c r="J27" s="41"/>
      <c r="K27" s="5"/>
      <c r="L27" s="5"/>
      <c r="M27" s="5"/>
      <c r="N27" s="5"/>
      <c r="O27" s="5"/>
      <c r="P27" s="5"/>
    </row>
    <row r="28" spans="1:16" ht="17" x14ac:dyDescent="0.2">
      <c r="A28" s="35" t="s">
        <v>28</v>
      </c>
      <c r="B28" s="36">
        <v>2.1999999999999999E-2</v>
      </c>
      <c r="C28" s="37" t="s">
        <v>97</v>
      </c>
      <c r="D28" s="38">
        <v>4.3999999999999997E-2</v>
      </c>
      <c r="E28" s="39" t="s">
        <v>98</v>
      </c>
      <c r="F28" s="40" t="s">
        <v>94</v>
      </c>
      <c r="G28" s="38">
        <v>0.11</v>
      </c>
      <c r="H28" s="25">
        <v>0.4</v>
      </c>
      <c r="I28" s="38">
        <f t="shared" si="0"/>
        <v>6.9000000000000006E-2</v>
      </c>
      <c r="J28" s="41">
        <v>0</v>
      </c>
      <c r="K28" s="5"/>
      <c r="L28" s="5"/>
      <c r="M28" s="5"/>
      <c r="N28" s="5"/>
      <c r="O28" s="5"/>
      <c r="P28" s="5"/>
    </row>
    <row r="29" spans="1:16" ht="17" x14ac:dyDescent="0.2">
      <c r="A29" s="35" t="s">
        <v>73</v>
      </c>
      <c r="B29" s="36">
        <v>2.3E-2</v>
      </c>
      <c r="C29" s="37" t="s">
        <v>97</v>
      </c>
      <c r="D29" s="38">
        <v>3.7999999999999999E-2</v>
      </c>
      <c r="E29" s="39" t="s">
        <v>98</v>
      </c>
      <c r="F29" s="40" t="s">
        <v>95</v>
      </c>
      <c r="G29" s="38">
        <v>7.1999999999999995E-2</v>
      </c>
      <c r="H29" s="25">
        <v>0.53</v>
      </c>
      <c r="I29" s="38">
        <f t="shared" si="0"/>
        <v>6.3E-2</v>
      </c>
      <c r="J29" s="41">
        <v>0</v>
      </c>
      <c r="K29" s="5"/>
      <c r="L29" s="5"/>
      <c r="M29" s="5"/>
      <c r="N29" s="5"/>
      <c r="O29" s="5"/>
      <c r="P29" s="5"/>
    </row>
    <row r="30" spans="1:16" ht="17" x14ac:dyDescent="0.2">
      <c r="A30" s="52" t="s">
        <v>74</v>
      </c>
      <c r="B30" s="53">
        <v>2.5999999999999999E-2</v>
      </c>
      <c r="C30" s="54" t="s">
        <v>97</v>
      </c>
      <c r="D30" s="55">
        <v>4.2999999999999997E-2</v>
      </c>
      <c r="E30" s="56" t="s">
        <v>98</v>
      </c>
      <c r="F30" s="57" t="s">
        <v>96</v>
      </c>
      <c r="G30" s="55">
        <v>8.4000000000000005E-2</v>
      </c>
      <c r="H30" s="58">
        <v>0.51</v>
      </c>
      <c r="I30" s="55">
        <f t="shared" si="0"/>
        <v>6.8000000000000005E-2</v>
      </c>
      <c r="J30" s="59">
        <v>0</v>
      </c>
      <c r="K30" s="5"/>
      <c r="L30" s="5"/>
      <c r="M30" s="5"/>
      <c r="N30" s="5"/>
      <c r="O30" s="5"/>
      <c r="P30" s="5"/>
    </row>
    <row r="31" spans="1:16" x14ac:dyDescent="0.2">
      <c r="A31" s="4"/>
      <c r="B31" s="21"/>
      <c r="C31" s="5"/>
      <c r="D31" s="5"/>
      <c r="E31" s="5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4"/>
      <c r="B32" s="21"/>
      <c r="C32" s="5"/>
      <c r="D32" s="5"/>
      <c r="E32" s="5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4"/>
      <c r="B33" s="21"/>
      <c r="C33" s="5"/>
      <c r="D33" s="5"/>
      <c r="E33" s="5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/>
      <c r="B34" s="21"/>
      <c r="C34" s="5"/>
      <c r="D34" s="5"/>
      <c r="E34" s="5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4"/>
      <c r="B35" s="21"/>
      <c r="C35" s="5"/>
      <c r="D35" s="5"/>
      <c r="E35" s="5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4"/>
      <c r="B36" s="21"/>
      <c r="C36" s="5"/>
      <c r="D36" s="5"/>
      <c r="E36" s="5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4"/>
      <c r="B37" s="21"/>
      <c r="C37" s="5"/>
      <c r="D37" s="5"/>
      <c r="E37" s="5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G24"/>
  <sheetViews>
    <sheetView tabSelected="1" workbookViewId="0">
      <selection activeCell="B11" sqref="B11"/>
    </sheetView>
  </sheetViews>
  <sheetFormatPr baseColWidth="10" defaultRowHeight="15" x14ac:dyDescent="0.2"/>
  <cols>
    <col min="1" max="1" width="13.6640625" style="13" bestFit="1" customWidth="1"/>
    <col min="2" max="2" width="36.1640625" bestFit="1" customWidth="1"/>
    <col min="3" max="3" width="17.83203125" style="3" bestFit="1" customWidth="1"/>
    <col min="4" max="4" width="19.33203125" style="3" bestFit="1" customWidth="1"/>
    <col min="5" max="6" width="17.83203125" style="3" bestFit="1" customWidth="1"/>
    <col min="7" max="7" width="12.5" style="3" bestFit="1" customWidth="1"/>
  </cols>
  <sheetData>
    <row r="1" spans="1:7" ht="17" x14ac:dyDescent="0.2">
      <c r="A1" s="102" t="s">
        <v>120</v>
      </c>
      <c r="B1" s="103" t="s">
        <v>0</v>
      </c>
      <c r="C1" s="104" t="s">
        <v>1</v>
      </c>
      <c r="D1" s="104" t="s">
        <v>2</v>
      </c>
      <c r="E1" s="104" t="s">
        <v>3</v>
      </c>
      <c r="F1" s="104" t="s">
        <v>4</v>
      </c>
      <c r="G1" s="105" t="s">
        <v>102</v>
      </c>
    </row>
    <row r="2" spans="1:7" ht="17" x14ac:dyDescent="0.2">
      <c r="A2" s="14" t="s">
        <v>103</v>
      </c>
      <c r="B2" s="90" t="s">
        <v>38</v>
      </c>
      <c r="C2" s="107">
        <v>0.245</v>
      </c>
      <c r="D2" s="107">
        <v>0.58499999999999996</v>
      </c>
      <c r="E2" s="107">
        <v>0.36</v>
      </c>
      <c r="F2" s="107">
        <v>0.15</v>
      </c>
      <c r="G2" s="41">
        <v>0</v>
      </c>
    </row>
    <row r="3" spans="1:7" ht="17" x14ac:dyDescent="0.2">
      <c r="A3" s="14" t="s">
        <v>128</v>
      </c>
      <c r="B3" s="90" t="s">
        <v>6</v>
      </c>
      <c r="C3" s="107">
        <v>0.5</v>
      </c>
      <c r="D3" s="107" t="s">
        <v>39</v>
      </c>
      <c r="E3" s="107" t="s">
        <v>39</v>
      </c>
      <c r="F3" s="107" t="s">
        <v>39</v>
      </c>
      <c r="G3" s="41">
        <v>0</v>
      </c>
    </row>
    <row r="4" spans="1:7" ht="17" x14ac:dyDescent="0.2">
      <c r="A4" s="14" t="s">
        <v>104</v>
      </c>
      <c r="B4" s="90" t="s">
        <v>127</v>
      </c>
      <c r="C4" s="107">
        <v>0.02</v>
      </c>
      <c r="D4" s="107">
        <v>0.03</v>
      </c>
      <c r="E4" s="107">
        <v>4.4999999999999998E-2</v>
      </c>
      <c r="F4" s="107">
        <v>5.5E-2</v>
      </c>
      <c r="G4" s="41">
        <v>0</v>
      </c>
    </row>
    <row r="5" spans="1:7" ht="17" x14ac:dyDescent="0.2">
      <c r="A5" s="14" t="s">
        <v>105</v>
      </c>
      <c r="B5" s="90" t="s">
        <v>10</v>
      </c>
      <c r="C5" s="107">
        <v>3.9E-2</v>
      </c>
      <c r="D5" s="107">
        <v>6.3E-2</v>
      </c>
      <c r="E5" s="107">
        <v>0.1</v>
      </c>
      <c r="F5" s="107">
        <v>0.14199999999999999</v>
      </c>
      <c r="G5" s="41">
        <v>0</v>
      </c>
    </row>
    <row r="6" spans="1:7" ht="17" x14ac:dyDescent="0.2">
      <c r="A6" s="14" t="s">
        <v>106</v>
      </c>
      <c r="B6" s="90" t="s">
        <v>11</v>
      </c>
      <c r="C6" s="107">
        <v>4.4000000000000004E-2</v>
      </c>
      <c r="D6" s="107">
        <v>7.0999999999999994E-2</v>
      </c>
      <c r="E6" s="107">
        <v>0.11199999999999999</v>
      </c>
      <c r="F6" s="107">
        <v>0.159</v>
      </c>
      <c r="G6" s="41">
        <v>0</v>
      </c>
    </row>
    <row r="7" spans="1:7" ht="17" x14ac:dyDescent="0.2">
      <c r="A7" s="14" t="s">
        <v>107</v>
      </c>
      <c r="B7" s="90" t="s">
        <v>12</v>
      </c>
      <c r="C7" s="107">
        <v>1.3999999999999999E-2</v>
      </c>
      <c r="D7" s="107">
        <v>2.2000000000000002E-2</v>
      </c>
      <c r="E7" s="107">
        <v>3.5000000000000003E-2</v>
      </c>
      <c r="F7" s="107">
        <v>0.05</v>
      </c>
      <c r="G7" s="41">
        <v>0</v>
      </c>
    </row>
    <row r="8" spans="1:7" ht="17" x14ac:dyDescent="0.2">
      <c r="A8" s="14" t="s">
        <v>108</v>
      </c>
      <c r="B8" s="90" t="s">
        <v>13</v>
      </c>
      <c r="C8" s="107">
        <v>1.6E-2</v>
      </c>
      <c r="D8" s="107">
        <v>2.5000000000000001E-2</v>
      </c>
      <c r="E8" s="107">
        <v>0.04</v>
      </c>
      <c r="F8" s="107">
        <v>5.7000000000000002E-2</v>
      </c>
      <c r="G8" s="41">
        <v>0.7</v>
      </c>
    </row>
    <row r="9" spans="1:7" ht="17" x14ac:dyDescent="0.2">
      <c r="A9" s="14" t="s">
        <v>109</v>
      </c>
      <c r="B9" s="90" t="s">
        <v>14</v>
      </c>
      <c r="C9" s="107">
        <v>5.0000000000000001E-3</v>
      </c>
      <c r="D9" s="107">
        <v>8.0000000000000002E-3</v>
      </c>
      <c r="E9" s="107">
        <v>1.2E-2</v>
      </c>
      <c r="F9" s="107">
        <v>1.7000000000000001E-2</v>
      </c>
      <c r="G9" s="41">
        <v>0.7</v>
      </c>
    </row>
    <row r="10" spans="1:7" ht="17" x14ac:dyDescent="0.2">
      <c r="A10" s="14" t="s">
        <v>110</v>
      </c>
      <c r="B10" s="90" t="s">
        <v>15</v>
      </c>
      <c r="C10" s="107">
        <v>6.9999999999999993E-3</v>
      </c>
      <c r="D10" s="107">
        <v>1.1000000000000001E-2</v>
      </c>
      <c r="E10" s="107">
        <v>1.8000000000000002E-2</v>
      </c>
      <c r="F10" s="107">
        <v>2.6000000000000002E-2</v>
      </c>
      <c r="G10" s="41">
        <v>0.7</v>
      </c>
    </row>
    <row r="11" spans="1:7" ht="17" x14ac:dyDescent="0.2">
      <c r="A11" s="14" t="s">
        <v>111</v>
      </c>
      <c r="B11" s="90" t="s">
        <v>16</v>
      </c>
      <c r="C11" s="107">
        <v>4.0000000000000001E-3</v>
      </c>
      <c r="D11" s="107">
        <v>6.0000000000000001E-3</v>
      </c>
      <c r="E11" s="107">
        <v>9.0000000000000011E-3</v>
      </c>
      <c r="F11" s="107">
        <v>1.3000000000000001E-2</v>
      </c>
      <c r="G11" s="41">
        <v>0.7</v>
      </c>
    </row>
    <row r="12" spans="1:7" ht="17" x14ac:dyDescent="0.2">
      <c r="A12" s="14" t="s">
        <v>112</v>
      </c>
      <c r="B12" s="90" t="s">
        <v>17</v>
      </c>
      <c r="C12" s="107">
        <v>4.0000000000000001E-3</v>
      </c>
      <c r="D12" s="107">
        <v>6.0000000000000001E-3</v>
      </c>
      <c r="E12" s="107">
        <v>9.0000000000000011E-3</v>
      </c>
      <c r="F12" s="107">
        <v>1.3000000000000001E-2</v>
      </c>
      <c r="G12" s="41">
        <v>0</v>
      </c>
    </row>
    <row r="13" spans="1:7" ht="17" x14ac:dyDescent="0.2">
      <c r="A13" s="14" t="s">
        <v>113</v>
      </c>
      <c r="B13" s="90" t="s">
        <v>114</v>
      </c>
      <c r="C13" s="107">
        <v>4.0000000000000001E-3</v>
      </c>
      <c r="D13" s="107">
        <v>6.5000000000000006E-3</v>
      </c>
      <c r="E13" s="107">
        <v>0.01</v>
      </c>
      <c r="F13" s="107">
        <v>1.3999999999999999E-2</v>
      </c>
      <c r="G13" s="106">
        <v>0.7</v>
      </c>
    </row>
    <row r="14" spans="1:7" ht="17" x14ac:dyDescent="0.2">
      <c r="A14" s="14" t="s">
        <v>116</v>
      </c>
      <c r="B14" s="90" t="s">
        <v>115</v>
      </c>
      <c r="C14" s="107">
        <v>4.0000000000000001E-3</v>
      </c>
      <c r="D14" s="107">
        <v>6.5000000000000006E-3</v>
      </c>
      <c r="E14" s="107">
        <v>0.01</v>
      </c>
      <c r="F14" s="107">
        <v>1.3999999999999999E-2</v>
      </c>
      <c r="G14" s="106">
        <v>0.7</v>
      </c>
    </row>
    <row r="15" spans="1:7" ht="17" x14ac:dyDescent="0.2">
      <c r="A15" s="14" t="s">
        <v>117</v>
      </c>
      <c r="B15" s="90" t="s">
        <v>20</v>
      </c>
      <c r="C15" s="107">
        <v>3.0000000000000001E-3</v>
      </c>
      <c r="D15" s="107">
        <v>6.9999999999999993E-3</v>
      </c>
      <c r="E15" s="107">
        <v>9.0000000000000011E-3</v>
      </c>
      <c r="F15" s="107">
        <v>6.0000000000000001E-3</v>
      </c>
      <c r="G15" s="41">
        <v>1</v>
      </c>
    </row>
    <row r="16" spans="1:7" ht="17" x14ac:dyDescent="0.2">
      <c r="A16" s="14" t="s">
        <v>118</v>
      </c>
      <c r="B16" s="90" t="s">
        <v>21</v>
      </c>
      <c r="C16" s="107">
        <v>6.0000000000000001E-3</v>
      </c>
      <c r="D16" s="107">
        <v>1.3999999999999999E-2</v>
      </c>
      <c r="E16" s="107">
        <v>1.8000000000000002E-2</v>
      </c>
      <c r="F16" s="107">
        <v>1.2E-2</v>
      </c>
      <c r="G16" s="41">
        <v>1</v>
      </c>
    </row>
    <row r="17" spans="1:7" ht="17" x14ac:dyDescent="0.2">
      <c r="A17" s="14" t="s">
        <v>119</v>
      </c>
      <c r="B17" s="90" t="s">
        <v>22</v>
      </c>
      <c r="C17" s="107">
        <v>6.0000000000000001E-3</v>
      </c>
      <c r="D17" s="107">
        <v>1.3999999999999999E-2</v>
      </c>
      <c r="E17" s="107">
        <v>1.8000000000000002E-2</v>
      </c>
      <c r="F17" s="107">
        <v>1.2E-2</v>
      </c>
      <c r="G17" s="41">
        <v>1</v>
      </c>
    </row>
    <row r="18" spans="1:7" ht="17" x14ac:dyDescent="0.2">
      <c r="A18" s="14" t="s">
        <v>121</v>
      </c>
      <c r="B18" s="90" t="s">
        <v>24</v>
      </c>
      <c r="C18" s="107">
        <v>0.03</v>
      </c>
      <c r="D18" s="107">
        <v>4.0999999999999995E-2</v>
      </c>
      <c r="E18" s="107">
        <v>8.4000000000000005E-2</v>
      </c>
      <c r="F18" s="107">
        <v>0.13</v>
      </c>
      <c r="G18" s="41">
        <v>0</v>
      </c>
    </row>
    <row r="19" spans="1:7" ht="17" x14ac:dyDescent="0.2">
      <c r="A19" s="14" t="s">
        <v>122</v>
      </c>
      <c r="B19" s="90" t="s">
        <v>25</v>
      </c>
      <c r="C19" s="107">
        <v>0.01</v>
      </c>
      <c r="D19" s="107">
        <v>1.3999999999999999E-2</v>
      </c>
      <c r="E19" s="107">
        <v>2.7999999999999997E-2</v>
      </c>
      <c r="F19" s="107">
        <v>4.2999999999999997E-2</v>
      </c>
      <c r="G19" s="41">
        <v>0</v>
      </c>
    </row>
    <row r="20" spans="1:7" ht="17" x14ac:dyDescent="0.2">
      <c r="A20" s="14" t="s">
        <v>123</v>
      </c>
      <c r="B20" s="90" t="s">
        <v>26</v>
      </c>
      <c r="C20" s="107">
        <v>0</v>
      </c>
      <c r="D20" s="107">
        <v>0</v>
      </c>
      <c r="E20" s="107">
        <v>8.0000000000000002E-3</v>
      </c>
      <c r="F20" s="107">
        <v>1.2E-2</v>
      </c>
      <c r="G20" s="41">
        <v>0</v>
      </c>
    </row>
    <row r="21" spans="1:7" ht="17" x14ac:dyDescent="0.2">
      <c r="A21" s="14" t="s">
        <v>124</v>
      </c>
      <c r="B21" s="90" t="s">
        <v>28</v>
      </c>
      <c r="C21" s="107">
        <v>1.3000000000000001E-2</v>
      </c>
      <c r="D21" s="107">
        <v>2.3E-2</v>
      </c>
      <c r="E21" s="107">
        <v>3.5000000000000003E-2</v>
      </c>
      <c r="F21" s="107">
        <v>3.5000000000000003E-2</v>
      </c>
      <c r="G21" s="41">
        <v>0</v>
      </c>
    </row>
    <row r="22" spans="1:7" ht="17" x14ac:dyDescent="0.2">
      <c r="A22" s="14" t="s">
        <v>125</v>
      </c>
      <c r="B22" s="90" t="s">
        <v>100</v>
      </c>
      <c r="C22" s="107">
        <v>1.3500000000000002E-2</v>
      </c>
      <c r="D22" s="107">
        <v>2.35E-2</v>
      </c>
      <c r="E22" s="107">
        <v>0.02</v>
      </c>
      <c r="F22" s="107">
        <v>0.02</v>
      </c>
      <c r="G22" s="41">
        <v>0</v>
      </c>
    </row>
    <row r="23" spans="1:7" ht="17" x14ac:dyDescent="0.2">
      <c r="A23" s="14" t="s">
        <v>126</v>
      </c>
      <c r="B23" s="90" t="s">
        <v>29</v>
      </c>
      <c r="C23" s="107">
        <v>1.3500000000000002E-2</v>
      </c>
      <c r="D23" s="107">
        <v>2.35E-2</v>
      </c>
      <c r="E23" s="107">
        <v>0.02</v>
      </c>
      <c r="F23" s="107">
        <v>0.02</v>
      </c>
      <c r="G23" s="41">
        <v>0</v>
      </c>
    </row>
    <row r="24" spans="1:7" ht="17" x14ac:dyDescent="0.2">
      <c r="A24" s="101"/>
      <c r="B24" s="99" t="s">
        <v>101</v>
      </c>
      <c r="C24" s="108">
        <f>SUM(C2:C23)</f>
        <v>1.0010000000000001</v>
      </c>
      <c r="D24" s="108">
        <f t="shared" ref="D24:F24" si="0">SUM(D2:D23)</f>
        <v>0.99999999999999989</v>
      </c>
      <c r="E24" s="108">
        <f t="shared" si="0"/>
        <v>1.0000000000000002</v>
      </c>
      <c r="F24" s="108">
        <f t="shared" si="0"/>
        <v>1.0000000000000002</v>
      </c>
      <c r="G24" s="10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</vt:lpstr>
      <vt:lpstr>Portfolios</vt:lpstr>
      <vt:lpstr>Risk-Metrics</vt:lpstr>
      <vt:lpstr>Factor Charts</vt:lpstr>
      <vt:lpstr>Assumptions</vt:lpstr>
      <vt:lpstr>RAW WEIGHTS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2025-06-21T19:28:50Z</dcterms:modified>
</cp:coreProperties>
</file>