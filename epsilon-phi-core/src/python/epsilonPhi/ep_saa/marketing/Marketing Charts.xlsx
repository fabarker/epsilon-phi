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ep_saa/marketing/"/>
    </mc:Choice>
  </mc:AlternateContent>
  <xr:revisionPtr revIDLastSave="0" documentId="13_ncr:1_{004BCA16-4356-5846-8F24-CE91C7C7E0DF}" xr6:coauthVersionLast="47" xr6:coauthVersionMax="47" xr10:uidLastSave="{00000000-0000-0000-0000-000000000000}"/>
  <bookViews>
    <workbookView xWindow="3480" yWindow="500" windowWidth="28040" windowHeight="17440" activeTab="2" xr2:uid="{B5A52BBA-49B5-954D-A188-236E4982FCC2}"/>
  </bookViews>
  <sheets>
    <sheet name="Risk Premia Charts" sheetId="1" r:id="rId1"/>
    <sheet name="Portfolio Charts" sheetId="2" r:id="rId2"/>
    <sheet name="Factor Table" sheetId="3" r:id="rId3"/>
    <sheet name="VaR Table" sheetId="4" r:id="rId4"/>
    <sheet name="Sheet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10" i="5"/>
  <c r="D10" i="5"/>
  <c r="D3" i="5"/>
  <c r="H31" i="5"/>
  <c r="E7" i="4"/>
  <c r="E6" i="4"/>
  <c r="E5" i="4"/>
  <c r="C11" i="4"/>
  <c r="I15" i="4"/>
  <c r="I16" i="4"/>
  <c r="I14" i="4"/>
  <c r="H16" i="4"/>
  <c r="H15" i="4"/>
  <c r="H14" i="4"/>
  <c r="G15" i="4"/>
  <c r="G14" i="4"/>
  <c r="E12" i="4"/>
  <c r="D12" i="4"/>
  <c r="C12" i="4"/>
  <c r="C10" i="4"/>
  <c r="G7" i="4"/>
  <c r="G6" i="4"/>
  <c r="G5" i="4"/>
  <c r="D24" i="4"/>
  <c r="D23" i="4"/>
  <c r="D22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25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14" i="4"/>
  <c r="D9" i="1"/>
  <c r="D10" i="1"/>
  <c r="D18" i="2"/>
  <c r="D19" i="2"/>
  <c r="D20" i="2"/>
  <c r="D21" i="2"/>
  <c r="D22" i="2"/>
  <c r="D23" i="2"/>
  <c r="D4" i="2"/>
  <c r="B13" i="2" s="1"/>
  <c r="D10" i="2"/>
  <c r="B10" i="2" s="1"/>
  <c r="D11" i="2"/>
  <c r="B11" i="2" s="1"/>
  <c r="D12" i="2"/>
  <c r="B12" i="2" s="1"/>
  <c r="D13" i="2"/>
  <c r="D5" i="2"/>
  <c r="D6" i="2"/>
  <c r="D7" i="2"/>
  <c r="D8" i="2"/>
  <c r="D9" i="2"/>
  <c r="B9" i="2" s="1"/>
  <c r="D14" i="2"/>
  <c r="B14" i="2" s="1"/>
  <c r="D15" i="2"/>
  <c r="B15" i="2" s="1"/>
  <c r="D16" i="2"/>
  <c r="B16" i="2" s="1"/>
  <c r="D17" i="2"/>
  <c r="B17" i="2" s="1"/>
  <c r="C10" i="1"/>
  <c r="B8" i="2" l="1"/>
  <c r="B7" i="2"/>
  <c r="B6" i="2"/>
  <c r="B4" i="2"/>
  <c r="B5" i="2"/>
</calcChain>
</file>

<file path=xl/sharedStrings.xml><?xml version="1.0" encoding="utf-8"?>
<sst xmlns="http://schemas.openxmlformats.org/spreadsheetml/2006/main" count="35" uniqueCount="25">
  <si>
    <t>Equity</t>
  </si>
  <si>
    <t>Term</t>
  </si>
  <si>
    <t>Leverage</t>
  </si>
  <si>
    <t>Liquidity</t>
  </si>
  <si>
    <t>Carry</t>
  </si>
  <si>
    <t>EM</t>
  </si>
  <si>
    <t>Total</t>
  </si>
  <si>
    <t>Interest Rate</t>
  </si>
  <si>
    <t>Credit</t>
  </si>
  <si>
    <t>Emerging Markets</t>
  </si>
  <si>
    <t>Inflation and Interest Rate Risk</t>
  </si>
  <si>
    <t>Compensates for Uncertainty around Earnings Growth/Discount Rates</t>
  </si>
  <si>
    <t>Risk that bond issuers may default or experience a deterioration in credit quality</t>
  </si>
  <si>
    <t>Risk of the Deterioration in Ease of Transacting in Securities</t>
  </si>
  <si>
    <t>Risks related to Carry Trade Activity</t>
  </si>
  <si>
    <t>Risks Specific to Emerging Markets</t>
  </si>
  <si>
    <t>Example Set of Return Generating Factors</t>
  </si>
  <si>
    <t>Value at Risk (Over 1 Year)</t>
  </si>
  <si>
    <t>Confidence</t>
  </si>
  <si>
    <t>Nomal Model</t>
  </si>
  <si>
    <t>Factor-Based</t>
  </si>
  <si>
    <t>Historical</t>
  </si>
  <si>
    <t>CSTEVDH</t>
  </si>
  <si>
    <t>Event Driven Hedge Funds</t>
  </si>
  <si>
    <t>Event Driven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</si>
</sst>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</font>
    <font>
      <sz val="14"/>
      <color theme="1"/>
      <name val="Aptos Light"/>
    </font>
    <font>
      <sz val="14"/>
      <color theme="0"/>
      <name val="Aptos Light"/>
    </font>
    <font>
      <sz val="10"/>
      <color theme="0"/>
      <name val="Aptos"/>
    </font>
    <font>
      <sz val="10"/>
      <color theme="1"/>
      <name val="Aptos Light"/>
    </font>
    <font>
      <sz val="11.5"/>
      <color theme="1"/>
      <name val="Aptos Light"/>
    </font>
    <font>
      <sz val="11.5"/>
      <color theme="1"/>
      <name val="Aptos Narrow"/>
      <family val="2"/>
      <scheme val="minor"/>
    </font>
    <font>
      <sz val="11.5"/>
      <color theme="0"/>
      <name val="Aptos Light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5182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B304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hair">
        <color theme="0" tint="-0.499984740745262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9" fontId="0" fillId="2" borderId="0" xfId="1" applyFont="1" applyFill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right" indent="2"/>
    </xf>
    <xf numFmtId="0" fontId="0" fillId="0" borderId="0" xfId="0" applyAlignment="1">
      <alignment horizontal="right" indent="2"/>
    </xf>
    <xf numFmtId="0" fontId="4" fillId="9" borderId="5" xfId="0" applyFont="1" applyFill="1" applyBorder="1" applyAlignment="1">
      <alignment horizontal="right" vertical="center" indent="1"/>
    </xf>
    <xf numFmtId="0" fontId="5" fillId="7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9" fontId="6" fillId="2" borderId="6" xfId="0" applyNumberFormat="1" applyFont="1" applyFill="1" applyBorder="1" applyAlignment="1">
      <alignment horizontal="center" vertical="center"/>
    </xf>
    <xf numFmtId="9" fontId="6" fillId="2" borderId="7" xfId="0" applyNumberFormat="1" applyFont="1" applyFill="1" applyBorder="1" applyAlignment="1">
      <alignment horizontal="center" vertical="center"/>
    </xf>
    <xf numFmtId="9" fontId="6" fillId="2" borderId="8" xfId="0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4" fontId="0" fillId="2" borderId="0" xfId="0" applyNumberFormat="1" applyFill="1"/>
    <xf numFmtId="14" fontId="0" fillId="0" borderId="0" xfId="0" applyNumberFormat="1"/>
    <xf numFmtId="10" fontId="0" fillId="2" borderId="0" xfId="0" applyNumberFormat="1" applyFill="1"/>
    <xf numFmtId="10" fontId="0" fillId="2" borderId="0" xfId="1" applyNumberFormat="1" applyFont="1" applyFill="1" applyAlignment="1">
      <alignment horizontal="center"/>
    </xf>
    <xf numFmtId="10" fontId="0" fillId="2" borderId="0" xfId="1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0" fontId="4" fillId="10" borderId="5" xfId="0" applyFont="1" applyFill="1" applyBorder="1" applyAlignment="1">
      <alignment horizontal="right" vertical="center" indent="1"/>
    </xf>
    <xf numFmtId="0" fontId="3" fillId="11" borderId="5" xfId="0" applyFont="1" applyFill="1" applyBorder="1" applyAlignment="1">
      <alignment horizontal="right" vertical="center" indent="1"/>
    </xf>
    <xf numFmtId="0" fontId="3" fillId="12" borderId="5" xfId="0" applyFont="1" applyFill="1" applyBorder="1" applyAlignment="1">
      <alignment horizontal="right" vertical="center" indent="1"/>
    </xf>
    <xf numFmtId="0" fontId="3" fillId="13" borderId="5" xfId="0" applyFont="1" applyFill="1" applyBorder="1" applyAlignment="1">
      <alignment horizontal="right" vertical="center" indent="1"/>
    </xf>
    <xf numFmtId="0" fontId="3" fillId="14" borderId="4" xfId="0" applyFont="1" applyFill="1" applyBorder="1" applyAlignment="1">
      <alignment horizontal="right" vertical="center" indent="1"/>
    </xf>
    <xf numFmtId="0" fontId="7" fillId="2" borderId="2" xfId="0" applyFont="1" applyFill="1" applyBorder="1" applyAlignment="1">
      <alignment horizontal="left" vertical="center" indent="2"/>
    </xf>
    <xf numFmtId="0" fontId="8" fillId="7" borderId="1" xfId="0" applyFont="1" applyFill="1" applyBorder="1" applyAlignment="1">
      <alignment horizontal="right"/>
    </xf>
    <xf numFmtId="0" fontId="9" fillId="7" borderId="0" xfId="0" applyFont="1" applyFill="1" applyAlignment="1">
      <alignment horizontal="center" vertical="center"/>
    </xf>
    <xf numFmtId="0" fontId="9" fillId="9" borderId="5" xfId="0" applyFont="1" applyFill="1" applyBorder="1" applyAlignment="1">
      <alignment horizontal="right" vertical="center" indent="1"/>
    </xf>
    <xf numFmtId="0" fontId="9" fillId="6" borderId="5" xfId="0" applyFont="1" applyFill="1" applyBorder="1" applyAlignment="1">
      <alignment horizontal="right" vertical="center" indent="1"/>
    </xf>
    <xf numFmtId="0" fontId="7" fillId="5" borderId="5" xfId="0" applyFont="1" applyFill="1" applyBorder="1" applyAlignment="1">
      <alignment horizontal="right" vertical="center" indent="1"/>
    </xf>
    <xf numFmtId="0" fontId="7" fillId="4" borderId="5" xfId="0" applyFont="1" applyFill="1" applyBorder="1" applyAlignment="1">
      <alignment horizontal="right" vertical="center" indent="1"/>
    </xf>
    <xf numFmtId="0" fontId="7" fillId="3" borderId="5" xfId="0" applyFont="1" applyFill="1" applyBorder="1" applyAlignment="1">
      <alignment horizontal="right" vertical="center" indent="1"/>
    </xf>
    <xf numFmtId="0" fontId="7" fillId="8" borderId="4" xfId="0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 indent="2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2F2F2"/>
      <color rgb="FFDAE9F8"/>
      <color rgb="FFA6C9EC"/>
      <color rgb="FF4D93D9"/>
      <color rgb="FF215C98"/>
      <color rgb="FF0B3040"/>
      <color rgb="FF151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B3040"/>
            </a:solidFill>
            <a:ln w="15875"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  <c:invertIfNegative val="0"/>
          <c:val>
            <c:numRef>
              <c:f>'Risk Premia Charts'!$C$3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0B41-A7CD-3623F1F809A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'Risk Premia Charts'!$C$4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D-0B41-A7CD-3623F1F809A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'Risk Premia Charts'!$C$5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D-0B41-A7CD-3623F1F809A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'Risk Premia Charts'!$C$6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D-0B41-A7CD-3623F1F809A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'Risk Premia Charts'!$C$7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D-0B41-A7CD-3623F1F809A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'Risk Premia Charts'!$C$8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FD-0B41-A7CD-3623F1F809A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 w="15875">
              <a:solidFill>
                <a:srgbClr val="FF0000"/>
              </a:solidFill>
              <a:prstDash val="sysDot"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 w="15875">
                <a:solidFill>
                  <a:srgbClr val="FF0000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7-0AFD-0B41-A7CD-3623F1F809A2}"/>
              </c:ext>
            </c:extLst>
          </c:dPt>
          <c:val>
            <c:numRef>
              <c:f>'Risk Premia Charts'!$C$9</c:f>
              <c:numCache>
                <c:formatCode>0.00%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FD-0B41-A7CD-3623F1F8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5"/>
        <c:overlap val="100"/>
        <c:axId val="1730945312"/>
        <c:axId val="1730230000"/>
      </c:barChart>
      <c:catAx>
        <c:axId val="173094531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230000"/>
        <c:crosses val="autoZero"/>
        <c:auto val="1"/>
        <c:lblAlgn val="ctr"/>
        <c:lblOffset val="100"/>
        <c:noMultiLvlLbl val="0"/>
      </c:catAx>
      <c:valAx>
        <c:axId val="1730230000"/>
        <c:scaling>
          <c:orientation val="minMax"/>
          <c:max val="0.1"/>
          <c:min val="0"/>
        </c:scaling>
        <c:delete val="1"/>
        <c:axPos val="l"/>
        <c:numFmt formatCode="0.0%" sourceLinked="1"/>
        <c:majorTickMark val="out"/>
        <c:minorTickMark val="none"/>
        <c:tickLblPos val="nextTo"/>
        <c:crossAx val="173094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0B3040"/>
            </a:solidFill>
            <a:ln w="127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B3040"/>
              </a:solidFill>
              <a:ln w="3175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2FB4-D94B-96A1-813911E2E3E2}"/>
              </c:ext>
            </c:extLst>
          </c:dPt>
          <c:val>
            <c:numRef>
              <c:f>'Risk Premia Charts'!$D$3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1-E848-A743-C6D0D811457E}"/>
            </c:ext>
          </c:extLst>
        </c:ser>
        <c:ser>
          <c:idx val="1"/>
          <c:order val="1"/>
          <c:spPr>
            <a:solidFill>
              <a:schemeClr val="tx2">
                <a:lumMod val="75000"/>
                <a:lumOff val="25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val>
            <c:numRef>
              <c:f>'Risk Premia Charts'!$D$4</c:f>
              <c:numCache>
                <c:formatCode>0.0%</c:formatCode>
                <c:ptCount val="1"/>
                <c:pt idx="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1-E848-A743-C6D0D811457E}"/>
            </c:ext>
          </c:extLst>
        </c:ser>
        <c:ser>
          <c:idx val="2"/>
          <c:order val="2"/>
          <c:spPr>
            <a:solidFill>
              <a:schemeClr val="tx2">
                <a:lumMod val="50000"/>
                <a:lumOff val="50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val>
            <c:numRef>
              <c:f>'Risk Premia Charts'!$D$5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1-E848-A743-C6D0D811457E}"/>
            </c:ext>
          </c:extLst>
        </c:ser>
        <c:ser>
          <c:idx val="3"/>
          <c:order val="3"/>
          <c:spPr>
            <a:solidFill>
              <a:schemeClr val="tx2">
                <a:lumMod val="25000"/>
                <a:lumOff val="75000"/>
              </a:schemeClr>
            </a:solidFill>
            <a:ln w="3175">
              <a:noFill/>
            </a:ln>
            <a:effectLst/>
          </c:spPr>
          <c:invertIfNegative val="0"/>
          <c:val>
            <c:numRef>
              <c:f>'Risk Premia Charts'!$D$6</c:f>
              <c:numCache>
                <c:formatCode>0.0%</c:formatCode>
                <c:ptCount val="1"/>
                <c:pt idx="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D1-E848-A743-C6D0D811457E}"/>
            </c:ext>
          </c:extLst>
        </c:ser>
        <c:ser>
          <c:idx val="4"/>
          <c:order val="4"/>
          <c:spPr>
            <a:solidFill>
              <a:schemeClr val="tx2">
                <a:lumMod val="10000"/>
                <a:lumOff val="90000"/>
              </a:schemeClr>
            </a:solidFill>
            <a:ln w="3175"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val>
            <c:numRef>
              <c:f>'Risk Premia Charts'!$D$7</c:f>
              <c:numCache>
                <c:formatCode>0.0%</c:formatCode>
                <c:ptCount val="1"/>
                <c:pt idx="0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D1-E848-A743-C6D0D811457E}"/>
            </c:ext>
          </c:extLst>
        </c:ser>
        <c:ser>
          <c:idx val="5"/>
          <c:order val="5"/>
          <c:spPr>
            <a:solidFill>
              <a:schemeClr val="bg1">
                <a:lumMod val="85000"/>
              </a:schemeClr>
            </a:solidFill>
            <a:ln w="127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B4-D94B-96A1-813911E2E3E2}"/>
              </c:ext>
            </c:extLst>
          </c:dPt>
          <c:val>
            <c:numRef>
              <c:f>'Risk Premia Charts'!$D$8</c:f>
              <c:numCache>
                <c:formatCode>0.0%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D1-E848-A743-C6D0D811457E}"/>
            </c:ext>
          </c:extLst>
        </c:ser>
        <c:ser>
          <c:idx val="6"/>
          <c:order val="6"/>
          <c:spPr>
            <a:noFill/>
            <a:ln w="12700">
              <a:solidFill>
                <a:srgbClr val="FF0000"/>
              </a:solidFill>
              <a:prstDash val="sysDot"/>
            </a:ln>
            <a:effectLst/>
          </c:spPr>
          <c:invertIfNegative val="0"/>
          <c:val>
            <c:numRef>
              <c:f>'Risk Premia Charts'!$D$9</c:f>
              <c:numCache>
                <c:formatCode>0.0%</c:formatCode>
                <c:ptCount val="1"/>
                <c:pt idx="0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D1-E848-A743-C6D0D8114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5"/>
        <c:overlap val="100"/>
        <c:axId val="1730945312"/>
        <c:axId val="1730230000"/>
      </c:barChart>
      <c:catAx>
        <c:axId val="1730945312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230000"/>
        <c:crosses val="autoZero"/>
        <c:auto val="1"/>
        <c:lblAlgn val="ctr"/>
        <c:lblOffset val="100"/>
        <c:noMultiLvlLbl val="0"/>
      </c:catAx>
      <c:valAx>
        <c:axId val="1730230000"/>
        <c:scaling>
          <c:orientation val="minMax"/>
          <c:max val="0.1"/>
          <c:min val="0"/>
        </c:scaling>
        <c:delete val="1"/>
        <c:axPos val="l"/>
        <c:numFmt formatCode="0.0%" sourceLinked="1"/>
        <c:majorTickMark val="out"/>
        <c:minorTickMark val="none"/>
        <c:tickLblPos val="nextTo"/>
        <c:crossAx val="173094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BD-A24B-9046-01B700E9CC5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BD-A24B-9046-01B700E9CC5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BD-A24B-9046-01B700E9CC5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BD-A24B-9046-01B700E9CC5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BD-A24B-9046-01B700E9CC5F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BD-A24B-9046-01B700E9CC5F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BD-A24B-9046-01B700E9CC5F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BD-A24B-9046-01B700E9CC5F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1BD-A24B-9046-01B700E9CC5F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1BD-A24B-9046-01B700E9CC5F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1BD-A24B-9046-01B700E9CC5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1BD-A24B-9046-01B700E9CC5F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1BD-A24B-9046-01B700E9CC5F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1BD-A24B-9046-01B700E9CC5F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1BD-A24B-9046-01B700E9CC5F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1BD-A24B-9046-01B700E9CC5F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1BD-A24B-9046-01B700E9CC5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1BD-A24B-9046-01B700E9CC5F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1BD-A24B-9046-01B700E9CC5F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1BD-A24B-9046-01B700E9CC5F}"/>
              </c:ext>
            </c:extLst>
          </c:dPt>
          <c:val>
            <c:numRef>
              <c:f>'Portfolio Charts'!$D$4:$D$23</c:f>
              <c:numCache>
                <c:formatCode>General</c:formatCode>
                <c:ptCount val="20"/>
                <c:pt idx="0">
                  <c:v>8.4251605899816701E-2</c:v>
                </c:pt>
                <c:pt idx="1">
                  <c:v>4.2827884768413427E-2</c:v>
                </c:pt>
                <c:pt idx="2">
                  <c:v>6.7143572611773165E-3</c:v>
                </c:pt>
                <c:pt idx="3">
                  <c:v>7.2138477617474273E-2</c:v>
                </c:pt>
                <c:pt idx="4">
                  <c:v>4.887311420827025E-2</c:v>
                </c:pt>
                <c:pt idx="5">
                  <c:v>2.8502317684221762E-2</c:v>
                </c:pt>
                <c:pt idx="6">
                  <c:v>7.365869838541479E-3</c:v>
                </c:pt>
                <c:pt idx="7">
                  <c:v>7.2049082448822702E-2</c:v>
                </c:pt>
                <c:pt idx="8">
                  <c:v>2.5141806970496217E-2</c:v>
                </c:pt>
                <c:pt idx="9">
                  <c:v>3.5277177069370806E-3</c:v>
                </c:pt>
                <c:pt idx="10">
                  <c:v>8.3443292910745551E-2</c:v>
                </c:pt>
                <c:pt idx="11">
                  <c:v>4.1350417532572348E-2</c:v>
                </c:pt>
                <c:pt idx="12">
                  <c:v>4.8010248757567507E-2</c:v>
                </c:pt>
                <c:pt idx="13">
                  <c:v>3.9091708385808978E-2</c:v>
                </c:pt>
                <c:pt idx="14">
                  <c:v>8.0480839231394499E-2</c:v>
                </c:pt>
                <c:pt idx="15">
                  <c:v>8.6332820573438121E-2</c:v>
                </c:pt>
                <c:pt idx="16">
                  <c:v>8.5158690353384581E-2</c:v>
                </c:pt>
                <c:pt idx="17">
                  <c:v>4.3290129194193519E-2</c:v>
                </c:pt>
                <c:pt idx="18">
                  <c:v>8.0409289218157612E-2</c:v>
                </c:pt>
                <c:pt idx="19">
                  <c:v>2.1040329438565958E-2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F-B744-947F-2514C04D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F2-BB42-A82F-FF77E9104E1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F2-BB42-A82F-FF77E9104E1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F2-BB42-A82F-FF77E9104E1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F2-BB42-A82F-FF77E9104E1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F2-BB42-A82F-FF77E9104E1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F2-BB42-A82F-FF77E9104E1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F2-BB42-A82F-FF77E9104E1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F2-BB42-A82F-FF77E9104E1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F2-BB42-A82F-FF77E9104E1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F2-BB42-A82F-FF77E9104E17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F2-BB42-A82F-FF77E9104E1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6F2-BB42-A82F-FF77E9104E17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6F2-BB42-A82F-FF77E9104E17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6F2-BB42-A82F-FF77E9104E17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6F2-BB42-A82F-FF77E9104E17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6F2-BB42-A82F-FF77E9104E17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6F2-BB42-A82F-FF77E9104E1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6F2-BB42-A82F-FF77E9104E17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6F2-BB42-A82F-FF77E9104E17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6F2-BB42-A82F-FF77E9104E17}"/>
              </c:ext>
            </c:extLst>
          </c:dPt>
          <c:val>
            <c:numRef>
              <c:f>'Portfolio Charts'!$E$4:$E$23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0.25</c:v>
                </c:pt>
                <c:pt idx="16">
                  <c:v>0.35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6F2-BB42-A82F-FF77E910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82082078449872"/>
          <c:y val="0.80025894959006416"/>
          <c:w val="0.1785703399978229"/>
          <c:h val="0.199741050409935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E-DE48-908A-D64D60C1FC8B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E-DE48-908A-D64D60C1FC8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7E-DE48-908A-D64D60C1FC8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7E-DE48-908A-D64D60C1FC8B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7E-DE48-908A-D64D60C1FC8B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7E-DE48-908A-D64D60C1FC8B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7E-DE48-908A-D64D60C1FC8B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7E-DE48-908A-D64D60C1FC8B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7E-DE48-908A-D64D60C1FC8B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7E-DE48-908A-D64D60C1FC8B}"/>
              </c:ext>
            </c:extLst>
          </c:dPt>
          <c:dPt>
            <c:idx val="10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D7E-DE48-908A-D64D60C1FC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D7E-DE48-908A-D64D60C1FC8B}"/>
              </c:ext>
            </c:extLst>
          </c:dPt>
          <c:dPt>
            <c:idx val="1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D7E-DE48-908A-D64D60C1FC8B}"/>
              </c:ext>
            </c:extLst>
          </c:dPt>
          <c:dPt>
            <c:idx val="1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D7E-DE48-908A-D64D60C1FC8B}"/>
              </c:ext>
            </c:extLst>
          </c:dPt>
          <c:dPt>
            <c:idx val="14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D7E-DE48-908A-D64D60C1FC8B}"/>
              </c:ext>
            </c:extLst>
          </c:dPt>
          <c:dPt>
            <c:idx val="1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D7E-DE48-908A-D64D60C1FC8B}"/>
              </c:ext>
            </c:extLst>
          </c:dPt>
          <c:dPt>
            <c:idx val="16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D7E-DE48-908A-D64D60C1FC8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D7E-DE48-908A-D64D60C1FC8B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D7E-DE48-908A-D64D60C1FC8B}"/>
              </c:ext>
            </c:extLst>
          </c:dPt>
          <c:dPt>
            <c:idx val="1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D7E-DE48-908A-D64D60C1FC8B}"/>
              </c:ext>
            </c:extLst>
          </c:dPt>
          <c:val>
            <c:numRef>
              <c:f>'Portfolio Charts'!$E$4:$E$23</c:f>
              <c:numCache>
                <c:formatCode>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</c:v>
                </c:pt>
                <c:pt idx="15">
                  <c:v>0.25</c:v>
                </c:pt>
                <c:pt idx="16">
                  <c:v>0.35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D7E-DE48-908A-D64D60C1F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5325549823513435E-2"/>
          <c:y val="3.0927835051546393E-2"/>
          <c:w val="0.95363996741786594"/>
          <c:h val="0.70748031496062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2800" b="0" i="0" u="none" strike="noStrike" kern="1200" baseline="0">
              <a:noFill/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2800" b="0" i="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B30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18-1B44-8510-0CFBBD10A616}"/>
              </c:ext>
            </c:extLst>
          </c:dPt>
          <c:dPt>
            <c:idx val="2"/>
            <c:invertIfNegative val="0"/>
            <c:bubble3D val="0"/>
            <c:spPr>
              <a:solidFill>
                <a:srgbClr val="215C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18-1B44-8510-0CFBBD10A616}"/>
              </c:ext>
            </c:extLst>
          </c:dPt>
          <c:dPt>
            <c:idx val="3"/>
            <c:invertIfNegative val="0"/>
            <c:bubble3D val="0"/>
            <c:spPr>
              <a:solidFill>
                <a:srgbClr val="4D93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18-1B44-8510-0CFBBD10A616}"/>
              </c:ext>
            </c:extLst>
          </c:dPt>
          <c:dPt>
            <c:idx val="4"/>
            <c:invertIfNegative val="0"/>
            <c:bubble3D val="0"/>
            <c:spPr>
              <a:solidFill>
                <a:srgbClr val="A6C9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18-1B44-8510-0CFBBD10A616}"/>
              </c:ext>
            </c:extLst>
          </c:dPt>
          <c:dPt>
            <c:idx val="5"/>
            <c:invertIfNegative val="0"/>
            <c:bubble3D val="0"/>
            <c:spPr>
              <a:solidFill>
                <a:srgbClr val="DAE9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18-1B44-8510-0CFBBD10A616}"/>
              </c:ext>
            </c:extLst>
          </c:dPt>
          <c:dPt>
            <c:idx val="6"/>
            <c:invertIfNegative val="0"/>
            <c:bubble3D val="0"/>
            <c:spPr>
              <a:solidFill>
                <a:srgbClr val="F2F2F2"/>
              </a:solidFill>
              <a:ln>
                <a:noFill/>
              </a:ln>
              <a:effectLst/>
            </c:spPr>
          </c:dPt>
          <c:val>
            <c:numRef>
              <c:f>Sheet2!$D$3:$D$10</c:f>
              <c:numCache>
                <c:formatCode>0.0%</c:formatCode>
                <c:ptCount val="8"/>
                <c:pt idx="0" formatCode="General">
                  <c:v>#N/A</c:v>
                </c:pt>
                <c:pt idx="1">
                  <c:v>1.47229339532977E-2</c:v>
                </c:pt>
                <c:pt idx="2">
                  <c:v>-2.2850820509186802E-3</c:v>
                </c:pt>
                <c:pt idx="3">
                  <c:v>4.4626087906761997E-3</c:v>
                </c:pt>
                <c:pt idx="4">
                  <c:v>2.562196973119E-3</c:v>
                </c:pt>
                <c:pt idx="5">
                  <c:v>-4.29657055318064E-4</c:v>
                </c:pt>
                <c:pt idx="6">
                  <c:v>1.6512662048122099E-3</c:v>
                </c:pt>
                <c:pt idx="7" formatCode="General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8-1B44-8510-0CFBBD10A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47"/>
        <c:axId val="17650656"/>
        <c:axId val="17652368"/>
      </c:barChart>
      <c:catAx>
        <c:axId val="17650656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652368"/>
        <c:crosses val="autoZero"/>
        <c:auto val="1"/>
        <c:lblAlgn val="ctr"/>
        <c:lblOffset val="100"/>
        <c:noMultiLvlLbl val="0"/>
      </c:catAx>
      <c:valAx>
        <c:axId val="1765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65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B304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95B-114C-9FD6-05E774207302}"/>
              </c:ext>
            </c:extLst>
          </c:dPt>
          <c:dPt>
            <c:idx val="2"/>
            <c:invertIfNegative val="0"/>
            <c:bubble3D val="0"/>
            <c:spPr>
              <a:solidFill>
                <a:srgbClr val="215C9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95B-114C-9FD6-05E774207302}"/>
              </c:ext>
            </c:extLst>
          </c:dPt>
          <c:dPt>
            <c:idx val="3"/>
            <c:invertIfNegative val="0"/>
            <c:bubble3D val="0"/>
            <c:spPr>
              <a:solidFill>
                <a:srgbClr val="4D93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95B-114C-9FD6-05E774207302}"/>
              </c:ext>
            </c:extLst>
          </c:dPt>
          <c:dPt>
            <c:idx val="4"/>
            <c:invertIfNegative val="0"/>
            <c:bubble3D val="0"/>
            <c:spPr>
              <a:solidFill>
                <a:srgbClr val="A6C9E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5B-114C-9FD6-05E774207302}"/>
              </c:ext>
            </c:extLst>
          </c:dPt>
          <c:dPt>
            <c:idx val="5"/>
            <c:invertIfNegative val="0"/>
            <c:bubble3D val="0"/>
            <c:spPr>
              <a:solidFill>
                <a:srgbClr val="DAE9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95B-114C-9FD6-05E774207302}"/>
              </c:ext>
            </c:extLst>
          </c:dPt>
          <c:dPt>
            <c:idx val="6"/>
            <c:invertIfNegative val="0"/>
            <c:bubble3D val="0"/>
            <c:spPr>
              <a:solidFill>
                <a:srgbClr val="F2F2F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495B-114C-9FD6-05E774207302}"/>
              </c:ext>
            </c:extLst>
          </c:dPt>
          <c:val>
            <c:numRef>
              <c:f>Sheet2!$E$3:$E$10</c:f>
              <c:numCache>
                <c:formatCode>0.0%</c:formatCode>
                <c:ptCount val="8"/>
                <c:pt idx="0" formatCode="General">
                  <c:v>#N/A</c:v>
                </c:pt>
                <c:pt idx="1">
                  <c:v>2.3749941759744E-2</c:v>
                </c:pt>
                <c:pt idx="2">
                  <c:v>1.67532432398701E-2</c:v>
                </c:pt>
                <c:pt idx="3">
                  <c:v>6.7089062690208899E-4</c:v>
                </c:pt>
                <c:pt idx="4">
                  <c:v>1.78828545086307E-4</c:v>
                </c:pt>
                <c:pt idx="5">
                  <c:v>9.3892461246148696E-4</c:v>
                </c:pt>
                <c:pt idx="6">
                  <c:v>6.4800589036583898E-3</c:v>
                </c:pt>
                <c:pt idx="7" formatCode="General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95B-114C-9FD6-05E774207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47"/>
        <c:axId val="17650656"/>
        <c:axId val="17652368"/>
      </c:barChart>
      <c:catAx>
        <c:axId val="17650656"/>
        <c:scaling>
          <c:orientation val="minMax"/>
        </c:scaling>
        <c:delete val="0"/>
        <c:axPos val="l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652368"/>
        <c:crosses val="autoZero"/>
        <c:auto val="1"/>
        <c:lblAlgn val="ctr"/>
        <c:lblOffset val="100"/>
        <c:noMultiLvlLbl val="0"/>
      </c:catAx>
      <c:valAx>
        <c:axId val="17652368"/>
        <c:scaling>
          <c:orientation val="minMax"/>
          <c:max val="0.03"/>
          <c:min val="-5.0000000000000001E-3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65065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b="0" i="0">
          <a:solidFill>
            <a:schemeClr val="tx1"/>
          </a:solidFill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827368</xdr:colOff>
      <xdr:row>1</xdr:row>
      <xdr:rowOff>141940</xdr:rowOff>
    </xdr:from>
    <xdr:to>
      <xdr:col>5</xdr:col>
      <xdr:colOff>747059</xdr:colOff>
      <xdr:row>10</xdr:row>
      <xdr:rowOff>119528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89BBA-0E31-992E-09EF-4CFCAA579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484188</xdr:colOff>
      <xdr:row>1</xdr:row>
      <xdr:rowOff>142876</xdr:rowOff>
    </xdr:from>
    <xdr:to>
      <xdr:col>7</xdr:col>
      <xdr:colOff>403879</xdr:colOff>
      <xdr:row>10</xdr:row>
      <xdr:rowOff>120464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3D204A-D9F1-0C48-9E1F-4AA0EDB35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2</xdr:row>
      <xdr:rowOff>25400</xdr:rowOff>
    </xdr:from>
    <xdr:to>
      <xdr:col>9</xdr:col>
      <xdr:colOff>647700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63592-23A2-62D8-585F-CE4F26F6B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13</xdr:col>
      <xdr:colOff>279400</xdr:colOff>
      <xdr:row>14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9BFC17-0294-EB40-9E6E-7D25501FE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495300</xdr:colOff>
      <xdr:row>16</xdr:row>
      <xdr:rowOff>25400</xdr:rowOff>
    </xdr:from>
    <xdr:to>
      <xdr:col>12</xdr:col>
      <xdr:colOff>546100</xdr:colOff>
      <xdr:row>30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F6D6AE-C29D-3843-B26B-B03E2545D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</xdr:row>
      <xdr:rowOff>177800</xdr:rowOff>
    </xdr:from>
    <xdr:to>
      <xdr:col>9</xdr:col>
      <xdr:colOff>406400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8938A-49E7-2045-04DA-38BC539CD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419100</xdr:colOff>
      <xdr:row>1</xdr:row>
      <xdr:rowOff>177800</xdr:rowOff>
    </xdr:from>
    <xdr:to>
      <xdr:col>12</xdr:col>
      <xdr:colOff>476250</xdr:colOff>
      <xdr:row>14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AD2213-6AB2-304E-83F6-9CDE0C99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5DDE-FECC-0B40-ACF8-D4580574D52F}">
  <dimension ref="A1:J20"/>
  <sheetViews>
    <sheetView topLeftCell="C2" zoomScale="360" zoomScaleNormal="360" workbookViewId="0">
      <selection activeCell="F3" sqref="F3"/>
    </sheetView>
  </sheetViews>
  <sheetFormatPr baseColWidth="10" defaultRowHeight="16" x14ac:dyDescent="0.2"/>
  <cols>
    <col min="3" max="4" width="10.83203125" style="1"/>
  </cols>
  <sheetData>
    <row r="1" spans="1:10" x14ac:dyDescent="0.2">
      <c r="A1" s="2"/>
      <c r="B1" s="2"/>
      <c r="C1" s="3"/>
      <c r="D1" s="3"/>
      <c r="E1" s="2"/>
      <c r="F1" s="2"/>
      <c r="G1" s="2"/>
      <c r="H1" s="2"/>
      <c r="I1" s="2"/>
      <c r="J1" s="2"/>
    </row>
    <row r="2" spans="1:10" x14ac:dyDescent="0.2">
      <c r="A2" s="2"/>
      <c r="B2" s="2"/>
      <c r="C2" s="3"/>
      <c r="D2" s="3"/>
      <c r="E2" s="2"/>
      <c r="F2" s="2"/>
      <c r="G2" s="2"/>
      <c r="H2" s="2"/>
      <c r="I2" s="2"/>
      <c r="J2" s="2"/>
    </row>
    <row r="3" spans="1:10" x14ac:dyDescent="0.2">
      <c r="A3" s="2"/>
      <c r="B3" s="2" t="s">
        <v>0</v>
      </c>
      <c r="C3" s="4">
        <v>0.02</v>
      </c>
      <c r="D3" s="4">
        <v>0.02</v>
      </c>
      <c r="E3" s="2"/>
      <c r="F3" s="2"/>
      <c r="G3" s="2"/>
      <c r="H3" s="2"/>
      <c r="I3" s="2"/>
      <c r="J3" s="2"/>
    </row>
    <row r="4" spans="1:10" x14ac:dyDescent="0.2">
      <c r="A4" s="2"/>
      <c r="B4" s="2" t="s">
        <v>1</v>
      </c>
      <c r="C4" s="4">
        <v>0</v>
      </c>
      <c r="D4" s="4">
        <v>0.03</v>
      </c>
      <c r="E4" s="2"/>
      <c r="F4" s="2"/>
      <c r="G4" s="2"/>
      <c r="H4" s="2"/>
      <c r="I4" s="2"/>
      <c r="J4" s="2"/>
    </row>
    <row r="5" spans="1:10" x14ac:dyDescent="0.2">
      <c r="A5" s="2"/>
      <c r="B5" s="2" t="s">
        <v>2</v>
      </c>
      <c r="C5" s="4">
        <v>0</v>
      </c>
      <c r="D5" s="4">
        <v>0.02</v>
      </c>
      <c r="E5" s="2"/>
      <c r="F5" s="2"/>
      <c r="G5" s="2"/>
      <c r="H5" s="2"/>
      <c r="I5" s="2"/>
      <c r="J5" s="2"/>
    </row>
    <row r="6" spans="1:10" x14ac:dyDescent="0.2">
      <c r="A6" s="2"/>
      <c r="B6" s="2" t="s">
        <v>3</v>
      </c>
      <c r="C6" s="4">
        <v>0</v>
      </c>
      <c r="D6" s="4">
        <v>0.01</v>
      </c>
      <c r="E6" s="2"/>
      <c r="F6" s="2"/>
      <c r="G6" s="2"/>
      <c r="H6" s="2"/>
      <c r="I6" s="2"/>
      <c r="J6" s="2"/>
    </row>
    <row r="7" spans="1:10" x14ac:dyDescent="0.2">
      <c r="A7" s="2"/>
      <c r="B7" s="2" t="s">
        <v>4</v>
      </c>
      <c r="C7" s="4">
        <v>0</v>
      </c>
      <c r="D7" s="4">
        <v>3.0000000000000001E-3</v>
      </c>
      <c r="E7" s="2"/>
      <c r="F7" s="2"/>
      <c r="G7" s="2"/>
      <c r="H7" s="2"/>
      <c r="I7" s="2"/>
      <c r="J7" s="2"/>
    </row>
    <row r="8" spans="1:10" x14ac:dyDescent="0.2">
      <c r="A8" s="2"/>
      <c r="B8" s="2" t="s">
        <v>5</v>
      </c>
      <c r="C8" s="4">
        <v>0</v>
      </c>
      <c r="D8" s="4">
        <v>2E-3</v>
      </c>
      <c r="E8" s="2"/>
      <c r="F8" s="2"/>
      <c r="G8" s="2"/>
      <c r="H8" s="2"/>
      <c r="I8" s="2"/>
      <c r="J8" s="2"/>
    </row>
    <row r="9" spans="1:10" x14ac:dyDescent="0.2">
      <c r="A9" s="2"/>
      <c r="B9" s="2" t="s">
        <v>6</v>
      </c>
      <c r="C9" s="5">
        <v>0.08</v>
      </c>
      <c r="D9" s="6">
        <f>SUM(C3:C9) -SUM(D3:D8)</f>
        <v>1.4999999999999999E-2</v>
      </c>
      <c r="E9" s="2"/>
      <c r="F9" s="2"/>
      <c r="G9" s="2"/>
      <c r="H9" s="2"/>
      <c r="I9" s="2"/>
      <c r="J9" s="2"/>
    </row>
    <row r="10" spans="1:10" x14ac:dyDescent="0.2">
      <c r="A10" s="2"/>
      <c r="B10" s="2"/>
      <c r="C10" s="6">
        <f>SUM(C3:C8)</f>
        <v>0.02</v>
      </c>
      <c r="D10" s="6">
        <f>SUM(D3:D8)</f>
        <v>8.5000000000000006E-2</v>
      </c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3"/>
      <c r="D11" s="3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3"/>
      <c r="D12" s="3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3"/>
      <c r="D13" s="3"/>
      <c r="E13" s="2"/>
      <c r="F13" s="2"/>
      <c r="G13" s="2"/>
      <c r="H13" s="2"/>
      <c r="I13" s="2"/>
      <c r="J13" s="2"/>
    </row>
    <row r="14" spans="1:10" x14ac:dyDescent="0.2">
      <c r="A14" s="2"/>
      <c r="B14" s="2"/>
      <c r="C14" s="3"/>
      <c r="D14" s="3"/>
      <c r="E14" s="2"/>
      <c r="F14" s="2"/>
      <c r="G14" s="2"/>
      <c r="H14" s="2"/>
      <c r="I14" s="2"/>
      <c r="J14" s="2"/>
    </row>
    <row r="15" spans="1:10" x14ac:dyDescent="0.2">
      <c r="A15" s="2"/>
      <c r="B15" s="2"/>
      <c r="C15" s="3"/>
      <c r="D15" s="3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3"/>
      <c r="D16" s="3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3"/>
      <c r="D17" s="3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3"/>
      <c r="D18" s="3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3"/>
      <c r="D19" s="3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3"/>
      <c r="D20" s="3"/>
      <c r="E20" s="2"/>
      <c r="F20" s="2"/>
      <c r="G20" s="2"/>
      <c r="H20" s="2"/>
      <c r="I20" s="2"/>
      <c r="J2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E5D8-C5C6-8D47-AA85-3597EC67F6EB}">
  <dimension ref="A1:O32"/>
  <sheetViews>
    <sheetView workbookViewId="0">
      <selection activeCell="N30" sqref="N30"/>
    </sheetView>
  </sheetViews>
  <sheetFormatPr baseColWidth="10" defaultRowHeight="16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>
        <f>D4/SUM($D$4:$D$17)</f>
        <v>0.13965406172042275</v>
      </c>
      <c r="C4" s="2">
        <v>0.85891331966398887</v>
      </c>
      <c r="D4" s="2">
        <f>C4/SUM($C$4:$C$23)</f>
        <v>8.4251605899816701E-2</v>
      </c>
      <c r="E4" s="7">
        <v>0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>
        <f t="shared" ref="B5:B16" si="0">D5/SUM($D$4:$D$17)</f>
        <v>7.0990790014320362E-2</v>
      </c>
      <c r="C5" s="2">
        <v>0.43661411895657165</v>
      </c>
      <c r="D5" s="2">
        <f t="shared" ref="D5:D23" si="1">C5/SUM($C$4:$C$23)</f>
        <v>4.2827884768413427E-2</v>
      </c>
      <c r="E5" s="7">
        <v>0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>
        <f t="shared" si="0"/>
        <v>1.1129607006902947E-2</v>
      </c>
      <c r="C6" s="2">
        <v>6.8450337806799766E-2</v>
      </c>
      <c r="D6" s="2">
        <f t="shared" si="1"/>
        <v>6.7143572611773165E-3</v>
      </c>
      <c r="E6" s="7">
        <v>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>
        <f t="shared" si="0"/>
        <v>0.1195755415936826</v>
      </c>
      <c r="C7" s="2">
        <v>0.73542454917249234</v>
      </c>
      <c r="D7" s="2">
        <f t="shared" si="1"/>
        <v>7.2138477617474273E-2</v>
      </c>
      <c r="E7" s="7">
        <v>0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>
        <f t="shared" si="0"/>
        <v>8.1011261865168702E-2</v>
      </c>
      <c r="C8" s="2">
        <v>0.49824295120093365</v>
      </c>
      <c r="D8" s="2">
        <f t="shared" si="1"/>
        <v>4.887311420827025E-2</v>
      </c>
      <c r="E8" s="7">
        <v>0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>
        <f t="shared" si="0"/>
        <v>4.7244968099249753E-2</v>
      </c>
      <c r="C9" s="2">
        <v>0.29057037001030972</v>
      </c>
      <c r="D9" s="2">
        <f t="shared" si="1"/>
        <v>2.8502317684221762E-2</v>
      </c>
      <c r="E9" s="7">
        <v>0</v>
      </c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>
        <f t="shared" si="0"/>
        <v>1.2209543427331989E-2</v>
      </c>
      <c r="C10" s="2">
        <v>7.5092262606335392E-2</v>
      </c>
      <c r="D10" s="2">
        <f t="shared" si="1"/>
        <v>7.365869838541479E-3</v>
      </c>
      <c r="E10" s="7"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>
        <f t="shared" si="0"/>
        <v>0.11942736164782829</v>
      </c>
      <c r="C11" s="2">
        <v>0.73451319917211677</v>
      </c>
      <c r="D11" s="2">
        <f t="shared" si="1"/>
        <v>7.2049082448822702E-2</v>
      </c>
      <c r="E11" s="7"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>
        <f t="shared" si="0"/>
        <v>4.1674641390168118E-2</v>
      </c>
      <c r="C12" s="2">
        <v>0.25631123177709192</v>
      </c>
      <c r="D12" s="2">
        <f t="shared" si="1"/>
        <v>2.5141806970496217E-2</v>
      </c>
      <c r="E12" s="7"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>
        <f t="shared" si="0"/>
        <v>5.8474862421333514E-3</v>
      </c>
      <c r="C13" s="2">
        <v>3.5963750413324225E-2</v>
      </c>
      <c r="D13" s="2">
        <f t="shared" si="1"/>
        <v>3.5277177069370806E-3</v>
      </c>
      <c r="E13" s="7"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>
        <f t="shared" si="0"/>
        <v>0.1383142155434918</v>
      </c>
      <c r="C14" s="2">
        <v>0.85067287385460955</v>
      </c>
      <c r="D14" s="2">
        <f t="shared" si="1"/>
        <v>8.3443292910745551E-2</v>
      </c>
      <c r="E14" s="7"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>
        <f t="shared" si="0"/>
        <v>6.8541764878949002E-2</v>
      </c>
      <c r="C15" s="2">
        <v>0.42155189818727234</v>
      </c>
      <c r="D15" s="2">
        <f t="shared" si="1"/>
        <v>4.1350417532572348E-2</v>
      </c>
      <c r="E15" s="7"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>
        <f t="shared" si="0"/>
        <v>7.9580990434471574E-2</v>
      </c>
      <c r="C16" s="2">
        <v>0.48944636363715799</v>
      </c>
      <c r="D16" s="2">
        <f t="shared" si="1"/>
        <v>4.8010248757567507E-2</v>
      </c>
      <c r="E16" s="7"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>
        <f>D17/SUM($D$4:$D$17)</f>
        <v>6.4797766135878621E-2</v>
      </c>
      <c r="C17" s="2">
        <v>0.3985252110317915</v>
      </c>
      <c r="D17" s="2">
        <f t="shared" si="1"/>
        <v>3.9091708385808978E-2</v>
      </c>
      <c r="E17" s="7"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>
        <v>0.8204717768321047</v>
      </c>
      <c r="D18" s="2">
        <f t="shared" si="1"/>
        <v>8.0480839231394499E-2</v>
      </c>
      <c r="E18" s="7">
        <v>0.1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>
        <v>0.88013051766469164</v>
      </c>
      <c r="D19" s="2">
        <f t="shared" si="1"/>
        <v>8.6332820573438121E-2</v>
      </c>
      <c r="E19" s="7">
        <v>0.25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>
        <v>0.86816070327061134</v>
      </c>
      <c r="D20" s="2">
        <f t="shared" si="1"/>
        <v>8.5158690353384581E-2</v>
      </c>
      <c r="E20" s="7">
        <v>0.35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>
        <v>0.44132652639382641</v>
      </c>
      <c r="D21" s="2">
        <f t="shared" si="1"/>
        <v>4.3290129194193519E-2</v>
      </c>
      <c r="E21" s="7">
        <v>0.2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>
        <v>0.8197423514551645</v>
      </c>
      <c r="D22" s="2">
        <f t="shared" si="1"/>
        <v>8.0409289218157612E-2</v>
      </c>
      <c r="E22" s="7">
        <v>0.1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>
        <v>0.21449821652529422</v>
      </c>
      <c r="D23" s="2">
        <f t="shared" si="1"/>
        <v>2.1040329438565958E-2</v>
      </c>
      <c r="E23" s="7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A595-4E61-5F45-8080-2047955F7CD4}">
  <dimension ref="A1:O26"/>
  <sheetViews>
    <sheetView tabSelected="1" zoomScaleNormal="100" workbookViewId="0">
      <selection activeCell="B4" sqref="B4:C10"/>
    </sheetView>
  </sheetViews>
  <sheetFormatPr baseColWidth="10" defaultRowHeight="16" x14ac:dyDescent="0.2"/>
  <cols>
    <col min="2" max="2" width="19.83203125" style="9" bestFit="1" customWidth="1"/>
    <col min="3" max="3" width="128.6640625" style="14" customWidth="1"/>
  </cols>
  <sheetData>
    <row r="1" spans="1:15" x14ac:dyDescent="0.2">
      <c r="A1" s="2"/>
      <c r="B1" s="8"/>
      <c r="C1" s="1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8"/>
      <c r="C2" s="1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8"/>
      <c r="C3" s="1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21" customHeight="1" x14ac:dyDescent="0.2">
      <c r="A4" s="2"/>
      <c r="B4" s="36"/>
      <c r="C4" s="37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12" customFormat="1" ht="20" customHeight="1" x14ac:dyDescent="0.2">
      <c r="A5" s="10"/>
      <c r="B5" s="38" t="s">
        <v>0</v>
      </c>
      <c r="C5" s="35" t="s">
        <v>11</v>
      </c>
      <c r="D5" s="11"/>
      <c r="E5" s="11"/>
      <c r="F5" s="11"/>
      <c r="G5" s="11"/>
      <c r="H5" s="11"/>
      <c r="I5" s="11"/>
      <c r="J5" s="11"/>
      <c r="K5" s="10"/>
      <c r="L5" s="10"/>
      <c r="M5" s="10"/>
      <c r="N5" s="10"/>
      <c r="O5" s="10"/>
    </row>
    <row r="6" spans="1:15" s="12" customFormat="1" ht="20" customHeight="1" x14ac:dyDescent="0.2">
      <c r="A6" s="10"/>
      <c r="B6" s="39" t="s">
        <v>7</v>
      </c>
      <c r="C6" s="35" t="s">
        <v>10</v>
      </c>
      <c r="D6" s="11"/>
      <c r="E6" s="11"/>
      <c r="F6" s="11"/>
      <c r="G6" s="11"/>
      <c r="H6" s="11"/>
      <c r="I6" s="11"/>
      <c r="J6" s="11"/>
      <c r="K6" s="10"/>
      <c r="L6" s="10"/>
      <c r="M6" s="10"/>
      <c r="N6" s="10"/>
      <c r="O6" s="10"/>
    </row>
    <row r="7" spans="1:15" s="12" customFormat="1" ht="20" customHeight="1" x14ac:dyDescent="0.2">
      <c r="A7" s="10"/>
      <c r="B7" s="40" t="s">
        <v>8</v>
      </c>
      <c r="C7" s="35" t="s">
        <v>12</v>
      </c>
      <c r="D7" s="11"/>
      <c r="E7" s="11"/>
      <c r="F7" s="11"/>
      <c r="G7" s="11"/>
      <c r="H7" s="11"/>
      <c r="I7" s="11"/>
      <c r="J7" s="11"/>
      <c r="K7" s="10"/>
      <c r="L7" s="10"/>
      <c r="M7" s="10"/>
      <c r="N7" s="10"/>
      <c r="O7" s="10"/>
    </row>
    <row r="8" spans="1:15" s="12" customFormat="1" ht="20" customHeight="1" x14ac:dyDescent="0.2">
      <c r="A8" s="10"/>
      <c r="B8" s="41" t="s">
        <v>3</v>
      </c>
      <c r="C8" s="35" t="s">
        <v>13</v>
      </c>
      <c r="D8" s="11"/>
      <c r="E8" s="11"/>
      <c r="F8" s="11"/>
      <c r="G8" s="11"/>
      <c r="H8" s="11"/>
      <c r="I8" s="11"/>
      <c r="J8" s="11"/>
      <c r="K8" s="10"/>
      <c r="L8" s="10"/>
      <c r="M8" s="10"/>
      <c r="N8" s="10"/>
      <c r="O8" s="10"/>
    </row>
    <row r="9" spans="1:15" s="12" customFormat="1" ht="20" customHeight="1" x14ac:dyDescent="0.2">
      <c r="A9" s="10"/>
      <c r="B9" s="42" t="s">
        <v>4</v>
      </c>
      <c r="C9" s="35" t="s">
        <v>14</v>
      </c>
      <c r="D9" s="11"/>
      <c r="E9" s="11"/>
      <c r="F9" s="11"/>
      <c r="G9" s="11"/>
      <c r="H9" s="11"/>
      <c r="I9" s="11"/>
      <c r="J9" s="11"/>
      <c r="K9" s="10"/>
      <c r="L9" s="10"/>
      <c r="M9" s="10"/>
      <c r="N9" s="10"/>
      <c r="O9" s="10"/>
    </row>
    <row r="10" spans="1:15" s="12" customFormat="1" ht="20" customHeight="1" x14ac:dyDescent="0.2">
      <c r="A10" s="10"/>
      <c r="B10" s="43" t="s">
        <v>9</v>
      </c>
      <c r="C10" s="44" t="s">
        <v>15</v>
      </c>
      <c r="D10" s="11"/>
      <c r="E10" s="11"/>
      <c r="F10" s="11"/>
      <c r="G10" s="11"/>
      <c r="H10" s="11"/>
      <c r="I10" s="11"/>
      <c r="J10" s="11"/>
      <c r="K10" s="10"/>
      <c r="L10" s="10"/>
      <c r="M10" s="10"/>
      <c r="N10" s="10"/>
      <c r="O10" s="10"/>
    </row>
    <row r="11" spans="1:15" x14ac:dyDescent="0.2">
      <c r="A11" s="2"/>
      <c r="B11" s="8"/>
      <c r="C11" s="1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8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8"/>
      <c r="C13" s="1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8"/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8"/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8"/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8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8"/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8"/>
      <c r="C19" s="1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8"/>
      <c r="C20" s="1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8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8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8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8"/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8"/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8"/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099C-5093-914F-8CFB-DFA331EBCD47}">
  <dimension ref="A1:K389"/>
  <sheetViews>
    <sheetView zoomScale="150" zoomScaleNormal="150" workbookViewId="0">
      <selection activeCell="D3" sqref="D3:G7"/>
    </sheetView>
  </sheetViews>
  <sheetFormatPr baseColWidth="10" defaultRowHeight="16" x14ac:dyDescent="0.2"/>
  <cols>
    <col min="3" max="3" width="9.83203125" style="29" customWidth="1"/>
    <col min="4" max="7" width="9.33203125" customWidth="1"/>
  </cols>
  <sheetData>
    <row r="1" spans="1:11" x14ac:dyDescent="0.2">
      <c r="A1" s="2"/>
      <c r="B1" s="2"/>
      <c r="C1" s="27"/>
      <c r="D1" s="2"/>
      <c r="E1" s="2"/>
      <c r="F1" s="2"/>
      <c r="G1" s="2"/>
      <c r="H1" s="2"/>
      <c r="I1" s="2"/>
      <c r="J1" s="2"/>
      <c r="K1" s="2"/>
    </row>
    <row r="2" spans="1:11" x14ac:dyDescent="0.2">
      <c r="A2" s="2"/>
      <c r="B2" s="2"/>
      <c r="C2" s="27"/>
      <c r="D2" s="2"/>
      <c r="E2" s="2"/>
      <c r="F2" s="2"/>
      <c r="G2" s="2"/>
      <c r="H2" s="2"/>
      <c r="I2" s="2"/>
      <c r="J2" s="2"/>
      <c r="K2" s="2"/>
    </row>
    <row r="3" spans="1:11" s="12" customFormat="1" ht="22" customHeight="1" x14ac:dyDescent="0.2">
      <c r="A3" s="10"/>
      <c r="B3" s="10"/>
      <c r="C3" s="28"/>
      <c r="D3" s="16" t="s">
        <v>17</v>
      </c>
      <c r="E3" s="16"/>
      <c r="F3" s="16"/>
      <c r="G3" s="16"/>
      <c r="H3" s="10"/>
      <c r="I3" s="10"/>
      <c r="J3" s="10"/>
      <c r="K3" s="10"/>
    </row>
    <row r="4" spans="1:11" s="12" customFormat="1" ht="29" customHeight="1" x14ac:dyDescent="0.2">
      <c r="A4" s="10"/>
      <c r="B4" s="10"/>
      <c r="C4" s="28"/>
      <c r="D4" s="17" t="s">
        <v>18</v>
      </c>
      <c r="E4" s="17" t="s">
        <v>19</v>
      </c>
      <c r="F4" s="17" t="s">
        <v>20</v>
      </c>
      <c r="G4" s="17" t="s">
        <v>21</v>
      </c>
      <c r="H4" s="10"/>
      <c r="I4" s="10"/>
      <c r="J4" s="10"/>
      <c r="K4" s="10"/>
    </row>
    <row r="5" spans="1:11" s="12" customFormat="1" ht="22" customHeight="1" x14ac:dyDescent="0.2">
      <c r="A5" s="10"/>
      <c r="B5" s="10"/>
      <c r="C5" s="28"/>
      <c r="D5" s="18">
        <v>0.9</v>
      </c>
      <c r="E5" s="21">
        <f>-1*E12</f>
        <v>8.7472178090044067E-3</v>
      </c>
      <c r="F5" s="21">
        <v>6.4000000000000001E-2</v>
      </c>
      <c r="G5" s="21">
        <f>-1*D24</f>
        <v>6.1803666624076527E-2</v>
      </c>
      <c r="H5" s="10"/>
      <c r="I5" s="10"/>
      <c r="J5" s="10"/>
      <c r="K5" s="10"/>
    </row>
    <row r="6" spans="1:11" s="12" customFormat="1" ht="22" customHeight="1" x14ac:dyDescent="0.2">
      <c r="A6" s="10"/>
      <c r="B6" s="10"/>
      <c r="C6" s="28"/>
      <c r="D6" s="19">
        <v>0.95</v>
      </c>
      <c r="E6" s="22">
        <f>-1*D12</f>
        <v>3.2145193130419913E-2</v>
      </c>
      <c r="F6" s="22">
        <v>9.4E-2</v>
      </c>
      <c r="G6" s="22">
        <f>-1*D23</f>
        <v>9.0484010587685001E-2</v>
      </c>
      <c r="H6" s="10"/>
      <c r="I6" s="10"/>
      <c r="J6" s="10"/>
      <c r="K6" s="10"/>
    </row>
    <row r="7" spans="1:11" s="12" customFormat="1" ht="22" customHeight="1" x14ac:dyDescent="0.2">
      <c r="A7" s="10"/>
      <c r="B7" s="10"/>
      <c r="C7" s="28"/>
      <c r="D7" s="20">
        <v>0.99</v>
      </c>
      <c r="E7" s="23">
        <f>-1*C12</f>
        <v>7.6035903558362594E-2</v>
      </c>
      <c r="F7" s="23">
        <v>0.17100000000000001</v>
      </c>
      <c r="G7" s="23">
        <f>-1*D22</f>
        <v>0.15093811269184926</v>
      </c>
      <c r="H7" s="10"/>
      <c r="I7" s="10"/>
      <c r="J7" s="10"/>
      <c r="K7" s="10"/>
    </row>
    <row r="8" spans="1:11" x14ac:dyDescent="0.2">
      <c r="A8" s="2"/>
      <c r="B8" s="2"/>
      <c r="C8" s="27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7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7">
        <f>AVERAGE(C14:C389)*12</f>
        <v>7.3789368379401865E-2</v>
      </c>
      <c r="D10" s="26">
        <v>7.8299999999999995E-2</v>
      </c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7">
        <f>STDEV(C14:C389)*SQRT(12)</f>
        <v>6.4403640405473667E-2</v>
      </c>
      <c r="D11" s="2">
        <v>0.10192523369694401</v>
      </c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 t="s">
        <v>22</v>
      </c>
      <c r="C12" s="27">
        <f>$C$10 + _xlfn.NORM.S.INV(0.01)*$C$11</f>
        <v>-7.6035903558362594E-2</v>
      </c>
      <c r="D12" s="27">
        <f>$C$10 + _xlfn.NORM.S.INV(0.05)*$C$11</f>
        <v>-3.2145193130419913E-2</v>
      </c>
      <c r="E12" s="27">
        <f>$C$10 + _xlfn.NORM.S.INV(0.1)*$C$11</f>
        <v>-8.7472178090044067E-3</v>
      </c>
      <c r="F12" s="2"/>
      <c r="G12" s="2"/>
      <c r="H12" s="2"/>
      <c r="I12" s="2"/>
      <c r="J12" s="2"/>
      <c r="K12" s="2"/>
    </row>
    <row r="13" spans="1:11" x14ac:dyDescent="0.2">
      <c r="A13" s="24">
        <v>34334</v>
      </c>
      <c r="B13" s="2">
        <v>1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4">
        <v>34365</v>
      </c>
      <c r="B14" s="2">
        <v>1.0367999999999999</v>
      </c>
      <c r="C14" s="27">
        <f>B14/B13-1</f>
        <v>3.6799999999999944E-2</v>
      </c>
      <c r="D14" s="2"/>
      <c r="E14" s="2"/>
      <c r="F14" s="2"/>
      <c r="G14" s="27">
        <f>AVERAGE(C14:C389)</f>
        <v>6.1491140316168227E-3</v>
      </c>
      <c r="H14" s="26">
        <f>$G$14 + _xlfn.NORM.S.INV(0.01)*$G$15</f>
        <v>-3.7101716510721777E-2</v>
      </c>
      <c r="I14" s="2">
        <f>H14*SQRT(12)</f>
        <v>-0.12852411608917438</v>
      </c>
      <c r="J14" s="2"/>
      <c r="K14" s="2"/>
    </row>
    <row r="15" spans="1:11" x14ac:dyDescent="0.2">
      <c r="A15" s="24">
        <v>34393</v>
      </c>
      <c r="B15" s="2">
        <v>1.0351999999999999</v>
      </c>
      <c r="C15" s="27">
        <f t="shared" ref="C15:C78" si="0">B15/B14-1</f>
        <v>-1.5432098765432167E-3</v>
      </c>
      <c r="D15" s="2"/>
      <c r="E15" s="2"/>
      <c r="F15" s="2"/>
      <c r="G15" s="27">
        <f>STDEV(C14:C389)</f>
        <v>1.8591729562446042E-2</v>
      </c>
      <c r="H15" s="26">
        <f>$G$14 + _xlfn.NORM.S.INV(0.05)*$G$15</f>
        <v>-2.4431559770473468E-2</v>
      </c>
      <c r="I15" s="2">
        <f t="shared" ref="I15:I16" si="1">H15*SQRT(12)</f>
        <v>-8.4633405661231731E-2</v>
      </c>
      <c r="J15" s="2"/>
      <c r="K15" s="2"/>
    </row>
    <row r="16" spans="1:11" x14ac:dyDescent="0.2">
      <c r="A16" s="24">
        <v>34424</v>
      </c>
      <c r="B16" s="2">
        <v>1.0218</v>
      </c>
      <c r="C16" s="27">
        <f t="shared" si="0"/>
        <v>-1.2944358578052428E-2</v>
      </c>
      <c r="D16" s="2"/>
      <c r="E16" s="2"/>
      <c r="F16" s="2"/>
      <c r="G16" s="2"/>
      <c r="H16" s="26">
        <f>$G$14 + _xlfn.NORM.S.INV(0.2)*$G$15</f>
        <v>-9.4980803369830395E-3</v>
      </c>
      <c r="I16" s="2">
        <f t="shared" si="1"/>
        <v>-3.2902315436051092E-2</v>
      </c>
      <c r="J16" s="2"/>
      <c r="K16" s="2"/>
    </row>
    <row r="17" spans="1:11" x14ac:dyDescent="0.2">
      <c r="A17" s="24">
        <v>34453</v>
      </c>
      <c r="B17" s="2">
        <v>1.0150999999999999</v>
      </c>
      <c r="C17" s="27">
        <f t="shared" si="0"/>
        <v>-6.5570561753769407E-3</v>
      </c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4">
        <v>34485</v>
      </c>
      <c r="B18" s="2">
        <v>1.0136000000000001</v>
      </c>
      <c r="C18" s="27">
        <f t="shared" si="0"/>
        <v>-1.4776869273961379E-3</v>
      </c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4">
        <v>34515</v>
      </c>
      <c r="B19" s="2">
        <v>1.0123</v>
      </c>
      <c r="C19" s="27">
        <f t="shared" si="0"/>
        <v>-1.282557221783831E-3</v>
      </c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4">
        <v>34544</v>
      </c>
      <c r="B20" s="2">
        <v>1.01779999999999</v>
      </c>
      <c r="C20" s="27">
        <f t="shared" si="0"/>
        <v>5.43317198457971E-3</v>
      </c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4">
        <v>34577</v>
      </c>
      <c r="B21" s="2">
        <v>1.02609999999999</v>
      </c>
      <c r="C21" s="27">
        <f t="shared" si="0"/>
        <v>8.1548437807035246E-3</v>
      </c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4">
        <v>34607</v>
      </c>
      <c r="B22" s="2">
        <v>1.0337999999999901</v>
      </c>
      <c r="C22" s="27">
        <f t="shared" si="0"/>
        <v>7.5041418965013928E-3</v>
      </c>
      <c r="D22" s="2">
        <f>PERCENTILE(D25:D389,0.01)</f>
        <v>-0.15093811269184926</v>
      </c>
      <c r="E22" s="2"/>
      <c r="F22" s="2"/>
      <c r="G22" s="2"/>
      <c r="H22" s="2"/>
      <c r="I22" s="2"/>
      <c r="J22" s="2"/>
      <c r="K22" s="2"/>
    </row>
    <row r="23" spans="1:11" x14ac:dyDescent="0.2">
      <c r="A23" s="24">
        <v>34638</v>
      </c>
      <c r="B23" s="2">
        <v>1.02629999999999</v>
      </c>
      <c r="C23" s="27">
        <f t="shared" si="0"/>
        <v>-7.2547881601858766E-3</v>
      </c>
      <c r="D23" s="2">
        <f>PERCENTILE(D25:D389,0.05)</f>
        <v>-9.0484010587685001E-2</v>
      </c>
      <c r="E23" s="2"/>
      <c r="F23" s="2"/>
      <c r="G23" s="2"/>
      <c r="H23" s="2"/>
      <c r="I23" s="2"/>
      <c r="J23" s="2"/>
      <c r="K23" s="2"/>
    </row>
    <row r="24" spans="1:11" x14ac:dyDescent="0.2">
      <c r="A24" s="24">
        <v>34668</v>
      </c>
      <c r="B24" s="2">
        <v>1.0153999999999901</v>
      </c>
      <c r="C24" s="27">
        <f t="shared" si="0"/>
        <v>-1.0620676215531533E-2</v>
      </c>
      <c r="D24" s="2">
        <f>PERCENTILE(D25:D389,0.1)</f>
        <v>-6.1803666624076527E-2</v>
      </c>
      <c r="E24" s="2"/>
      <c r="F24" s="2"/>
      <c r="G24" s="2"/>
      <c r="H24" s="2"/>
      <c r="I24" s="2"/>
      <c r="J24" s="2"/>
      <c r="K24" s="2"/>
    </row>
    <row r="25" spans="1:11" x14ac:dyDescent="0.2">
      <c r="A25" s="24">
        <v>34698</v>
      </c>
      <c r="B25" s="2">
        <v>1.0074999999999901</v>
      </c>
      <c r="C25" s="27">
        <f t="shared" si="0"/>
        <v>-7.7801851487099283E-3</v>
      </c>
      <c r="D25" s="2">
        <f>B25/B13-1</f>
        <v>7.4999999999900702E-3</v>
      </c>
      <c r="E25" s="2"/>
      <c r="F25" s="2"/>
      <c r="G25" s="2"/>
      <c r="H25" s="2"/>
      <c r="I25" s="2"/>
      <c r="J25" s="2"/>
      <c r="K25" s="2"/>
    </row>
    <row r="26" spans="1:11" x14ac:dyDescent="0.2">
      <c r="A26" s="24">
        <v>34730</v>
      </c>
      <c r="B26" s="2">
        <v>1.01259999999999</v>
      </c>
      <c r="C26" s="27">
        <f t="shared" si="0"/>
        <v>5.0620347394541021E-3</v>
      </c>
      <c r="D26" s="2">
        <f t="shared" ref="D26:D89" si="2">B26/B14-1</f>
        <v>-2.3341049382725743E-2</v>
      </c>
      <c r="E26" s="2"/>
      <c r="F26" s="2"/>
      <c r="G26" s="2"/>
      <c r="H26" s="2"/>
      <c r="I26" s="2"/>
      <c r="J26" s="2"/>
      <c r="K26" s="2"/>
    </row>
    <row r="27" spans="1:11" x14ac:dyDescent="0.2">
      <c r="A27" s="24">
        <v>34758</v>
      </c>
      <c r="B27" s="2">
        <v>1.0369999999999899</v>
      </c>
      <c r="C27" s="27">
        <f t="shared" si="0"/>
        <v>2.4096385542168974E-2</v>
      </c>
      <c r="D27" s="2">
        <f t="shared" si="2"/>
        <v>1.7387944358482343E-3</v>
      </c>
      <c r="E27" s="2"/>
      <c r="F27" s="2"/>
      <c r="G27" s="2"/>
      <c r="H27" s="2"/>
      <c r="I27" s="2"/>
      <c r="J27" s="2"/>
      <c r="K27" s="2"/>
    </row>
    <row r="28" spans="1:11" x14ac:dyDescent="0.2">
      <c r="A28" s="24">
        <v>34789</v>
      </c>
      <c r="B28" s="2">
        <v>1.0457999999999901</v>
      </c>
      <c r="C28" s="27">
        <f t="shared" si="0"/>
        <v>8.4860173577629983E-3</v>
      </c>
      <c r="D28" s="2">
        <f t="shared" si="2"/>
        <v>2.348796241925033E-2</v>
      </c>
      <c r="E28" s="2"/>
      <c r="F28" s="2"/>
      <c r="G28" s="2"/>
      <c r="H28" s="2"/>
      <c r="I28" s="2"/>
      <c r="J28" s="2"/>
      <c r="K28" s="2"/>
    </row>
    <row r="29" spans="1:11" x14ac:dyDescent="0.2">
      <c r="A29" s="25">
        <v>34817</v>
      </c>
      <c r="B29">
        <v>1.0677999999999901</v>
      </c>
      <c r="C29" s="27">
        <f t="shared" si="0"/>
        <v>2.1036527060623644E-2</v>
      </c>
      <c r="D29" s="2">
        <f t="shared" si="2"/>
        <v>5.1916067382514308E-2</v>
      </c>
    </row>
    <row r="30" spans="1:11" x14ac:dyDescent="0.2">
      <c r="A30" s="25">
        <v>34850</v>
      </c>
      <c r="B30">
        <v>1.0798999999999901</v>
      </c>
      <c r="C30" s="27">
        <f t="shared" si="0"/>
        <v>1.1331710058063438E-2</v>
      </c>
      <c r="D30" s="2">
        <f t="shared" si="2"/>
        <v>6.5410418310960949E-2</v>
      </c>
    </row>
    <row r="31" spans="1:11" x14ac:dyDescent="0.2">
      <c r="A31" s="25">
        <v>34880</v>
      </c>
      <c r="B31">
        <v>1.0938999999999901</v>
      </c>
      <c r="C31" s="27">
        <f t="shared" si="0"/>
        <v>1.2964163348458291E-2</v>
      </c>
      <c r="D31" s="2">
        <f t="shared" si="2"/>
        <v>8.0608515262264202E-2</v>
      </c>
    </row>
    <row r="32" spans="1:11" x14ac:dyDescent="0.2">
      <c r="A32" s="25">
        <v>34911</v>
      </c>
      <c r="B32">
        <v>1.1184999999999901</v>
      </c>
      <c r="C32" s="27">
        <f t="shared" si="0"/>
        <v>2.2488344455617648E-2</v>
      </c>
      <c r="D32" s="2">
        <f t="shared" si="2"/>
        <v>9.8938887797210606E-2</v>
      </c>
    </row>
    <row r="33" spans="1:4" x14ac:dyDescent="0.2">
      <c r="A33" s="25">
        <v>34942</v>
      </c>
      <c r="B33">
        <v>1.1356999999999899</v>
      </c>
      <c r="C33" s="27">
        <f t="shared" si="0"/>
        <v>1.5377738042020583E-2</v>
      </c>
      <c r="D33" s="2">
        <f t="shared" si="2"/>
        <v>0.10681220153981186</v>
      </c>
    </row>
    <row r="34" spans="1:4" x14ac:dyDescent="0.2">
      <c r="A34" s="25">
        <v>34971</v>
      </c>
      <c r="B34">
        <v>1.15689999999999</v>
      </c>
      <c r="C34" s="27">
        <f t="shared" si="0"/>
        <v>1.8666901470459019E-2</v>
      </c>
      <c r="D34" s="2">
        <f t="shared" si="2"/>
        <v>0.11907525633584948</v>
      </c>
    </row>
    <row r="35" spans="1:4" x14ac:dyDescent="0.2">
      <c r="A35" s="25">
        <v>35003</v>
      </c>
      <c r="B35">
        <v>1.1538999999999999</v>
      </c>
      <c r="C35" s="27">
        <f t="shared" si="0"/>
        <v>-2.5931368311782332E-3</v>
      </c>
      <c r="D35" s="2">
        <f t="shared" si="2"/>
        <v>0.12433011789926063</v>
      </c>
    </row>
    <row r="36" spans="1:4" x14ac:dyDescent="0.2">
      <c r="A36" s="25">
        <v>35033</v>
      </c>
      <c r="B36">
        <v>1.1668999999999901</v>
      </c>
      <c r="C36" s="27">
        <f t="shared" si="0"/>
        <v>1.1266140913415379E-2</v>
      </c>
      <c r="D36" s="2">
        <f t="shared" si="2"/>
        <v>0.14920228481386788</v>
      </c>
    </row>
    <row r="37" spans="1:4" x14ac:dyDescent="0.2">
      <c r="A37" s="25">
        <v>35062</v>
      </c>
      <c r="B37">
        <v>1.1922999999999999</v>
      </c>
      <c r="C37" s="27">
        <f t="shared" si="0"/>
        <v>2.1767075156405857E-2</v>
      </c>
      <c r="D37" s="2">
        <f t="shared" si="2"/>
        <v>0.18342431761787759</v>
      </c>
    </row>
    <row r="38" spans="1:4" x14ac:dyDescent="0.2">
      <c r="A38" s="25">
        <v>35095</v>
      </c>
      <c r="B38">
        <v>1.23389999999999</v>
      </c>
      <c r="C38" s="27">
        <f t="shared" si="0"/>
        <v>3.4890547680944461E-2</v>
      </c>
      <c r="D38" s="2">
        <f t="shared" si="2"/>
        <v>0.218546316413196</v>
      </c>
    </row>
    <row r="39" spans="1:4" x14ac:dyDescent="0.2">
      <c r="A39" s="25">
        <v>35124</v>
      </c>
      <c r="B39">
        <v>1.2410999999999901</v>
      </c>
      <c r="C39" s="27">
        <f t="shared" si="0"/>
        <v>5.8351568198395931E-3</v>
      </c>
      <c r="D39" s="2">
        <f t="shared" si="2"/>
        <v>0.19681774349084113</v>
      </c>
    </row>
    <row r="40" spans="1:4" x14ac:dyDescent="0.2">
      <c r="A40" s="25">
        <v>35153</v>
      </c>
      <c r="B40">
        <v>1.25629999999999</v>
      </c>
      <c r="C40" s="27">
        <f t="shared" si="0"/>
        <v>1.2247200064458896E-2</v>
      </c>
      <c r="D40" s="2">
        <f t="shared" si="2"/>
        <v>0.20128131573914887</v>
      </c>
    </row>
    <row r="41" spans="1:4" x14ac:dyDescent="0.2">
      <c r="A41" s="25">
        <v>35185</v>
      </c>
      <c r="B41">
        <v>1.2886</v>
      </c>
      <c r="C41" s="27">
        <f t="shared" si="0"/>
        <v>2.5710419485799774E-2</v>
      </c>
      <c r="D41" s="2">
        <f t="shared" si="2"/>
        <v>0.20678029593557956</v>
      </c>
    </row>
    <row r="42" spans="1:4" x14ac:dyDescent="0.2">
      <c r="A42" s="25">
        <v>35216</v>
      </c>
      <c r="B42">
        <v>1.3099999999999901</v>
      </c>
      <c r="C42" s="27">
        <f t="shared" si="0"/>
        <v>1.6607170572706886E-2</v>
      </c>
      <c r="D42" s="2">
        <f t="shared" si="2"/>
        <v>0.21307528474858972</v>
      </c>
    </row>
    <row r="43" spans="1:4" x14ac:dyDescent="0.2">
      <c r="A43" s="25">
        <v>35244</v>
      </c>
      <c r="B43">
        <v>1.3230999999999999</v>
      </c>
      <c r="C43" s="27">
        <f t="shared" si="0"/>
        <v>1.0000000000007558E-2</v>
      </c>
      <c r="D43" s="2">
        <f t="shared" si="2"/>
        <v>0.20952555078161805</v>
      </c>
    </row>
    <row r="44" spans="1:4" x14ac:dyDescent="0.2">
      <c r="A44" s="25">
        <v>35277</v>
      </c>
      <c r="B44">
        <v>1.3263</v>
      </c>
      <c r="C44" s="27">
        <f t="shared" si="0"/>
        <v>2.4185624669337269E-3</v>
      </c>
      <c r="D44" s="2">
        <f t="shared" si="2"/>
        <v>0.18578453285651486</v>
      </c>
    </row>
    <row r="45" spans="1:4" x14ac:dyDescent="0.2">
      <c r="A45" s="25">
        <v>35307</v>
      </c>
      <c r="B45">
        <v>1.355</v>
      </c>
      <c r="C45" s="27">
        <f t="shared" si="0"/>
        <v>2.1639146497775652E-2</v>
      </c>
      <c r="D45" s="2">
        <f t="shared" si="2"/>
        <v>0.19309676851282198</v>
      </c>
    </row>
    <row r="46" spans="1:4" x14ac:dyDescent="0.2">
      <c r="A46" s="25">
        <v>35338</v>
      </c>
      <c r="B46">
        <v>1.3852</v>
      </c>
      <c r="C46" s="27">
        <f t="shared" si="0"/>
        <v>2.2287822878228836E-2</v>
      </c>
      <c r="D46" s="2">
        <f t="shared" si="2"/>
        <v>0.19733771285332513</v>
      </c>
    </row>
    <row r="47" spans="1:4" x14ac:dyDescent="0.2">
      <c r="A47" s="25">
        <v>35369</v>
      </c>
      <c r="B47">
        <v>1.4044999999999901</v>
      </c>
      <c r="C47" s="27">
        <f t="shared" si="0"/>
        <v>1.3933006064099196E-2</v>
      </c>
      <c r="D47" s="2">
        <f t="shared" si="2"/>
        <v>0.2171765317618426</v>
      </c>
    </row>
    <row r="48" spans="1:4" x14ac:dyDescent="0.2">
      <c r="A48" s="25">
        <v>35398</v>
      </c>
      <c r="B48">
        <v>1.4401999999999999</v>
      </c>
      <c r="C48" s="27">
        <f t="shared" si="0"/>
        <v>2.541829832681386E-2</v>
      </c>
      <c r="D48" s="2">
        <f t="shared" si="2"/>
        <v>0.23421030079699401</v>
      </c>
    </row>
    <row r="49" spans="1:4" x14ac:dyDescent="0.2">
      <c r="A49" s="25">
        <v>35430</v>
      </c>
      <c r="B49">
        <v>1.4672999999999901</v>
      </c>
      <c r="C49" s="27">
        <f t="shared" si="0"/>
        <v>1.8816830995688205E-2</v>
      </c>
      <c r="D49" s="2">
        <f t="shared" si="2"/>
        <v>0.23064664933321333</v>
      </c>
    </row>
    <row r="50" spans="1:4" x14ac:dyDescent="0.2">
      <c r="A50" s="25">
        <v>35461</v>
      </c>
      <c r="B50">
        <v>1.5009999999999899</v>
      </c>
      <c r="C50" s="27">
        <f t="shared" si="0"/>
        <v>2.2967355005792944E-2</v>
      </c>
      <c r="D50" s="2">
        <f t="shared" si="2"/>
        <v>0.21646810924710436</v>
      </c>
    </row>
    <row r="51" spans="1:4" x14ac:dyDescent="0.2">
      <c r="A51" s="25">
        <v>35489</v>
      </c>
      <c r="B51">
        <v>1.5232999999999901</v>
      </c>
      <c r="C51" s="27">
        <f t="shared" si="0"/>
        <v>1.4856762158561132E-2</v>
      </c>
      <c r="D51" s="2">
        <f t="shared" si="2"/>
        <v>0.22737893803883824</v>
      </c>
    </row>
    <row r="52" spans="1:4" x14ac:dyDescent="0.2">
      <c r="A52" s="25">
        <v>35520</v>
      </c>
      <c r="B52">
        <v>1.52599999999999</v>
      </c>
      <c r="C52" s="27">
        <f t="shared" si="0"/>
        <v>1.7724676688768426E-3</v>
      </c>
      <c r="D52" s="2">
        <f t="shared" si="2"/>
        <v>0.21467802276526493</v>
      </c>
    </row>
    <row r="53" spans="1:4" x14ac:dyDescent="0.2">
      <c r="A53" s="25">
        <v>35550</v>
      </c>
      <c r="B53">
        <v>1.5310999999999999</v>
      </c>
      <c r="C53" s="27">
        <f t="shared" si="0"/>
        <v>3.3420707732698673E-3</v>
      </c>
      <c r="D53" s="2">
        <f t="shared" si="2"/>
        <v>0.18818873195716268</v>
      </c>
    </row>
    <row r="54" spans="1:4" x14ac:dyDescent="0.2">
      <c r="A54" s="25">
        <v>35580</v>
      </c>
      <c r="B54">
        <v>1.5756999999999901</v>
      </c>
      <c r="C54" s="27">
        <f t="shared" si="0"/>
        <v>2.9129384102926092E-2</v>
      </c>
      <c r="D54" s="2">
        <f t="shared" si="2"/>
        <v>0.20282442748091767</v>
      </c>
    </row>
    <row r="55" spans="1:4" x14ac:dyDescent="0.2">
      <c r="A55" s="25">
        <v>35611</v>
      </c>
      <c r="B55">
        <v>1.60249999999999</v>
      </c>
      <c r="C55" s="27">
        <f t="shared" si="0"/>
        <v>1.7008313765310756E-2</v>
      </c>
      <c r="D55" s="2">
        <f t="shared" si="2"/>
        <v>0.21117073539414255</v>
      </c>
    </row>
    <row r="56" spans="1:4" x14ac:dyDescent="0.2">
      <c r="A56" s="25">
        <v>35642</v>
      </c>
      <c r="B56">
        <v>1.6598999999999999</v>
      </c>
      <c r="C56" s="27">
        <f t="shared" si="0"/>
        <v>3.5819032761316816E-2</v>
      </c>
      <c r="D56" s="2">
        <f t="shared" si="2"/>
        <v>0.25152680389052251</v>
      </c>
    </row>
    <row r="57" spans="1:4" x14ac:dyDescent="0.2">
      <c r="A57" s="25">
        <v>35671</v>
      </c>
      <c r="B57">
        <v>1.6556</v>
      </c>
      <c r="C57" s="27">
        <f t="shared" si="0"/>
        <v>-2.5905175010542125E-3</v>
      </c>
      <c r="D57" s="2">
        <f t="shared" si="2"/>
        <v>0.22184501845018456</v>
      </c>
    </row>
    <row r="58" spans="1:4" x14ac:dyDescent="0.2">
      <c r="A58" s="25">
        <v>35703</v>
      </c>
      <c r="B58">
        <v>1.6969999999999901</v>
      </c>
      <c r="C58" s="27">
        <f t="shared" si="0"/>
        <v>2.500604010629992E-2</v>
      </c>
      <c r="D58" s="2">
        <f t="shared" si="2"/>
        <v>0.22509384926363718</v>
      </c>
    </row>
    <row r="59" spans="1:4" x14ac:dyDescent="0.2">
      <c r="A59" s="25">
        <v>35734</v>
      </c>
      <c r="B59">
        <v>1.7045999999999999</v>
      </c>
      <c r="C59" s="27">
        <f t="shared" si="0"/>
        <v>4.4784914555155986E-3</v>
      </c>
      <c r="D59" s="2">
        <f t="shared" si="2"/>
        <v>0.21367034531862727</v>
      </c>
    </row>
    <row r="60" spans="1:4" x14ac:dyDescent="0.2">
      <c r="A60" s="25">
        <v>35762</v>
      </c>
      <c r="B60">
        <v>1.7271999999999901</v>
      </c>
      <c r="C60" s="27">
        <f t="shared" si="0"/>
        <v>1.3258242402903964E-2</v>
      </c>
      <c r="D60" s="2">
        <f t="shared" si="2"/>
        <v>0.19927787807248309</v>
      </c>
    </row>
    <row r="61" spans="1:4" x14ac:dyDescent="0.2">
      <c r="A61" s="25">
        <v>35795</v>
      </c>
      <c r="B61">
        <v>1.7602</v>
      </c>
      <c r="C61" s="27">
        <f t="shared" si="0"/>
        <v>1.9106067623905876E-2</v>
      </c>
      <c r="D61" s="2">
        <f t="shared" si="2"/>
        <v>0.19961834662305722</v>
      </c>
    </row>
    <row r="62" spans="1:4" x14ac:dyDescent="0.2">
      <c r="A62" s="25">
        <v>35825</v>
      </c>
      <c r="B62">
        <v>1.7907</v>
      </c>
      <c r="C62" s="27">
        <f t="shared" si="0"/>
        <v>1.7327576411771295E-2</v>
      </c>
      <c r="D62" s="2">
        <f t="shared" si="2"/>
        <v>0.19300466355763635</v>
      </c>
    </row>
    <row r="63" spans="1:4" x14ac:dyDescent="0.2">
      <c r="A63" s="25">
        <v>35853</v>
      </c>
      <c r="B63">
        <v>1.8365</v>
      </c>
      <c r="C63" s="27">
        <f t="shared" si="0"/>
        <v>2.5576590160272472E-2</v>
      </c>
      <c r="D63" s="2">
        <f t="shared" si="2"/>
        <v>0.20560624958971441</v>
      </c>
    </row>
    <row r="64" spans="1:4" x14ac:dyDescent="0.2">
      <c r="A64" s="25">
        <v>35885</v>
      </c>
      <c r="B64">
        <v>1.8819999999999999</v>
      </c>
      <c r="C64" s="27">
        <f t="shared" si="0"/>
        <v>2.4775387966240014E-2</v>
      </c>
      <c r="D64" s="2">
        <f t="shared" si="2"/>
        <v>0.23328964613369085</v>
      </c>
    </row>
    <row r="65" spans="1:4" x14ac:dyDescent="0.2">
      <c r="A65" s="25">
        <v>35915</v>
      </c>
      <c r="B65">
        <v>1.8957999999999999</v>
      </c>
      <c r="C65" s="27">
        <f t="shared" si="0"/>
        <v>7.3326248671625738E-3</v>
      </c>
      <c r="D65" s="2">
        <f t="shared" si="2"/>
        <v>0.23819476193586309</v>
      </c>
    </row>
    <row r="66" spans="1:4" x14ac:dyDescent="0.2">
      <c r="A66" s="25">
        <v>35944</v>
      </c>
      <c r="B66">
        <v>1.8731</v>
      </c>
      <c r="C66" s="27">
        <f t="shared" si="0"/>
        <v>-1.1973836902626878E-2</v>
      </c>
      <c r="D66" s="2">
        <f t="shared" si="2"/>
        <v>0.18874151170908915</v>
      </c>
    </row>
    <row r="67" spans="1:4" x14ac:dyDescent="0.2">
      <c r="A67" s="25">
        <v>35976</v>
      </c>
      <c r="B67">
        <v>1.8583000000000001</v>
      </c>
      <c r="C67" s="27">
        <f t="shared" si="0"/>
        <v>-7.9013400245582233E-3</v>
      </c>
      <c r="D67" s="2">
        <f t="shared" si="2"/>
        <v>0.15962558502340829</v>
      </c>
    </row>
    <row r="68" spans="1:4" x14ac:dyDescent="0.2">
      <c r="A68" s="25">
        <v>36007</v>
      </c>
      <c r="B68">
        <v>1.8591</v>
      </c>
      <c r="C68" s="27">
        <f t="shared" si="0"/>
        <v>4.3050099553343379E-4</v>
      </c>
      <c r="D68" s="2">
        <f t="shared" si="2"/>
        <v>0.12000722935116581</v>
      </c>
    </row>
    <row r="69" spans="1:4" x14ac:dyDescent="0.2">
      <c r="A69" s="25">
        <v>36038</v>
      </c>
      <c r="B69">
        <v>1.6402000000000001</v>
      </c>
      <c r="C69" s="27">
        <f t="shared" si="0"/>
        <v>-0.11774514550051096</v>
      </c>
      <c r="D69" s="2">
        <f t="shared" si="2"/>
        <v>-9.3017637110411888E-3</v>
      </c>
    </row>
    <row r="70" spans="1:4" x14ac:dyDescent="0.2">
      <c r="A70" s="25">
        <v>36068</v>
      </c>
      <c r="B70">
        <v>1.5915999999999999</v>
      </c>
      <c r="C70" s="27">
        <f t="shared" si="0"/>
        <v>-2.9630532861846248E-2</v>
      </c>
      <c r="D70" s="2">
        <f t="shared" si="2"/>
        <v>-6.2109605185616257E-2</v>
      </c>
    </row>
    <row r="71" spans="1:4" x14ac:dyDescent="0.2">
      <c r="A71" s="25">
        <v>36098</v>
      </c>
      <c r="B71">
        <v>1.6021000000000001</v>
      </c>
      <c r="C71" s="27">
        <f t="shared" si="0"/>
        <v>6.5971349585323136E-3</v>
      </c>
      <c r="D71" s="2">
        <f t="shared" si="2"/>
        <v>-6.0131409128241109E-2</v>
      </c>
    </row>
    <row r="72" spans="1:4" x14ac:dyDescent="0.2">
      <c r="A72" s="25">
        <v>36129</v>
      </c>
      <c r="B72">
        <v>1.6463999999999901</v>
      </c>
      <c r="C72" s="27">
        <f t="shared" si="0"/>
        <v>2.7651207789769705E-2</v>
      </c>
      <c r="D72" s="2">
        <f t="shared" si="2"/>
        <v>-4.678091709124621E-2</v>
      </c>
    </row>
    <row r="73" spans="1:4" x14ac:dyDescent="0.2">
      <c r="A73" s="25">
        <v>36160</v>
      </c>
      <c r="B73">
        <v>1.6744000000000001</v>
      </c>
      <c r="C73" s="27">
        <f t="shared" si="0"/>
        <v>1.700680272109456E-2</v>
      </c>
      <c r="D73" s="2">
        <f t="shared" si="2"/>
        <v>-4.8744460856720795E-2</v>
      </c>
    </row>
    <row r="74" spans="1:4" x14ac:dyDescent="0.2">
      <c r="A74" s="25">
        <v>36189</v>
      </c>
      <c r="B74">
        <v>1.7058</v>
      </c>
      <c r="C74" s="27">
        <f t="shared" si="0"/>
        <v>1.8752986144290329E-2</v>
      </c>
      <c r="D74" s="2">
        <f t="shared" si="2"/>
        <v>-4.7411626738147028E-2</v>
      </c>
    </row>
    <row r="75" spans="1:4" x14ac:dyDescent="0.2">
      <c r="A75" s="25">
        <v>36217</v>
      </c>
      <c r="B75">
        <v>1.7050000000000001</v>
      </c>
      <c r="C75" s="27">
        <f t="shared" si="0"/>
        <v>-4.6898815804896632E-4</v>
      </c>
      <c r="D75" s="2">
        <f t="shared" si="2"/>
        <v>-7.160359379254011E-2</v>
      </c>
    </row>
    <row r="76" spans="1:4" x14ac:dyDescent="0.2">
      <c r="A76" s="25">
        <v>36250</v>
      </c>
      <c r="B76">
        <v>1.7458</v>
      </c>
      <c r="C76" s="27">
        <f t="shared" si="0"/>
        <v>2.3929618768328442E-2</v>
      </c>
      <c r="D76" s="2">
        <f t="shared" si="2"/>
        <v>-7.2369819341126407E-2</v>
      </c>
    </row>
    <row r="77" spans="1:4" x14ac:dyDescent="0.2">
      <c r="A77" s="25">
        <v>36280</v>
      </c>
      <c r="B77">
        <v>1.7993999999999899</v>
      </c>
      <c r="C77" s="27">
        <f t="shared" si="0"/>
        <v>3.0702256844993725E-2</v>
      </c>
      <c r="D77" s="2">
        <f t="shared" si="2"/>
        <v>-5.0849245701028556E-2</v>
      </c>
    </row>
    <row r="78" spans="1:4" x14ac:dyDescent="0.2">
      <c r="A78" s="25">
        <v>36311</v>
      </c>
      <c r="B78">
        <v>1.83849999999999</v>
      </c>
      <c r="C78" s="27">
        <f t="shared" si="0"/>
        <v>2.1729465377348101E-2</v>
      </c>
      <c r="D78" s="2">
        <f t="shared" si="2"/>
        <v>-1.8472051679040091E-2</v>
      </c>
    </row>
    <row r="79" spans="1:4" x14ac:dyDescent="0.2">
      <c r="A79" s="25">
        <v>36341</v>
      </c>
      <c r="B79">
        <v>1.8922999999999901</v>
      </c>
      <c r="C79" s="27">
        <f t="shared" ref="C79:C142" si="3">B79/B78-1</f>
        <v>2.9262986129997559E-2</v>
      </c>
      <c r="D79" s="2">
        <f t="shared" si="2"/>
        <v>1.8296292310170603E-2</v>
      </c>
    </row>
    <row r="80" spans="1:4" x14ac:dyDescent="0.2">
      <c r="A80" s="25">
        <v>36371</v>
      </c>
      <c r="B80">
        <v>1.91719999999999</v>
      </c>
      <c r="C80" s="27">
        <f t="shared" si="3"/>
        <v>1.3158590075569521E-2</v>
      </c>
      <c r="D80" s="2">
        <f t="shared" si="2"/>
        <v>3.1251680920870273E-2</v>
      </c>
    </row>
    <row r="81" spans="1:4" x14ac:dyDescent="0.2">
      <c r="A81" s="25">
        <v>36403</v>
      </c>
      <c r="B81">
        <v>1.91929999999999</v>
      </c>
      <c r="C81" s="27">
        <f t="shared" si="3"/>
        <v>1.0953473815982218E-3</v>
      </c>
      <c r="D81" s="2">
        <f t="shared" si="2"/>
        <v>0.17016217534446398</v>
      </c>
    </row>
    <row r="82" spans="1:4" x14ac:dyDescent="0.2">
      <c r="A82" s="25">
        <v>36433</v>
      </c>
      <c r="B82">
        <v>1.93919999999999</v>
      </c>
      <c r="C82" s="27">
        <f t="shared" si="3"/>
        <v>1.0368363465846908E-2</v>
      </c>
      <c r="D82" s="2">
        <f t="shared" si="2"/>
        <v>0.21839658205578671</v>
      </c>
    </row>
    <row r="83" spans="1:4" x14ac:dyDescent="0.2">
      <c r="A83" s="25">
        <v>36462</v>
      </c>
      <c r="B83">
        <v>1.946</v>
      </c>
      <c r="C83" s="27">
        <f t="shared" si="3"/>
        <v>3.5066006600710242E-3</v>
      </c>
      <c r="D83" s="2">
        <f t="shared" si="2"/>
        <v>0.21465576430934385</v>
      </c>
    </row>
    <row r="84" spans="1:4" x14ac:dyDescent="0.2">
      <c r="A84" s="25">
        <v>36494</v>
      </c>
      <c r="B84">
        <v>1.9857</v>
      </c>
      <c r="C84" s="27">
        <f t="shared" si="3"/>
        <v>2.0400822199383439E-2</v>
      </c>
      <c r="D84" s="2">
        <f t="shared" si="2"/>
        <v>0.20608600583091108</v>
      </c>
    </row>
    <row r="85" spans="1:4" x14ac:dyDescent="0.2">
      <c r="A85" s="25">
        <v>36525</v>
      </c>
      <c r="B85">
        <v>2.0470999999999999</v>
      </c>
      <c r="C85" s="27">
        <f t="shared" si="3"/>
        <v>3.0921085763206957E-2</v>
      </c>
      <c r="D85" s="2">
        <f t="shared" si="2"/>
        <v>0.22258719541328231</v>
      </c>
    </row>
    <row r="86" spans="1:4" x14ac:dyDescent="0.2">
      <c r="A86" s="25">
        <v>36556</v>
      </c>
      <c r="B86">
        <v>2.0575999999999999</v>
      </c>
      <c r="C86" s="27">
        <f t="shared" si="3"/>
        <v>5.1292071711201981E-3</v>
      </c>
      <c r="D86" s="2">
        <f t="shared" si="2"/>
        <v>0.20623754250205173</v>
      </c>
    </row>
    <row r="87" spans="1:4" x14ac:dyDescent="0.2">
      <c r="A87" s="25">
        <v>36585</v>
      </c>
      <c r="B87">
        <v>2.105</v>
      </c>
      <c r="C87" s="27">
        <f t="shared" si="3"/>
        <v>2.3036547433903598E-2</v>
      </c>
      <c r="D87" s="2">
        <f t="shared" si="2"/>
        <v>0.23460410557184752</v>
      </c>
    </row>
    <row r="88" spans="1:4" x14ac:dyDescent="0.2">
      <c r="A88" s="25">
        <v>36616</v>
      </c>
      <c r="B88">
        <v>2.1177000000000001</v>
      </c>
      <c r="C88" s="27">
        <f t="shared" si="3"/>
        <v>6.0332541567695852E-3</v>
      </c>
      <c r="D88" s="2">
        <f t="shared" si="2"/>
        <v>0.21302554702715093</v>
      </c>
    </row>
    <row r="89" spans="1:4" x14ac:dyDescent="0.2">
      <c r="A89" s="25">
        <v>36644</v>
      </c>
      <c r="B89">
        <v>2.1021999999999998</v>
      </c>
      <c r="C89" s="27">
        <f t="shared" si="3"/>
        <v>-7.3192614629079555E-3</v>
      </c>
      <c r="D89" s="2">
        <f t="shared" si="2"/>
        <v>0.16827831499389334</v>
      </c>
    </row>
    <row r="90" spans="1:4" x14ac:dyDescent="0.2">
      <c r="A90" s="25">
        <v>36677</v>
      </c>
      <c r="B90">
        <v>2.1027</v>
      </c>
      <c r="C90" s="27">
        <f t="shared" si="3"/>
        <v>2.3784606602617053E-4</v>
      </c>
      <c r="D90" s="2">
        <f t="shared" ref="D90:D153" si="4">B90/B78-1</f>
        <v>0.14370410660865462</v>
      </c>
    </row>
    <row r="91" spans="1:4" x14ac:dyDescent="0.2">
      <c r="A91" s="25">
        <v>36707</v>
      </c>
      <c r="B91">
        <v>2.14339999999999</v>
      </c>
      <c r="C91" s="27">
        <f t="shared" si="3"/>
        <v>1.9356066010362882E-2</v>
      </c>
      <c r="D91" s="2">
        <f t="shared" si="4"/>
        <v>0.13269566136447764</v>
      </c>
    </row>
    <row r="92" spans="1:4" x14ac:dyDescent="0.2">
      <c r="A92" s="25">
        <v>36738</v>
      </c>
      <c r="B92">
        <v>2.1540999999999899</v>
      </c>
      <c r="C92" s="27">
        <f t="shared" si="3"/>
        <v>4.9920686759354904E-3</v>
      </c>
      <c r="D92" s="2">
        <f t="shared" si="4"/>
        <v>0.12356561652409814</v>
      </c>
    </row>
    <row r="93" spans="1:4" x14ac:dyDescent="0.2">
      <c r="A93" s="25">
        <v>36769</v>
      </c>
      <c r="B93">
        <v>2.1909999999999901</v>
      </c>
      <c r="C93" s="27">
        <f t="shared" si="3"/>
        <v>1.71301239496775E-2</v>
      </c>
      <c r="D93" s="2">
        <f t="shared" si="4"/>
        <v>0.14156202782264438</v>
      </c>
    </row>
    <row r="94" spans="1:4" x14ac:dyDescent="0.2">
      <c r="A94" s="25">
        <v>36798</v>
      </c>
      <c r="B94">
        <v>2.2043999999999899</v>
      </c>
      <c r="C94" s="27">
        <f t="shared" si="3"/>
        <v>6.115928799634851E-3</v>
      </c>
      <c r="D94" s="2">
        <f t="shared" si="4"/>
        <v>0.13675742574257499</v>
      </c>
    </row>
    <row r="95" spans="1:4" x14ac:dyDescent="0.2">
      <c r="A95" s="25">
        <v>36830</v>
      </c>
      <c r="B95">
        <v>2.20339999999999</v>
      </c>
      <c r="C95" s="27">
        <f t="shared" si="3"/>
        <v>-4.5363817818899754E-4</v>
      </c>
      <c r="D95" s="2">
        <f t="shared" si="4"/>
        <v>0.13227132579650047</v>
      </c>
    </row>
    <row r="96" spans="1:4" x14ac:dyDescent="0.2">
      <c r="A96" s="25">
        <v>36860</v>
      </c>
      <c r="B96">
        <v>2.1864999999999899</v>
      </c>
      <c r="C96" s="27">
        <f t="shared" si="3"/>
        <v>-7.6699646001634481E-3</v>
      </c>
      <c r="D96" s="2">
        <f t="shared" si="4"/>
        <v>0.10112302966207887</v>
      </c>
    </row>
    <row r="97" spans="1:4" x14ac:dyDescent="0.2">
      <c r="A97" s="25">
        <v>36889</v>
      </c>
      <c r="B97">
        <v>2.1956999999999902</v>
      </c>
      <c r="C97" s="27">
        <f t="shared" si="3"/>
        <v>4.2076377772697349E-3</v>
      </c>
      <c r="D97" s="2">
        <f t="shared" si="4"/>
        <v>7.2590493869371553E-2</v>
      </c>
    </row>
    <row r="98" spans="1:4" x14ac:dyDescent="0.2">
      <c r="A98" s="25">
        <v>36922</v>
      </c>
      <c r="B98">
        <v>2.2497999999999898</v>
      </c>
      <c r="C98" s="27">
        <f t="shared" si="3"/>
        <v>2.4639067267841597E-2</v>
      </c>
      <c r="D98" s="2">
        <f t="shared" si="4"/>
        <v>9.3409797822701091E-2</v>
      </c>
    </row>
    <row r="99" spans="1:4" x14ac:dyDescent="0.2">
      <c r="A99" s="25">
        <v>36950</v>
      </c>
      <c r="B99">
        <v>2.2854999999999901</v>
      </c>
      <c r="C99" s="27">
        <f t="shared" si="3"/>
        <v>1.5868077162414673E-2</v>
      </c>
      <c r="D99" s="2">
        <f t="shared" si="4"/>
        <v>8.5748218527311293E-2</v>
      </c>
    </row>
    <row r="100" spans="1:4" x14ac:dyDescent="0.2">
      <c r="A100" s="25">
        <v>36980</v>
      </c>
      <c r="B100">
        <v>2.28819999999999</v>
      </c>
      <c r="C100" s="27">
        <f t="shared" si="3"/>
        <v>1.1813607525705816E-3</v>
      </c>
      <c r="D100" s="2">
        <f t="shared" si="4"/>
        <v>8.0511876091981849E-2</v>
      </c>
    </row>
    <row r="101" spans="1:4" x14ac:dyDescent="0.2">
      <c r="A101" s="25">
        <v>37011</v>
      </c>
      <c r="B101">
        <v>2.3093999999999899</v>
      </c>
      <c r="C101" s="27">
        <f t="shared" si="3"/>
        <v>9.2649243947207083E-3</v>
      </c>
      <c r="D101" s="2">
        <f t="shared" si="4"/>
        <v>9.8563409761197818E-2</v>
      </c>
    </row>
    <row r="102" spans="1:4" x14ac:dyDescent="0.2">
      <c r="A102" s="25">
        <v>37042</v>
      </c>
      <c r="B102">
        <v>2.33489999999999</v>
      </c>
      <c r="C102" s="27">
        <f t="shared" si="3"/>
        <v>1.1041829046505747E-2</v>
      </c>
      <c r="D102" s="2">
        <f t="shared" si="4"/>
        <v>0.11042944785275588</v>
      </c>
    </row>
    <row r="103" spans="1:4" x14ac:dyDescent="0.2">
      <c r="A103" s="25">
        <v>37071</v>
      </c>
      <c r="B103">
        <v>2.35889999999999</v>
      </c>
      <c r="C103" s="27">
        <f t="shared" si="3"/>
        <v>1.0278812797122061E-2</v>
      </c>
      <c r="D103" s="2">
        <f t="shared" si="4"/>
        <v>0.1005411962302889</v>
      </c>
    </row>
    <row r="104" spans="1:4" x14ac:dyDescent="0.2">
      <c r="A104" s="25">
        <v>37103</v>
      </c>
      <c r="B104">
        <v>2.3700999999999901</v>
      </c>
      <c r="C104" s="27">
        <f t="shared" si="3"/>
        <v>4.7479757514097276E-3</v>
      </c>
      <c r="D104" s="2">
        <f t="shared" si="4"/>
        <v>0.10027389629079475</v>
      </c>
    </row>
    <row r="105" spans="1:4" x14ac:dyDescent="0.2">
      <c r="A105" s="25">
        <v>37134</v>
      </c>
      <c r="B105">
        <v>2.40689999999999</v>
      </c>
      <c r="C105" s="27">
        <f t="shared" si="3"/>
        <v>1.5526771022319696E-2</v>
      </c>
      <c r="D105" s="2">
        <f t="shared" si="4"/>
        <v>9.8539479689639942E-2</v>
      </c>
    </row>
    <row r="106" spans="1:4" x14ac:dyDescent="0.2">
      <c r="A106" s="25">
        <v>37162</v>
      </c>
      <c r="B106">
        <v>2.3697999999999899</v>
      </c>
      <c r="C106" s="27">
        <f t="shared" si="3"/>
        <v>-1.5414018031492893E-2</v>
      </c>
      <c r="D106" s="2">
        <f t="shared" si="4"/>
        <v>7.5031754672473472E-2</v>
      </c>
    </row>
    <row r="107" spans="1:4" x14ac:dyDescent="0.2">
      <c r="A107" s="25">
        <v>37195</v>
      </c>
      <c r="B107">
        <v>2.4018999999999902</v>
      </c>
      <c r="C107" s="27">
        <f t="shared" si="3"/>
        <v>1.3545446873153955E-2</v>
      </c>
      <c r="D107" s="2">
        <f t="shared" si="4"/>
        <v>9.0088045747481527E-2</v>
      </c>
    </row>
    <row r="108" spans="1:4" x14ac:dyDescent="0.2">
      <c r="A108" s="25">
        <v>37225</v>
      </c>
      <c r="B108">
        <v>2.4221999999999899</v>
      </c>
      <c r="C108" s="27">
        <f t="shared" si="3"/>
        <v>8.4516424497271814E-3</v>
      </c>
      <c r="D108" s="2">
        <f t="shared" si="4"/>
        <v>0.10779785044591872</v>
      </c>
    </row>
    <row r="109" spans="1:4" x14ac:dyDescent="0.2">
      <c r="A109" s="25">
        <v>37256</v>
      </c>
      <c r="B109">
        <v>2.44809999999999</v>
      </c>
      <c r="C109" s="27">
        <f t="shared" si="3"/>
        <v>1.0692758649162082E-2</v>
      </c>
      <c r="D109" s="2">
        <f t="shared" si="4"/>
        <v>0.11495195154164994</v>
      </c>
    </row>
    <row r="110" spans="1:4" x14ac:dyDescent="0.2">
      <c r="A110" s="25">
        <v>37287</v>
      </c>
      <c r="B110">
        <v>2.4770999999999899</v>
      </c>
      <c r="C110" s="27">
        <f t="shared" si="3"/>
        <v>1.1845921326743225E-2</v>
      </c>
      <c r="D110" s="2">
        <f t="shared" si="4"/>
        <v>0.10103120277358046</v>
      </c>
    </row>
    <row r="111" spans="1:4" x14ac:dyDescent="0.2">
      <c r="A111" s="25">
        <v>37315</v>
      </c>
      <c r="B111">
        <v>2.4686999999999899</v>
      </c>
      <c r="C111" s="27">
        <f t="shared" si="3"/>
        <v>-3.3910621291025622E-3</v>
      </c>
      <c r="D111" s="2">
        <f t="shared" si="4"/>
        <v>8.0157514767009719E-2</v>
      </c>
    </row>
    <row r="112" spans="1:4" x14ac:dyDescent="0.2">
      <c r="A112" s="25">
        <v>37344</v>
      </c>
      <c r="B112">
        <v>2.49799999999999</v>
      </c>
      <c r="C112" s="27">
        <f t="shared" si="3"/>
        <v>1.1868594806983435E-2</v>
      </c>
      <c r="D112" s="2">
        <f t="shared" si="4"/>
        <v>9.1687789528887675E-2</v>
      </c>
    </row>
    <row r="113" spans="1:4" x14ac:dyDescent="0.2">
      <c r="A113" s="25">
        <v>37376</v>
      </c>
      <c r="B113">
        <v>2.5163999999999902</v>
      </c>
      <c r="C113" s="27">
        <f t="shared" si="3"/>
        <v>7.3658927141715402E-3</v>
      </c>
      <c r="D113" s="2">
        <f t="shared" si="4"/>
        <v>8.9633671083398703E-2</v>
      </c>
    </row>
    <row r="114" spans="1:4" x14ac:dyDescent="0.2">
      <c r="A114" s="25">
        <v>37407</v>
      </c>
      <c r="B114">
        <v>2.5192999999999901</v>
      </c>
      <c r="C114" s="27">
        <f t="shared" si="3"/>
        <v>1.1524399936417851E-3</v>
      </c>
      <c r="D114" s="2">
        <f t="shared" si="4"/>
        <v>7.8975544991220614E-2</v>
      </c>
    </row>
    <row r="115" spans="1:4" x14ac:dyDescent="0.2">
      <c r="A115" s="25">
        <v>37435</v>
      </c>
      <c r="B115">
        <v>2.44559999999999</v>
      </c>
      <c r="C115" s="27">
        <f t="shared" si="3"/>
        <v>-2.9254157901004385E-2</v>
      </c>
      <c r="D115" s="2">
        <f t="shared" si="4"/>
        <v>3.6754419432786678E-2</v>
      </c>
    </row>
    <row r="116" spans="1:4" x14ac:dyDescent="0.2">
      <c r="A116" s="25">
        <v>37468</v>
      </c>
      <c r="B116">
        <v>2.3696999999999901</v>
      </c>
      <c r="C116" s="27">
        <f t="shared" si="3"/>
        <v>-3.1035328753680091E-2</v>
      </c>
      <c r="D116" s="2">
        <f t="shared" si="4"/>
        <v>-1.6876925024256195E-4</v>
      </c>
    </row>
    <row r="117" spans="1:4" x14ac:dyDescent="0.2">
      <c r="A117" s="25">
        <v>37498</v>
      </c>
      <c r="B117">
        <v>2.3760999999999899</v>
      </c>
      <c r="C117" s="27">
        <f t="shared" si="3"/>
        <v>2.7007638097649167E-3</v>
      </c>
      <c r="D117" s="2">
        <f t="shared" si="4"/>
        <v>-1.2796543271428096E-2</v>
      </c>
    </row>
    <row r="118" spans="1:4" x14ac:dyDescent="0.2">
      <c r="A118" s="25">
        <v>37529</v>
      </c>
      <c r="B118">
        <v>2.3713999999999902</v>
      </c>
      <c r="C118" s="27">
        <f t="shared" si="3"/>
        <v>-1.978031227641841E-3</v>
      </c>
      <c r="D118" s="2">
        <f t="shared" si="4"/>
        <v>6.7516246096732679E-4</v>
      </c>
    </row>
    <row r="119" spans="1:4" x14ac:dyDescent="0.2">
      <c r="A119" s="25">
        <v>37560</v>
      </c>
      <c r="B119">
        <v>2.3671999999999902</v>
      </c>
      <c r="C119" s="27">
        <f t="shared" si="3"/>
        <v>-1.7711056759720512E-3</v>
      </c>
      <c r="D119" s="2">
        <f t="shared" si="4"/>
        <v>-1.4446896207169324E-2</v>
      </c>
    </row>
    <row r="120" spans="1:4" x14ac:dyDescent="0.2">
      <c r="A120" s="25">
        <v>37589</v>
      </c>
      <c r="B120">
        <v>2.4279999999999902</v>
      </c>
      <c r="C120" s="27">
        <f t="shared" si="3"/>
        <v>2.5684352821899292E-2</v>
      </c>
      <c r="D120" s="2">
        <f t="shared" si="4"/>
        <v>2.3945173808934683E-3</v>
      </c>
    </row>
    <row r="121" spans="1:4" x14ac:dyDescent="0.2">
      <c r="A121" s="25">
        <v>37621</v>
      </c>
      <c r="B121">
        <v>2.4519999999999902</v>
      </c>
      <c r="C121" s="27">
        <f t="shared" si="3"/>
        <v>9.884678747940745E-3</v>
      </c>
      <c r="D121" s="2">
        <f t="shared" si="4"/>
        <v>1.593072178424082E-3</v>
      </c>
    </row>
    <row r="122" spans="1:4" x14ac:dyDescent="0.2">
      <c r="A122" s="25">
        <v>37652</v>
      </c>
      <c r="B122">
        <v>2.5075999999999898</v>
      </c>
      <c r="C122" s="27">
        <f t="shared" si="3"/>
        <v>2.2675367047308326E-2</v>
      </c>
      <c r="D122" s="2">
        <f t="shared" si="4"/>
        <v>1.2312785111622482E-2</v>
      </c>
    </row>
    <row r="123" spans="1:4" x14ac:dyDescent="0.2">
      <c r="A123" s="25">
        <v>37680</v>
      </c>
      <c r="B123">
        <v>2.5233999999999899</v>
      </c>
      <c r="C123" s="27">
        <f t="shared" si="3"/>
        <v>6.300845429893176E-3</v>
      </c>
      <c r="D123" s="2">
        <f t="shared" si="4"/>
        <v>2.2157410783003373E-2</v>
      </c>
    </row>
    <row r="124" spans="1:4" x14ac:dyDescent="0.2">
      <c r="A124" s="25">
        <v>37711</v>
      </c>
      <c r="B124">
        <v>2.5487999999999902</v>
      </c>
      <c r="C124" s="27">
        <f t="shared" si="3"/>
        <v>1.00657842593328E-2</v>
      </c>
      <c r="D124" s="2">
        <f t="shared" si="4"/>
        <v>2.0336269015212238E-2</v>
      </c>
    </row>
    <row r="125" spans="1:4" x14ac:dyDescent="0.2">
      <c r="A125" s="25">
        <v>37741</v>
      </c>
      <c r="B125">
        <v>2.61289999999999</v>
      </c>
      <c r="C125" s="27">
        <f t="shared" si="3"/>
        <v>2.5149089767733779E-2</v>
      </c>
      <c r="D125" s="2">
        <f t="shared" si="4"/>
        <v>3.8348434271181064E-2</v>
      </c>
    </row>
    <row r="126" spans="1:4" x14ac:dyDescent="0.2">
      <c r="A126" s="25">
        <v>37771</v>
      </c>
      <c r="B126">
        <v>2.6742999999999899</v>
      </c>
      <c r="C126" s="27">
        <f t="shared" si="3"/>
        <v>2.3498794442956106E-2</v>
      </c>
      <c r="D126" s="2">
        <f t="shared" si="4"/>
        <v>6.1525026793157078E-2</v>
      </c>
    </row>
    <row r="127" spans="1:4" x14ac:dyDescent="0.2">
      <c r="A127" s="25">
        <v>37802</v>
      </c>
      <c r="B127">
        <v>2.7224999999999899</v>
      </c>
      <c r="C127" s="27">
        <f t="shared" si="3"/>
        <v>1.8023407994615548E-2</v>
      </c>
      <c r="D127" s="2">
        <f t="shared" si="4"/>
        <v>0.11322374877330765</v>
      </c>
    </row>
    <row r="128" spans="1:4" x14ac:dyDescent="0.2">
      <c r="A128" s="25">
        <v>37833</v>
      </c>
      <c r="B128">
        <v>2.7482999999999902</v>
      </c>
      <c r="C128" s="27">
        <f t="shared" si="3"/>
        <v>9.4765840220387698E-3</v>
      </c>
      <c r="D128" s="2">
        <f t="shared" si="4"/>
        <v>0.15976705912140843</v>
      </c>
    </row>
    <row r="129" spans="1:4" x14ac:dyDescent="0.2">
      <c r="A129" s="25">
        <v>37862</v>
      </c>
      <c r="B129">
        <v>2.7718999999999898</v>
      </c>
      <c r="C129" s="27">
        <f t="shared" si="3"/>
        <v>8.5871265873447289E-3</v>
      </c>
      <c r="D129" s="2">
        <f t="shared" si="4"/>
        <v>0.16657548082993201</v>
      </c>
    </row>
    <row r="130" spans="1:4" x14ac:dyDescent="0.2">
      <c r="A130" s="25">
        <v>37894</v>
      </c>
      <c r="B130">
        <v>2.8217999999999899</v>
      </c>
      <c r="C130" s="27">
        <f t="shared" si="3"/>
        <v>1.8002092427576777E-2</v>
      </c>
      <c r="D130" s="2">
        <f t="shared" si="4"/>
        <v>0.18992999915661701</v>
      </c>
    </row>
    <row r="131" spans="1:4" x14ac:dyDescent="0.2">
      <c r="A131" s="25">
        <v>37925</v>
      </c>
      <c r="B131">
        <v>2.8650999999999902</v>
      </c>
      <c r="C131" s="27">
        <f t="shared" si="3"/>
        <v>1.5344815366078457E-2</v>
      </c>
      <c r="D131" s="2">
        <f t="shared" si="4"/>
        <v>0.2103328827306532</v>
      </c>
    </row>
    <row r="132" spans="1:4" x14ac:dyDescent="0.2">
      <c r="A132" s="25">
        <v>37953</v>
      </c>
      <c r="B132">
        <v>2.8997999999999902</v>
      </c>
      <c r="C132" s="27">
        <f t="shared" si="3"/>
        <v>1.2111270112736161E-2</v>
      </c>
      <c r="D132" s="2">
        <f t="shared" si="4"/>
        <v>0.19431630971993497</v>
      </c>
    </row>
    <row r="133" spans="1:4" x14ac:dyDescent="0.2">
      <c r="A133" s="25">
        <v>37986</v>
      </c>
      <c r="B133">
        <v>2.9428999999999901</v>
      </c>
      <c r="C133" s="27">
        <f t="shared" si="3"/>
        <v>1.4863094006483335E-2</v>
      </c>
      <c r="D133" s="2">
        <f t="shared" si="4"/>
        <v>0.20020391517128955</v>
      </c>
    </row>
    <row r="134" spans="1:4" x14ac:dyDescent="0.2">
      <c r="A134" s="25">
        <v>38016</v>
      </c>
      <c r="B134">
        <v>3.00639999999999</v>
      </c>
      <c r="C134" s="27">
        <f t="shared" si="3"/>
        <v>2.1577355669577747E-2</v>
      </c>
      <c r="D134" s="2">
        <f t="shared" si="4"/>
        <v>0.1989152974956141</v>
      </c>
    </row>
    <row r="135" spans="1:4" x14ac:dyDescent="0.2">
      <c r="A135" s="25">
        <v>38044</v>
      </c>
      <c r="B135">
        <v>3.0348999999999902</v>
      </c>
      <c r="C135" s="27">
        <f t="shared" si="3"/>
        <v>9.4797764768494996E-3</v>
      </c>
      <c r="D135" s="2">
        <f t="shared" si="4"/>
        <v>0.20270270270270374</v>
      </c>
    </row>
    <row r="136" spans="1:4" x14ac:dyDescent="0.2">
      <c r="A136" s="25">
        <v>38077</v>
      </c>
      <c r="B136">
        <v>3.0485999999999902</v>
      </c>
      <c r="C136" s="27">
        <f t="shared" si="3"/>
        <v>4.5141520313685124E-3</v>
      </c>
      <c r="D136" s="2">
        <f t="shared" si="4"/>
        <v>0.19609227871939816</v>
      </c>
    </row>
    <row r="137" spans="1:4" x14ac:dyDescent="0.2">
      <c r="A137" s="25">
        <v>38107</v>
      </c>
      <c r="B137">
        <v>3.06429999999999</v>
      </c>
      <c r="C137" s="27">
        <f t="shared" si="3"/>
        <v>5.149904874368616E-3</v>
      </c>
      <c r="D137" s="2">
        <f t="shared" si="4"/>
        <v>0.17275823797313405</v>
      </c>
    </row>
    <row r="138" spans="1:4" x14ac:dyDescent="0.2">
      <c r="A138" s="25">
        <v>38138</v>
      </c>
      <c r="B138">
        <v>3.0671999999999899</v>
      </c>
      <c r="C138" s="27">
        <f t="shared" si="3"/>
        <v>9.4638253434720099E-4</v>
      </c>
      <c r="D138" s="2">
        <f t="shared" si="4"/>
        <v>0.1469169502299672</v>
      </c>
    </row>
    <row r="139" spans="1:4" x14ac:dyDescent="0.2">
      <c r="A139" s="25">
        <v>38168</v>
      </c>
      <c r="B139">
        <v>3.09669999999999</v>
      </c>
      <c r="C139" s="27">
        <f t="shared" si="3"/>
        <v>9.6178925404277749E-3</v>
      </c>
      <c r="D139" s="2">
        <f t="shared" si="4"/>
        <v>0.13744719926538163</v>
      </c>
    </row>
    <row r="140" spans="1:4" x14ac:dyDescent="0.2">
      <c r="A140" s="25">
        <v>38198</v>
      </c>
      <c r="B140">
        <v>3.0967999999999898</v>
      </c>
      <c r="C140" s="27">
        <f t="shared" si="3"/>
        <v>3.2292440339531936E-5</v>
      </c>
      <c r="D140" s="2">
        <f t="shared" si="4"/>
        <v>0.12680566168176721</v>
      </c>
    </row>
    <row r="141" spans="1:4" x14ac:dyDescent="0.2">
      <c r="A141" s="25">
        <v>38230</v>
      </c>
      <c r="B141">
        <v>3.11079999999999</v>
      </c>
      <c r="C141" s="27">
        <f t="shared" si="3"/>
        <v>4.5207956600361587E-3</v>
      </c>
      <c r="D141" s="2">
        <f t="shared" si="4"/>
        <v>0.12226270788989546</v>
      </c>
    </row>
    <row r="142" spans="1:4" x14ac:dyDescent="0.2">
      <c r="A142" s="25">
        <v>38260</v>
      </c>
      <c r="B142">
        <v>3.1501999999999901</v>
      </c>
      <c r="C142" s="27">
        <f t="shared" si="3"/>
        <v>1.2665552269512714E-2</v>
      </c>
      <c r="D142" s="2">
        <f t="shared" si="4"/>
        <v>0.1163796158480408</v>
      </c>
    </row>
    <row r="143" spans="1:4" x14ac:dyDescent="0.2">
      <c r="A143" s="25">
        <v>38289</v>
      </c>
      <c r="B143">
        <v>3.1891999999999898</v>
      </c>
      <c r="C143" s="27">
        <f t="shared" ref="C143:C206" si="5">B143/B142-1</f>
        <v>1.2380166338645138E-2</v>
      </c>
      <c r="D143" s="2">
        <f t="shared" si="4"/>
        <v>0.11311996090886911</v>
      </c>
    </row>
    <row r="144" spans="1:4" x14ac:dyDescent="0.2">
      <c r="A144" s="25">
        <v>38321</v>
      </c>
      <c r="B144">
        <v>3.2935999999999899</v>
      </c>
      <c r="C144" s="27">
        <f t="shared" si="5"/>
        <v>3.2735482252602699E-2</v>
      </c>
      <c r="D144" s="2">
        <f t="shared" si="4"/>
        <v>0.13580246913580285</v>
      </c>
    </row>
    <row r="145" spans="1:4" x14ac:dyDescent="0.2">
      <c r="A145" s="25">
        <v>38352</v>
      </c>
      <c r="B145">
        <v>3.36859999999999</v>
      </c>
      <c r="C145" s="27">
        <f t="shared" si="5"/>
        <v>2.277143551129468E-2</v>
      </c>
      <c r="D145" s="2">
        <f t="shared" si="4"/>
        <v>0.14465323320534207</v>
      </c>
    </row>
    <row r="146" spans="1:4" x14ac:dyDescent="0.2">
      <c r="A146" s="25">
        <v>38383</v>
      </c>
      <c r="B146">
        <v>3.3753999999999902</v>
      </c>
      <c r="C146" s="27">
        <f t="shared" si="5"/>
        <v>2.0186427596033951E-3</v>
      </c>
      <c r="D146" s="2">
        <f t="shared" si="4"/>
        <v>0.12273815859499781</v>
      </c>
    </row>
    <row r="147" spans="1:4" x14ac:dyDescent="0.2">
      <c r="A147" s="25">
        <v>38411</v>
      </c>
      <c r="B147">
        <v>3.4289999999999901</v>
      </c>
      <c r="C147" s="27">
        <f t="shared" si="5"/>
        <v>1.5879599454879489E-2</v>
      </c>
      <c r="D147" s="2">
        <f t="shared" si="4"/>
        <v>0.12985600843520428</v>
      </c>
    </row>
    <row r="148" spans="1:4" x14ac:dyDescent="0.2">
      <c r="A148" s="25">
        <v>38442</v>
      </c>
      <c r="B148">
        <v>3.4486999999999899</v>
      </c>
      <c r="C148" s="27">
        <f t="shared" si="5"/>
        <v>5.7451151939340583E-3</v>
      </c>
      <c r="D148" s="2">
        <f t="shared" si="4"/>
        <v>0.13124056944171136</v>
      </c>
    </row>
    <row r="149" spans="1:4" x14ac:dyDescent="0.2">
      <c r="A149" s="25">
        <v>38471</v>
      </c>
      <c r="B149">
        <v>3.4265999999999899</v>
      </c>
      <c r="C149" s="27">
        <f t="shared" si="5"/>
        <v>-6.4082117899498803E-3</v>
      </c>
      <c r="D149" s="2">
        <f t="shared" si="4"/>
        <v>0.11823254903240588</v>
      </c>
    </row>
    <row r="150" spans="1:4" x14ac:dyDescent="0.2">
      <c r="A150" s="25">
        <v>38503</v>
      </c>
      <c r="B150">
        <v>3.44559999999999</v>
      </c>
      <c r="C150" s="27">
        <f t="shared" si="5"/>
        <v>5.5448549582677309E-3</v>
      </c>
      <c r="D150" s="2">
        <f t="shared" si="4"/>
        <v>0.12336984872196188</v>
      </c>
    </row>
    <row r="151" spans="1:4" x14ac:dyDescent="0.2">
      <c r="A151" s="25">
        <v>38533</v>
      </c>
      <c r="B151">
        <v>3.48999999999999</v>
      </c>
      <c r="C151" s="27">
        <f t="shared" si="5"/>
        <v>1.2885999535639625E-2</v>
      </c>
      <c r="D151" s="2">
        <f t="shared" si="4"/>
        <v>0.12700616785610519</v>
      </c>
    </row>
    <row r="152" spans="1:4" x14ac:dyDescent="0.2">
      <c r="A152" s="25">
        <v>38562</v>
      </c>
      <c r="B152">
        <v>3.5690999999999899</v>
      </c>
      <c r="C152" s="27">
        <f t="shared" si="5"/>
        <v>2.2664756446991507E-2</v>
      </c>
      <c r="D152" s="2">
        <f t="shared" si="4"/>
        <v>0.15251227073107776</v>
      </c>
    </row>
    <row r="153" spans="1:4" x14ac:dyDescent="0.2">
      <c r="A153" s="25">
        <v>38595</v>
      </c>
      <c r="B153">
        <v>3.5994999999999902</v>
      </c>
      <c r="C153" s="27">
        <f t="shared" si="5"/>
        <v>8.5175534448460599E-3</v>
      </c>
      <c r="D153" s="2">
        <f t="shared" si="4"/>
        <v>0.15709785264240761</v>
      </c>
    </row>
    <row r="154" spans="1:4" x14ac:dyDescent="0.2">
      <c r="A154" s="25">
        <v>38625</v>
      </c>
      <c r="B154">
        <v>3.6380999999999899</v>
      </c>
      <c r="C154" s="27">
        <f t="shared" si="5"/>
        <v>1.0723711626614785E-2</v>
      </c>
      <c r="D154" s="2">
        <f t="shared" ref="D154:D217" si="6">B154/B142-1</f>
        <v>0.15487905529807677</v>
      </c>
    </row>
    <row r="155" spans="1:4" x14ac:dyDescent="0.2">
      <c r="A155" s="25">
        <v>38656</v>
      </c>
      <c r="B155">
        <v>3.5719999999999898</v>
      </c>
      <c r="C155" s="27">
        <f t="shared" si="5"/>
        <v>-1.8168824386355586E-2</v>
      </c>
      <c r="D155" s="2">
        <f t="shared" si="6"/>
        <v>0.12003010159287641</v>
      </c>
    </row>
    <row r="156" spans="1:4" x14ac:dyDescent="0.2">
      <c r="A156" s="25">
        <v>38686</v>
      </c>
      <c r="B156">
        <v>3.6175999999999902</v>
      </c>
      <c r="C156" s="27">
        <f t="shared" si="5"/>
        <v>1.276595744680864E-2</v>
      </c>
      <c r="D156" s="2">
        <f t="shared" si="6"/>
        <v>9.8372601408793114E-2</v>
      </c>
    </row>
    <row r="157" spans="1:4" x14ac:dyDescent="0.2">
      <c r="A157" s="25">
        <v>38716</v>
      </c>
      <c r="B157">
        <v>3.6701999999999901</v>
      </c>
      <c r="C157" s="27">
        <f t="shared" si="5"/>
        <v>1.454002653693065E-2</v>
      </c>
      <c r="D157" s="2">
        <f t="shared" si="6"/>
        <v>8.9532743572998008E-2</v>
      </c>
    </row>
    <row r="158" spans="1:4" x14ac:dyDescent="0.2">
      <c r="A158" s="25">
        <v>38748</v>
      </c>
      <c r="B158">
        <v>3.7772999999999901</v>
      </c>
      <c r="C158" s="27">
        <f t="shared" si="5"/>
        <v>2.9180971064247219E-2</v>
      </c>
      <c r="D158" s="2">
        <f t="shared" si="6"/>
        <v>0.11906736979321009</v>
      </c>
    </row>
    <row r="159" spans="1:4" x14ac:dyDescent="0.2">
      <c r="A159" s="25">
        <v>38776</v>
      </c>
      <c r="B159">
        <v>3.7901999999999898</v>
      </c>
      <c r="C159" s="27">
        <f t="shared" si="5"/>
        <v>3.4151377968389962E-3</v>
      </c>
      <c r="D159" s="2">
        <f t="shared" si="6"/>
        <v>0.10533683289588835</v>
      </c>
    </row>
    <row r="160" spans="1:4" x14ac:dyDescent="0.2">
      <c r="A160" s="25">
        <v>38807</v>
      </c>
      <c r="B160">
        <v>3.84689999999999</v>
      </c>
      <c r="C160" s="27">
        <f t="shared" si="5"/>
        <v>1.4959632737058914E-2</v>
      </c>
      <c r="D160" s="2">
        <f t="shared" si="6"/>
        <v>0.11546379795285211</v>
      </c>
    </row>
    <row r="161" spans="1:4" x14ac:dyDescent="0.2">
      <c r="A161" s="25">
        <v>38835</v>
      </c>
      <c r="B161">
        <v>3.9140999999999901</v>
      </c>
      <c r="C161" s="27">
        <f t="shared" si="5"/>
        <v>1.7468611089448638E-2</v>
      </c>
      <c r="D161" s="2">
        <f t="shared" si="6"/>
        <v>0.14226930485028944</v>
      </c>
    </row>
    <row r="162" spans="1:4" x14ac:dyDescent="0.2">
      <c r="A162" s="25">
        <v>38868</v>
      </c>
      <c r="B162">
        <v>3.9106999999999901</v>
      </c>
      <c r="C162" s="27">
        <f t="shared" si="5"/>
        <v>-8.6865435221383791E-4</v>
      </c>
      <c r="D162" s="2">
        <f t="shared" si="6"/>
        <v>0.13498374738797358</v>
      </c>
    </row>
    <row r="163" spans="1:4" x14ac:dyDescent="0.2">
      <c r="A163" s="25">
        <v>38898</v>
      </c>
      <c r="B163">
        <v>3.93989999999999</v>
      </c>
      <c r="C163" s="27">
        <f t="shared" si="5"/>
        <v>7.4666939422609602E-3</v>
      </c>
      <c r="D163" s="2">
        <f t="shared" si="6"/>
        <v>0.12891117478510061</v>
      </c>
    </row>
    <row r="164" spans="1:4" x14ac:dyDescent="0.2">
      <c r="A164" s="25">
        <v>38929</v>
      </c>
      <c r="B164">
        <v>3.94139999999999</v>
      </c>
      <c r="C164" s="27">
        <f t="shared" si="5"/>
        <v>3.8072032285074719E-4</v>
      </c>
      <c r="D164" s="2">
        <f t="shared" si="6"/>
        <v>0.10431201143145352</v>
      </c>
    </row>
    <row r="165" spans="1:4" x14ac:dyDescent="0.2">
      <c r="A165" s="25">
        <v>38960</v>
      </c>
      <c r="B165">
        <v>3.9827999999999899</v>
      </c>
      <c r="C165" s="27">
        <f t="shared" si="5"/>
        <v>1.0503881869386555E-2</v>
      </c>
      <c r="D165" s="2">
        <f t="shared" si="6"/>
        <v>0.1064870120850121</v>
      </c>
    </row>
    <row r="166" spans="1:4" x14ac:dyDescent="0.2">
      <c r="A166" s="25">
        <v>38989</v>
      </c>
      <c r="B166">
        <v>4.0064999999999902</v>
      </c>
      <c r="C166" s="27">
        <f t="shared" si="5"/>
        <v>5.95058752636346E-3</v>
      </c>
      <c r="D166" s="2">
        <f t="shared" si="6"/>
        <v>0.10126164756328881</v>
      </c>
    </row>
    <row r="167" spans="1:4" x14ac:dyDescent="0.2">
      <c r="A167" s="25">
        <v>39021</v>
      </c>
      <c r="B167">
        <v>4.0956999999999901</v>
      </c>
      <c r="C167" s="27">
        <f t="shared" si="5"/>
        <v>2.2263821290403163E-2</v>
      </c>
      <c r="D167" s="2">
        <f t="shared" si="6"/>
        <v>0.14661254199328155</v>
      </c>
    </row>
    <row r="168" spans="1:4" x14ac:dyDescent="0.2">
      <c r="A168" s="25">
        <v>39051</v>
      </c>
      <c r="B168">
        <v>4.1811999999999898</v>
      </c>
      <c r="C168" s="27">
        <f t="shared" si="5"/>
        <v>2.087555240862371E-2</v>
      </c>
      <c r="D168" s="2">
        <f t="shared" si="6"/>
        <v>0.15579389650597109</v>
      </c>
    </row>
    <row r="169" spans="1:4" x14ac:dyDescent="0.2">
      <c r="A169" s="25">
        <v>39080</v>
      </c>
      <c r="B169">
        <v>4.2473999999999901</v>
      </c>
      <c r="C169" s="27">
        <f t="shared" si="5"/>
        <v>1.5832775279824185E-2</v>
      </c>
      <c r="D169" s="2">
        <f t="shared" si="6"/>
        <v>0.15726663397090124</v>
      </c>
    </row>
    <row r="170" spans="1:4" x14ac:dyDescent="0.2">
      <c r="A170" s="25">
        <v>39113</v>
      </c>
      <c r="B170">
        <v>4.3349999999999902</v>
      </c>
      <c r="C170" s="27">
        <f t="shared" si="5"/>
        <v>2.0624381974855277E-2</v>
      </c>
      <c r="D170" s="2">
        <f t="shared" si="6"/>
        <v>0.14764514335636614</v>
      </c>
    </row>
    <row r="171" spans="1:4" x14ac:dyDescent="0.2">
      <c r="A171" s="25">
        <v>39141</v>
      </c>
      <c r="B171">
        <v>4.4021999999999899</v>
      </c>
      <c r="C171" s="27">
        <f t="shared" si="5"/>
        <v>1.5501730103806288E-2</v>
      </c>
      <c r="D171" s="2">
        <f t="shared" si="6"/>
        <v>0.16146905176507875</v>
      </c>
    </row>
    <row r="172" spans="1:4" x14ac:dyDescent="0.2">
      <c r="A172" s="25">
        <v>39171</v>
      </c>
      <c r="B172">
        <v>4.4578999999999898</v>
      </c>
      <c r="C172" s="27">
        <f t="shared" si="5"/>
        <v>1.2652764526827509E-2</v>
      </c>
      <c r="D172" s="2">
        <f t="shared" si="6"/>
        <v>0.15882918713769567</v>
      </c>
    </row>
    <row r="173" spans="1:4" x14ac:dyDescent="0.2">
      <c r="A173" s="25">
        <v>39202</v>
      </c>
      <c r="B173">
        <v>4.5254999999999903</v>
      </c>
      <c r="C173" s="27">
        <f t="shared" si="5"/>
        <v>1.5164090715359402E-2</v>
      </c>
      <c r="D173" s="2">
        <f t="shared" si="6"/>
        <v>0.15620449145397464</v>
      </c>
    </row>
    <row r="174" spans="1:4" x14ac:dyDescent="0.2">
      <c r="A174" s="25">
        <v>39233</v>
      </c>
      <c r="B174">
        <v>4.6720999999999897</v>
      </c>
      <c r="C174" s="27">
        <f t="shared" si="5"/>
        <v>3.2394210584465677E-2</v>
      </c>
      <c r="D174" s="2">
        <f t="shared" si="6"/>
        <v>0.19469660163142199</v>
      </c>
    </row>
    <row r="175" spans="1:4" x14ac:dyDescent="0.2">
      <c r="A175" s="25">
        <v>39262</v>
      </c>
      <c r="B175">
        <v>4.7060999999999904</v>
      </c>
      <c r="C175" s="27">
        <f t="shared" si="5"/>
        <v>7.2772414973996113E-3</v>
      </c>
      <c r="D175" s="2">
        <f t="shared" si="6"/>
        <v>0.19447194091220643</v>
      </c>
    </row>
    <row r="176" spans="1:4" x14ac:dyDescent="0.2">
      <c r="A176" s="25">
        <v>39294</v>
      </c>
      <c r="B176">
        <v>4.7515999999999901</v>
      </c>
      <c r="C176" s="27">
        <f t="shared" si="5"/>
        <v>9.6683028409936256E-3</v>
      </c>
      <c r="D176" s="2">
        <f t="shared" si="6"/>
        <v>0.20556147561780125</v>
      </c>
    </row>
    <row r="177" spans="1:4" x14ac:dyDescent="0.2">
      <c r="A177" s="25">
        <v>39325</v>
      </c>
      <c r="B177">
        <v>4.6623999999999901</v>
      </c>
      <c r="C177" s="27">
        <f t="shared" si="5"/>
        <v>-1.8772623958245638E-2</v>
      </c>
      <c r="D177" s="2">
        <f t="shared" si="6"/>
        <v>0.17063372501757601</v>
      </c>
    </row>
    <row r="178" spans="1:4" x14ac:dyDescent="0.2">
      <c r="A178" s="25">
        <v>39353</v>
      </c>
      <c r="B178">
        <v>4.7369999999999903</v>
      </c>
      <c r="C178" s="27">
        <f t="shared" si="5"/>
        <v>1.6000343170899267E-2</v>
      </c>
      <c r="D178" s="2">
        <f t="shared" si="6"/>
        <v>0.18232871583676569</v>
      </c>
    </row>
    <row r="179" spans="1:4" x14ac:dyDescent="0.2">
      <c r="A179" s="25">
        <v>39386</v>
      </c>
      <c r="B179">
        <v>4.87469999999999</v>
      </c>
      <c r="C179" s="27">
        <f t="shared" si="5"/>
        <v>2.9069031032298964E-2</v>
      </c>
      <c r="D179" s="2">
        <f t="shared" si="6"/>
        <v>0.19019947750079402</v>
      </c>
    </row>
    <row r="180" spans="1:4" x14ac:dyDescent="0.2">
      <c r="A180" s="25">
        <v>39416</v>
      </c>
      <c r="B180">
        <v>4.7928999999999897</v>
      </c>
      <c r="C180" s="27">
        <f t="shared" si="5"/>
        <v>-1.678051982686124E-2</v>
      </c>
      <c r="D180" s="2">
        <f t="shared" si="6"/>
        <v>0.1462977135750505</v>
      </c>
    </row>
    <row r="181" spans="1:4" x14ac:dyDescent="0.2">
      <c r="A181" s="25">
        <v>39447</v>
      </c>
      <c r="B181">
        <v>4.8079999999999901</v>
      </c>
      <c r="C181" s="27">
        <f t="shared" si="5"/>
        <v>3.1504934382107219E-3</v>
      </c>
      <c r="D181" s="2">
        <f t="shared" si="6"/>
        <v>0.13198662711305764</v>
      </c>
    </row>
    <row r="182" spans="1:4" x14ac:dyDescent="0.2">
      <c r="A182" s="25">
        <v>39478</v>
      </c>
      <c r="B182">
        <v>4.6905999999999901</v>
      </c>
      <c r="C182" s="27">
        <f t="shared" si="5"/>
        <v>-2.4417637271214709E-2</v>
      </c>
      <c r="D182" s="2">
        <f t="shared" si="6"/>
        <v>8.2029988465974757E-2</v>
      </c>
    </row>
    <row r="183" spans="1:4" x14ac:dyDescent="0.2">
      <c r="A183" s="25">
        <v>39507</v>
      </c>
      <c r="B183">
        <v>4.73029999999999</v>
      </c>
      <c r="C183" s="27">
        <f t="shared" si="5"/>
        <v>8.4637359826034153E-3</v>
      </c>
      <c r="D183" s="2">
        <f t="shared" si="6"/>
        <v>7.4530916360002086E-2</v>
      </c>
    </row>
    <row r="184" spans="1:4" x14ac:dyDescent="0.2">
      <c r="A184" s="25">
        <v>39538</v>
      </c>
      <c r="B184">
        <v>4.64909999999999</v>
      </c>
      <c r="C184" s="27">
        <f t="shared" si="5"/>
        <v>-1.7165930279263497E-2</v>
      </c>
      <c r="D184" s="2">
        <f t="shared" si="6"/>
        <v>4.2890150070661326E-2</v>
      </c>
    </row>
    <row r="185" spans="1:4" x14ac:dyDescent="0.2">
      <c r="A185" s="25">
        <v>39568</v>
      </c>
      <c r="B185">
        <v>4.6727999999999899</v>
      </c>
      <c r="C185" s="27">
        <f t="shared" si="5"/>
        <v>5.0977608569400257E-3</v>
      </c>
      <c r="D185" s="2">
        <f t="shared" si="6"/>
        <v>3.2548889625455768E-2</v>
      </c>
    </row>
    <row r="186" spans="1:4" x14ac:dyDescent="0.2">
      <c r="A186" s="25">
        <v>39598</v>
      </c>
      <c r="B186">
        <v>4.7611999999999899</v>
      </c>
      <c r="C186" s="27">
        <f t="shared" si="5"/>
        <v>1.8917993494264707E-2</v>
      </c>
      <c r="D186" s="2">
        <f t="shared" si="6"/>
        <v>1.9070653453479247E-2</v>
      </c>
    </row>
    <row r="187" spans="1:4" x14ac:dyDescent="0.2">
      <c r="A187" s="25">
        <v>39629</v>
      </c>
      <c r="B187">
        <v>4.7539999999999898</v>
      </c>
      <c r="C187" s="27">
        <f t="shared" si="5"/>
        <v>-1.5122238091237472E-3</v>
      </c>
      <c r="D187" s="2">
        <f t="shared" si="6"/>
        <v>1.0178279254584366E-2</v>
      </c>
    </row>
    <row r="188" spans="1:4" x14ac:dyDescent="0.2">
      <c r="A188" s="25">
        <v>39660</v>
      </c>
      <c r="B188">
        <v>4.6335999999999897</v>
      </c>
      <c r="C188" s="27">
        <f t="shared" si="5"/>
        <v>-2.5326041228439289E-2</v>
      </c>
      <c r="D188" s="2">
        <f t="shared" si="6"/>
        <v>-2.4833740213822786E-2</v>
      </c>
    </row>
    <row r="189" spans="1:4" x14ac:dyDescent="0.2">
      <c r="A189" s="25">
        <v>39689</v>
      </c>
      <c r="B189">
        <v>4.6263999999999896</v>
      </c>
      <c r="C189" s="27">
        <f t="shared" si="5"/>
        <v>-1.5538674033149791E-3</v>
      </c>
      <c r="D189" s="2">
        <f t="shared" si="6"/>
        <v>-7.7213452299246255E-3</v>
      </c>
    </row>
    <row r="190" spans="1:4" x14ac:dyDescent="0.2">
      <c r="A190" s="25">
        <v>39721</v>
      </c>
      <c r="B190">
        <v>4.3602999999999899</v>
      </c>
      <c r="C190" s="27">
        <f t="shared" si="5"/>
        <v>-5.7517724364516742E-2</v>
      </c>
      <c r="D190" s="2">
        <f t="shared" si="6"/>
        <v>-7.9522904792062699E-2</v>
      </c>
    </row>
    <row r="191" spans="1:4" x14ac:dyDescent="0.2">
      <c r="A191" s="25">
        <v>39752</v>
      </c>
      <c r="B191">
        <v>4.1384999999999899</v>
      </c>
      <c r="C191" s="27">
        <f t="shared" si="5"/>
        <v>-5.0868059537187871E-2</v>
      </c>
      <c r="D191" s="2">
        <f t="shared" si="6"/>
        <v>-0.1510246784417506</v>
      </c>
    </row>
    <row r="192" spans="1:4" x14ac:dyDescent="0.2">
      <c r="A192" s="25">
        <v>39780</v>
      </c>
      <c r="B192">
        <v>4.0055999999999896</v>
      </c>
      <c r="C192" s="27">
        <f t="shared" si="5"/>
        <v>-3.2113084450888119E-2</v>
      </c>
      <c r="D192" s="2">
        <f t="shared" si="6"/>
        <v>-0.16426380688101183</v>
      </c>
    </row>
    <row r="193" spans="1:4" x14ac:dyDescent="0.2">
      <c r="A193" s="25">
        <v>39813</v>
      </c>
      <c r="B193">
        <v>3.9551999999999898</v>
      </c>
      <c r="C193" s="27">
        <f t="shared" si="5"/>
        <v>-1.2582384661473878E-2</v>
      </c>
      <c r="D193" s="2">
        <f t="shared" si="6"/>
        <v>-0.17737104825291228</v>
      </c>
    </row>
    <row r="194" spans="1:4" x14ac:dyDescent="0.2">
      <c r="A194" s="25">
        <v>39843</v>
      </c>
      <c r="B194">
        <v>3.98639999999999</v>
      </c>
      <c r="C194" s="27">
        <f t="shared" si="5"/>
        <v>7.8883495145631866E-3</v>
      </c>
      <c r="D194" s="2">
        <f t="shared" si="6"/>
        <v>-0.15013004732870028</v>
      </c>
    </row>
    <row r="195" spans="1:4" x14ac:dyDescent="0.2">
      <c r="A195" s="25">
        <v>39871</v>
      </c>
      <c r="B195">
        <v>3.94119999999999</v>
      </c>
      <c r="C195" s="27">
        <f t="shared" si="5"/>
        <v>-1.1338551073650449E-2</v>
      </c>
      <c r="D195" s="2">
        <f t="shared" si="6"/>
        <v>-0.16681817220895112</v>
      </c>
    </row>
    <row r="196" spans="1:4" x14ac:dyDescent="0.2">
      <c r="A196" s="25">
        <v>39903</v>
      </c>
      <c r="B196">
        <v>3.9475999999999898</v>
      </c>
      <c r="C196" s="27">
        <f t="shared" si="5"/>
        <v>1.6238709022631248E-3</v>
      </c>
      <c r="D196" s="2">
        <f t="shared" si="6"/>
        <v>-0.15088941945752976</v>
      </c>
    </row>
    <row r="197" spans="1:4" x14ac:dyDescent="0.2">
      <c r="A197" s="25">
        <v>39933</v>
      </c>
      <c r="B197">
        <v>4.0059999999999896</v>
      </c>
      <c r="C197" s="27">
        <f t="shared" si="5"/>
        <v>1.4793798763805821E-2</v>
      </c>
      <c r="D197" s="2">
        <f t="shared" si="6"/>
        <v>-0.14269816812189728</v>
      </c>
    </row>
    <row r="198" spans="1:4" x14ac:dyDescent="0.2">
      <c r="A198" s="25">
        <v>39962</v>
      </c>
      <c r="B198">
        <v>4.1749999999999901</v>
      </c>
      <c r="C198" s="27">
        <f t="shared" si="5"/>
        <v>4.2186719920120019E-2</v>
      </c>
      <c r="D198" s="2">
        <f t="shared" si="6"/>
        <v>-0.12312022179282556</v>
      </c>
    </row>
    <row r="199" spans="1:4" x14ac:dyDescent="0.2">
      <c r="A199" s="25">
        <v>39994</v>
      </c>
      <c r="B199">
        <v>4.2173999999999898</v>
      </c>
      <c r="C199" s="27">
        <f t="shared" si="5"/>
        <v>1.0155688622754511E-2</v>
      </c>
      <c r="D199" s="2">
        <f t="shared" si="6"/>
        <v>-0.11287336979385809</v>
      </c>
    </row>
    <row r="200" spans="1:4" x14ac:dyDescent="0.2">
      <c r="A200" s="25">
        <v>40025</v>
      </c>
      <c r="B200">
        <v>4.3155999999999901</v>
      </c>
      <c r="C200" s="27">
        <f t="shared" si="5"/>
        <v>2.3284488073220588E-2</v>
      </c>
      <c r="D200" s="2">
        <f t="shared" si="6"/>
        <v>-6.862914364640893E-2</v>
      </c>
    </row>
    <row r="201" spans="1:4" x14ac:dyDescent="0.2">
      <c r="A201" s="25">
        <v>40056</v>
      </c>
      <c r="B201">
        <v>4.4092999999999902</v>
      </c>
      <c r="C201" s="27">
        <f t="shared" si="5"/>
        <v>2.1711928816387172E-2</v>
      </c>
      <c r="D201" s="2">
        <f t="shared" si="6"/>
        <v>-4.6926335811862341E-2</v>
      </c>
    </row>
    <row r="202" spans="1:4" x14ac:dyDescent="0.2">
      <c r="A202" s="25">
        <v>40086</v>
      </c>
      <c r="B202">
        <v>4.5368999999999904</v>
      </c>
      <c r="C202" s="27">
        <f t="shared" si="5"/>
        <v>2.8938833828499044E-2</v>
      </c>
      <c r="D202" s="2">
        <f t="shared" si="6"/>
        <v>4.0501800334839633E-2</v>
      </c>
    </row>
    <row r="203" spans="1:4" x14ac:dyDescent="0.2">
      <c r="A203" s="25">
        <v>40116</v>
      </c>
      <c r="B203">
        <v>4.55649999999999</v>
      </c>
      <c r="C203" s="27">
        <f t="shared" si="5"/>
        <v>4.320130485573781E-3</v>
      </c>
      <c r="D203" s="2">
        <f t="shared" si="6"/>
        <v>0.10100277878458397</v>
      </c>
    </row>
    <row r="204" spans="1:4" x14ac:dyDescent="0.2">
      <c r="A204" s="25">
        <v>40147</v>
      </c>
      <c r="B204">
        <v>4.6550999999999902</v>
      </c>
      <c r="C204" s="27">
        <f t="shared" si="5"/>
        <v>2.1639416218588892E-2</v>
      </c>
      <c r="D204" s="2">
        <f t="shared" si="6"/>
        <v>0.16214799281006642</v>
      </c>
    </row>
    <row r="205" spans="1:4" x14ac:dyDescent="0.2">
      <c r="A205" s="25">
        <v>40178</v>
      </c>
      <c r="B205">
        <v>4.7612999999999897</v>
      </c>
      <c r="C205" s="27">
        <f t="shared" si="5"/>
        <v>2.281368821292773E-2</v>
      </c>
      <c r="D205" s="2">
        <f t="shared" si="6"/>
        <v>0.20380764563106846</v>
      </c>
    </row>
    <row r="206" spans="1:4" x14ac:dyDescent="0.2">
      <c r="A206" s="25">
        <v>40207</v>
      </c>
      <c r="B206">
        <v>4.8287999999999904</v>
      </c>
      <c r="C206" s="27">
        <f t="shared" si="5"/>
        <v>1.4176800453657767E-2</v>
      </c>
      <c r="D206" s="2">
        <f t="shared" si="6"/>
        <v>0.21131848284166233</v>
      </c>
    </row>
    <row r="207" spans="1:4" x14ac:dyDescent="0.2">
      <c r="A207" s="25">
        <v>40235</v>
      </c>
      <c r="B207">
        <v>4.8498999999999901</v>
      </c>
      <c r="C207" s="27">
        <f t="shared" ref="C207:C270" si="7">B207/B206-1</f>
        <v>4.3696156394963381E-3</v>
      </c>
      <c r="D207" s="2">
        <f t="shared" si="6"/>
        <v>0.23056429513853716</v>
      </c>
    </row>
    <row r="208" spans="1:4" x14ac:dyDescent="0.2">
      <c r="A208" s="25">
        <v>40268</v>
      </c>
      <c r="B208">
        <v>4.9880999999999904</v>
      </c>
      <c r="C208" s="27">
        <f t="shared" si="7"/>
        <v>2.8495432895523809E-2</v>
      </c>
      <c r="D208" s="2">
        <f t="shared" si="6"/>
        <v>0.26357787009828848</v>
      </c>
    </row>
    <row r="209" spans="1:4" x14ac:dyDescent="0.2">
      <c r="A209" s="25">
        <v>40298</v>
      </c>
      <c r="B209">
        <v>5.08239999999999</v>
      </c>
      <c r="C209" s="27">
        <f t="shared" si="7"/>
        <v>1.8904993885447308E-2</v>
      </c>
      <c r="D209" s="2">
        <f t="shared" si="6"/>
        <v>0.26869695456814857</v>
      </c>
    </row>
    <row r="210" spans="1:4" x14ac:dyDescent="0.2">
      <c r="A210" s="25">
        <v>40329</v>
      </c>
      <c r="B210">
        <v>4.9262999999999897</v>
      </c>
      <c r="C210" s="27">
        <f t="shared" si="7"/>
        <v>-3.0713835983000259E-2</v>
      </c>
      <c r="D210" s="2">
        <f t="shared" si="6"/>
        <v>0.17995209580838356</v>
      </c>
    </row>
    <row r="211" spans="1:4" x14ac:dyDescent="0.2">
      <c r="A211" s="25">
        <v>40359</v>
      </c>
      <c r="B211">
        <v>4.8486999999999902</v>
      </c>
      <c r="C211" s="27">
        <f t="shared" si="7"/>
        <v>-1.5752187239916338E-2</v>
      </c>
      <c r="D211" s="2">
        <f t="shared" si="6"/>
        <v>0.14968938208374882</v>
      </c>
    </row>
    <row r="212" spans="1:4" x14ac:dyDescent="0.2">
      <c r="A212" s="25">
        <v>40389</v>
      </c>
      <c r="B212">
        <v>4.9243999999999897</v>
      </c>
      <c r="C212" s="27">
        <f t="shared" si="7"/>
        <v>1.5612432198321091E-2</v>
      </c>
      <c r="D212" s="2">
        <f t="shared" si="6"/>
        <v>0.14106960793400702</v>
      </c>
    </row>
    <row r="213" spans="1:4" x14ac:dyDescent="0.2">
      <c r="A213" s="25">
        <v>40421</v>
      </c>
      <c r="B213">
        <v>4.9045999999999896</v>
      </c>
      <c r="C213" s="27">
        <f t="shared" si="7"/>
        <v>-4.0207944115019378E-3</v>
      </c>
      <c r="D213" s="2">
        <f t="shared" si="6"/>
        <v>0.11233075544871074</v>
      </c>
    </row>
    <row r="214" spans="1:4" x14ac:dyDescent="0.2">
      <c r="A214" s="25">
        <v>40451</v>
      </c>
      <c r="B214">
        <v>5.0615999999999897</v>
      </c>
      <c r="C214" s="27">
        <f t="shared" si="7"/>
        <v>3.2010765403906571E-2</v>
      </c>
      <c r="D214" s="2">
        <f t="shared" si="6"/>
        <v>0.11565165641737751</v>
      </c>
    </row>
    <row r="215" spans="1:4" x14ac:dyDescent="0.2">
      <c r="A215" s="25">
        <v>40480</v>
      </c>
      <c r="B215">
        <v>5.1524999999999901</v>
      </c>
      <c r="C215" s="27">
        <f t="shared" si="7"/>
        <v>1.7958748221906129E-2</v>
      </c>
      <c r="D215" s="2">
        <f t="shared" si="6"/>
        <v>0.13080215077362034</v>
      </c>
    </row>
    <row r="216" spans="1:4" x14ac:dyDescent="0.2">
      <c r="A216" s="25">
        <v>40512</v>
      </c>
      <c r="B216">
        <v>5.1599999999999904</v>
      </c>
      <c r="C216" s="27">
        <f t="shared" si="7"/>
        <v>1.4556040756914523E-3</v>
      </c>
      <c r="D216" s="2">
        <f t="shared" si="6"/>
        <v>0.10846168718180094</v>
      </c>
    </row>
    <row r="217" spans="1:4" x14ac:dyDescent="0.2">
      <c r="A217" s="25">
        <v>40543</v>
      </c>
      <c r="B217">
        <v>5.3625999999999898</v>
      </c>
      <c r="C217" s="27">
        <f t="shared" si="7"/>
        <v>3.926356589147284E-2</v>
      </c>
      <c r="D217" s="2">
        <f t="shared" si="6"/>
        <v>0.1262890387079163</v>
      </c>
    </row>
    <row r="218" spans="1:4" x14ac:dyDescent="0.2">
      <c r="A218" s="25">
        <v>40574</v>
      </c>
      <c r="B218">
        <v>5.45929999999999</v>
      </c>
      <c r="C218" s="27">
        <f t="shared" si="7"/>
        <v>1.8032297766009009E-2</v>
      </c>
      <c r="D218" s="2">
        <f t="shared" ref="D218:D281" si="8">B218/B206-1</f>
        <v>0.1305707422133866</v>
      </c>
    </row>
    <row r="219" spans="1:4" x14ac:dyDescent="0.2">
      <c r="A219" s="25">
        <v>40602</v>
      </c>
      <c r="B219">
        <v>5.5380999999999903</v>
      </c>
      <c r="C219" s="27">
        <f t="shared" si="7"/>
        <v>1.443408495594678E-2</v>
      </c>
      <c r="D219" s="2">
        <f t="shared" si="8"/>
        <v>0.14189983298624753</v>
      </c>
    </row>
    <row r="220" spans="1:4" x14ac:dyDescent="0.2">
      <c r="A220" s="25">
        <v>40633</v>
      </c>
      <c r="B220">
        <v>5.5237999999999898</v>
      </c>
      <c r="C220" s="27">
        <f t="shared" si="7"/>
        <v>-2.5821129990430958E-3</v>
      </c>
      <c r="D220" s="2">
        <f t="shared" si="8"/>
        <v>0.10739560153164529</v>
      </c>
    </row>
    <row r="221" spans="1:4" x14ac:dyDescent="0.2">
      <c r="A221" s="25">
        <v>40662</v>
      </c>
      <c r="B221">
        <v>5.5866999999999898</v>
      </c>
      <c r="C221" s="27">
        <f t="shared" si="7"/>
        <v>1.138708859842863E-2</v>
      </c>
      <c r="D221" s="2">
        <f t="shared" si="8"/>
        <v>9.9224775696521439E-2</v>
      </c>
    </row>
    <row r="222" spans="1:4" x14ac:dyDescent="0.2">
      <c r="A222" s="25">
        <v>40694</v>
      </c>
      <c r="B222">
        <v>5.5527999999999897</v>
      </c>
      <c r="C222" s="27">
        <f t="shared" si="7"/>
        <v>-6.0679828879303122E-3</v>
      </c>
      <c r="D222" s="2">
        <f t="shared" si="8"/>
        <v>0.12717455290989199</v>
      </c>
    </row>
    <row r="223" spans="1:4" x14ac:dyDescent="0.2">
      <c r="A223" s="25">
        <v>40724</v>
      </c>
      <c r="B223">
        <v>5.4328999999999903</v>
      </c>
      <c r="C223" s="27">
        <f t="shared" si="7"/>
        <v>-2.1592709984152081E-2</v>
      </c>
      <c r="D223" s="2">
        <f t="shared" si="8"/>
        <v>0.12048590343803522</v>
      </c>
    </row>
    <row r="224" spans="1:4" x14ac:dyDescent="0.2">
      <c r="A224" s="25">
        <v>40753</v>
      </c>
      <c r="B224">
        <v>5.3906999999999901</v>
      </c>
      <c r="C224" s="27">
        <f t="shared" si="7"/>
        <v>-7.7674906587642534E-3</v>
      </c>
      <c r="D224" s="2">
        <f t="shared" si="8"/>
        <v>9.4691739095118521E-2</v>
      </c>
    </row>
    <row r="225" spans="1:4" x14ac:dyDescent="0.2">
      <c r="A225" s="25">
        <v>40786</v>
      </c>
      <c r="B225">
        <v>5.1012999999999904</v>
      </c>
      <c r="C225" s="27">
        <f t="shared" si="7"/>
        <v>-5.3685050179012039E-2</v>
      </c>
      <c r="D225" s="2">
        <f t="shared" si="8"/>
        <v>4.0105207356359474E-2</v>
      </c>
    </row>
    <row r="226" spans="1:4" x14ac:dyDescent="0.2">
      <c r="A226" s="25">
        <v>40816</v>
      </c>
      <c r="B226">
        <v>4.84309999999999</v>
      </c>
      <c r="C226" s="27">
        <f t="shared" si="7"/>
        <v>-5.0614549232548711E-2</v>
      </c>
      <c r="D226" s="2">
        <f t="shared" si="8"/>
        <v>-4.3168168168168153E-2</v>
      </c>
    </row>
    <row r="227" spans="1:4" x14ac:dyDescent="0.2">
      <c r="A227" s="25">
        <v>40847</v>
      </c>
      <c r="B227">
        <v>4.9669999999999899</v>
      </c>
      <c r="C227" s="27">
        <f t="shared" si="7"/>
        <v>2.5582787883793534E-2</v>
      </c>
      <c r="D227" s="2">
        <f t="shared" si="8"/>
        <v>-3.6001940805434396E-2</v>
      </c>
    </row>
    <row r="228" spans="1:4" x14ac:dyDescent="0.2">
      <c r="A228" s="25">
        <v>40877</v>
      </c>
      <c r="B228">
        <v>4.9147999999999898</v>
      </c>
      <c r="C228" s="27">
        <f t="shared" si="7"/>
        <v>-1.0509361787799487E-2</v>
      </c>
      <c r="D228" s="2">
        <f t="shared" si="8"/>
        <v>-4.7519379844961462E-2</v>
      </c>
    </row>
    <row r="229" spans="1:4" x14ac:dyDescent="0.2">
      <c r="A229" s="25">
        <v>40907</v>
      </c>
      <c r="B229">
        <v>4.8751999999999898</v>
      </c>
      <c r="C229" s="27">
        <f t="shared" si="7"/>
        <v>-8.0572963294539557E-3</v>
      </c>
      <c r="D229" s="2">
        <f t="shared" si="8"/>
        <v>-9.0888747995375607E-2</v>
      </c>
    </row>
    <row r="230" spans="1:4" x14ac:dyDescent="0.2">
      <c r="A230" s="25">
        <v>40939</v>
      </c>
      <c r="B230">
        <v>5.01189999999999</v>
      </c>
      <c r="C230" s="27">
        <f t="shared" si="7"/>
        <v>2.8039875287167781E-2</v>
      </c>
      <c r="D230" s="2">
        <f t="shared" si="8"/>
        <v>-8.1951898595058137E-2</v>
      </c>
    </row>
    <row r="231" spans="1:4" x14ac:dyDescent="0.2">
      <c r="A231" s="25">
        <v>40968</v>
      </c>
      <c r="B231">
        <v>5.09119999999999</v>
      </c>
      <c r="C231" s="27">
        <f t="shared" si="7"/>
        <v>1.5822342824078683E-2</v>
      </c>
      <c r="D231" s="2">
        <f t="shared" si="8"/>
        <v>-8.0695545403658531E-2</v>
      </c>
    </row>
    <row r="232" spans="1:4" x14ac:dyDescent="0.2">
      <c r="A232" s="25">
        <v>40998</v>
      </c>
      <c r="B232">
        <v>5.1312999999999898</v>
      </c>
      <c r="C232" s="27">
        <f t="shared" si="7"/>
        <v>7.8763356379634164E-3</v>
      </c>
      <c r="D232" s="2">
        <f t="shared" si="8"/>
        <v>-7.1056156993374309E-2</v>
      </c>
    </row>
    <row r="233" spans="1:4" x14ac:dyDescent="0.2">
      <c r="A233" s="25">
        <v>41029</v>
      </c>
      <c r="B233">
        <v>5.1196999999999901</v>
      </c>
      <c r="C233" s="27">
        <f t="shared" si="7"/>
        <v>-2.2606357063511551E-3</v>
      </c>
      <c r="D233" s="2">
        <f t="shared" si="8"/>
        <v>-8.3591386686237001E-2</v>
      </c>
    </row>
    <row r="234" spans="1:4" x14ac:dyDescent="0.2">
      <c r="A234" s="25">
        <v>41060</v>
      </c>
      <c r="B234">
        <v>5.0518999999999901</v>
      </c>
      <c r="C234" s="27">
        <f t="shared" si="7"/>
        <v>-1.3242963454889956E-2</v>
      </c>
      <c r="D234" s="2">
        <f t="shared" si="8"/>
        <v>-9.0206742544302054E-2</v>
      </c>
    </row>
    <row r="235" spans="1:4" x14ac:dyDescent="0.2">
      <c r="A235" s="25">
        <v>41089</v>
      </c>
      <c r="B235">
        <v>5.04279999999999</v>
      </c>
      <c r="C235" s="27">
        <f t="shared" si="7"/>
        <v>-1.8013024802550071E-3</v>
      </c>
      <c r="D235" s="2">
        <f t="shared" si="8"/>
        <v>-7.1803272653647388E-2</v>
      </c>
    </row>
    <row r="236" spans="1:4" x14ac:dyDescent="0.2">
      <c r="A236" s="25">
        <v>41121</v>
      </c>
      <c r="B236">
        <v>5.0802999999999896</v>
      </c>
      <c r="C236" s="27">
        <f t="shared" si="7"/>
        <v>7.4363448877607929E-3</v>
      </c>
      <c r="D236" s="2">
        <f t="shared" si="8"/>
        <v>-5.7580648153301217E-2</v>
      </c>
    </row>
    <row r="237" spans="1:4" x14ac:dyDescent="0.2">
      <c r="A237" s="25">
        <v>41152</v>
      </c>
      <c r="B237">
        <v>5.1400999999999897</v>
      </c>
      <c r="C237" s="27">
        <f t="shared" si="7"/>
        <v>1.1770958407968157E-2</v>
      </c>
      <c r="D237" s="2">
        <f t="shared" si="8"/>
        <v>7.6059043773155643E-3</v>
      </c>
    </row>
    <row r="238" spans="1:4" x14ac:dyDescent="0.2">
      <c r="A238" s="25">
        <v>41180</v>
      </c>
      <c r="B238">
        <v>5.22569999999999</v>
      </c>
      <c r="C238" s="27">
        <f t="shared" si="7"/>
        <v>1.6653372502480668E-2</v>
      </c>
      <c r="D238" s="2">
        <f t="shared" si="8"/>
        <v>7.8998988251326896E-2</v>
      </c>
    </row>
    <row r="239" spans="1:4" x14ac:dyDescent="0.2">
      <c r="A239" s="25">
        <v>41213</v>
      </c>
      <c r="B239">
        <v>5.2734999999999896</v>
      </c>
      <c r="C239" s="27">
        <f t="shared" si="7"/>
        <v>9.1470999100597972E-3</v>
      </c>
      <c r="D239" s="2">
        <f t="shared" si="8"/>
        <v>6.1707267968592827E-2</v>
      </c>
    </row>
    <row r="240" spans="1:4" x14ac:dyDescent="0.2">
      <c r="A240" s="25">
        <v>41243</v>
      </c>
      <c r="B240">
        <v>5.2890999999999897</v>
      </c>
      <c r="C240" s="27">
        <f t="shared" si="7"/>
        <v>2.9581871622261779E-3</v>
      </c>
      <c r="D240" s="2">
        <f t="shared" si="8"/>
        <v>7.6157727679661669E-2</v>
      </c>
    </row>
    <row r="241" spans="1:4" x14ac:dyDescent="0.2">
      <c r="A241" s="25">
        <v>41274</v>
      </c>
      <c r="B241">
        <v>5.3935999999999904</v>
      </c>
      <c r="C241" s="27">
        <f t="shared" si="7"/>
        <v>1.9757614717059724E-2</v>
      </c>
      <c r="D241" s="2">
        <f t="shared" si="8"/>
        <v>0.10633409911388281</v>
      </c>
    </row>
    <row r="242" spans="1:4" x14ac:dyDescent="0.2">
      <c r="A242" s="25">
        <v>41305</v>
      </c>
      <c r="B242">
        <v>5.5094999999999903</v>
      </c>
      <c r="C242" s="27">
        <f t="shared" si="7"/>
        <v>2.1488430732720332E-2</v>
      </c>
      <c r="D242" s="2">
        <f t="shared" si="8"/>
        <v>9.928370478261761E-2</v>
      </c>
    </row>
    <row r="243" spans="1:4" x14ac:dyDescent="0.2">
      <c r="A243" s="25">
        <v>41333</v>
      </c>
      <c r="B243">
        <v>5.5345999999999904</v>
      </c>
      <c r="C243" s="27">
        <f t="shared" si="7"/>
        <v>4.5557673110083741E-3</v>
      </c>
      <c r="D243" s="2">
        <f t="shared" si="8"/>
        <v>8.7091451917033602E-2</v>
      </c>
    </row>
    <row r="244" spans="1:4" x14ac:dyDescent="0.2">
      <c r="A244" s="25">
        <v>41362</v>
      </c>
      <c r="B244">
        <v>5.6512999999999902</v>
      </c>
      <c r="C244" s="27">
        <f t="shared" si="7"/>
        <v>2.1085534636649417E-2</v>
      </c>
      <c r="D244" s="2">
        <f t="shared" si="8"/>
        <v>0.10133884200884791</v>
      </c>
    </row>
    <row r="245" spans="1:4" x14ac:dyDescent="0.2">
      <c r="A245" s="25">
        <v>41394</v>
      </c>
      <c r="B245">
        <v>5.7188999999999899</v>
      </c>
      <c r="C245" s="27">
        <f t="shared" si="7"/>
        <v>1.196184948595902E-2</v>
      </c>
      <c r="D245" s="2">
        <f t="shared" si="8"/>
        <v>0.11703810770162337</v>
      </c>
    </row>
    <row r="246" spans="1:4" x14ac:dyDescent="0.2">
      <c r="A246" s="25">
        <v>41425</v>
      </c>
      <c r="B246">
        <v>5.8489999999999798</v>
      </c>
      <c r="C246" s="27">
        <f t="shared" si="7"/>
        <v>2.2749130077460711E-2</v>
      </c>
      <c r="D246" s="2">
        <f t="shared" si="8"/>
        <v>0.15778222055068225</v>
      </c>
    </row>
    <row r="247" spans="1:4" x14ac:dyDescent="0.2">
      <c r="A247" s="25">
        <v>41453</v>
      </c>
      <c r="B247">
        <v>5.7722999999999898</v>
      </c>
      <c r="C247" s="27">
        <f t="shared" si="7"/>
        <v>-1.3113352709863246E-2</v>
      </c>
      <c r="D247" s="2">
        <f t="shared" si="8"/>
        <v>0.14466169588323963</v>
      </c>
    </row>
    <row r="248" spans="1:4" x14ac:dyDescent="0.2">
      <c r="A248" s="25">
        <v>41486</v>
      </c>
      <c r="B248">
        <v>5.8596999999999797</v>
      </c>
      <c r="C248" s="27">
        <f t="shared" si="7"/>
        <v>1.514127817334332E-2</v>
      </c>
      <c r="D248" s="2">
        <f t="shared" si="8"/>
        <v>0.15341613684231081</v>
      </c>
    </row>
    <row r="249" spans="1:4" x14ac:dyDescent="0.2">
      <c r="A249" s="25">
        <v>41516</v>
      </c>
      <c r="B249">
        <v>5.8571999999999802</v>
      </c>
      <c r="C249" s="27">
        <f t="shared" si="7"/>
        <v>-4.2664300220141005E-4</v>
      </c>
      <c r="D249" s="2">
        <f t="shared" si="8"/>
        <v>0.13951090445711012</v>
      </c>
    </row>
    <row r="250" spans="1:4" x14ac:dyDescent="0.2">
      <c r="A250" s="25">
        <v>41547</v>
      </c>
      <c r="B250">
        <v>5.9421999999999802</v>
      </c>
      <c r="C250" s="27">
        <f t="shared" si="7"/>
        <v>1.4512053540941094E-2</v>
      </c>
      <c r="D250" s="2">
        <f t="shared" si="8"/>
        <v>0.13711081768949462</v>
      </c>
    </row>
    <row r="251" spans="1:4" x14ac:dyDescent="0.2">
      <c r="A251" s="25">
        <v>41578</v>
      </c>
      <c r="B251">
        <v>6.0280999999999798</v>
      </c>
      <c r="C251" s="27">
        <f t="shared" si="7"/>
        <v>1.445592541482954E-2</v>
      </c>
      <c r="D251" s="2">
        <f t="shared" si="8"/>
        <v>0.14309282260358236</v>
      </c>
    </row>
    <row r="252" spans="1:4" x14ac:dyDescent="0.2">
      <c r="A252" s="25">
        <v>41607</v>
      </c>
      <c r="B252">
        <v>6.1291999999999804</v>
      </c>
      <c r="C252" s="27">
        <f t="shared" si="7"/>
        <v>1.6771453691876603E-2</v>
      </c>
      <c r="D252" s="2">
        <f t="shared" si="8"/>
        <v>0.15883609687848455</v>
      </c>
    </row>
    <row r="253" spans="1:4" x14ac:dyDescent="0.2">
      <c r="A253" s="25">
        <v>41639</v>
      </c>
      <c r="B253">
        <v>6.2277999999999798</v>
      </c>
      <c r="C253" s="27">
        <f t="shared" si="7"/>
        <v>1.6086928147229562E-2</v>
      </c>
      <c r="D253" s="2">
        <f t="shared" si="8"/>
        <v>0.15466478789676485</v>
      </c>
    </row>
    <row r="254" spans="1:4" x14ac:dyDescent="0.2">
      <c r="A254" s="25">
        <v>41670</v>
      </c>
      <c r="B254">
        <v>6.2456999999999798</v>
      </c>
      <c r="C254" s="27">
        <f t="shared" si="7"/>
        <v>2.8742091910465284E-3</v>
      </c>
      <c r="D254" s="2">
        <f t="shared" si="8"/>
        <v>0.13362374081132433</v>
      </c>
    </row>
    <row r="255" spans="1:4" x14ac:dyDescent="0.2">
      <c r="A255" s="25">
        <v>41698</v>
      </c>
      <c r="B255">
        <v>6.4171999999999798</v>
      </c>
      <c r="C255" s="27">
        <f t="shared" si="7"/>
        <v>2.7458891717501821E-2</v>
      </c>
      <c r="D255" s="2">
        <f t="shared" si="8"/>
        <v>0.15946951902576356</v>
      </c>
    </row>
    <row r="256" spans="1:4" x14ac:dyDescent="0.2">
      <c r="A256" s="25">
        <v>41729</v>
      </c>
      <c r="B256">
        <v>6.4081999999999804</v>
      </c>
      <c r="C256" s="27">
        <f t="shared" si="7"/>
        <v>-1.4024808327618432E-3</v>
      </c>
      <c r="D256" s="2">
        <f t="shared" si="8"/>
        <v>0.13393378514677878</v>
      </c>
    </row>
    <row r="257" spans="1:4" x14ac:dyDescent="0.2">
      <c r="A257" s="25">
        <v>41759</v>
      </c>
      <c r="B257">
        <v>6.4099999999999797</v>
      </c>
      <c r="C257" s="27">
        <f t="shared" si="7"/>
        <v>2.8089010954701621E-4</v>
      </c>
      <c r="D257" s="2">
        <f t="shared" si="8"/>
        <v>0.12084491772893236</v>
      </c>
    </row>
    <row r="258" spans="1:4" x14ac:dyDescent="0.2">
      <c r="A258" s="25">
        <v>41789</v>
      </c>
      <c r="B258">
        <v>6.4783999999999802</v>
      </c>
      <c r="C258" s="27">
        <f t="shared" si="7"/>
        <v>1.0670826833073521E-2</v>
      </c>
      <c r="D258" s="2">
        <f t="shared" si="8"/>
        <v>0.10760813814327275</v>
      </c>
    </row>
    <row r="259" spans="1:4" x14ac:dyDescent="0.2">
      <c r="A259" s="25">
        <v>41820</v>
      </c>
      <c r="B259">
        <v>6.5858999999999801</v>
      </c>
      <c r="C259" s="27">
        <f t="shared" si="7"/>
        <v>1.659360335885407E-2</v>
      </c>
      <c r="D259" s="2">
        <f t="shared" si="8"/>
        <v>0.14094901512395253</v>
      </c>
    </row>
    <row r="260" spans="1:4" x14ac:dyDescent="0.2">
      <c r="A260" s="25">
        <v>41851</v>
      </c>
      <c r="B260">
        <v>6.5467999999999797</v>
      </c>
      <c r="C260" s="27">
        <f t="shared" si="7"/>
        <v>-5.936925856754649E-3</v>
      </c>
      <c r="D260" s="2">
        <f t="shared" si="8"/>
        <v>0.11725856272505464</v>
      </c>
    </row>
    <row r="261" spans="1:4" x14ac:dyDescent="0.2">
      <c r="A261" s="25">
        <v>41880</v>
      </c>
      <c r="B261">
        <v>6.55469999999998</v>
      </c>
      <c r="C261" s="27">
        <f t="shared" si="7"/>
        <v>1.2066964012953374E-3</v>
      </c>
      <c r="D261" s="2">
        <f t="shared" si="8"/>
        <v>0.11908420405654607</v>
      </c>
    </row>
    <row r="262" spans="1:4" x14ac:dyDescent="0.2">
      <c r="A262" s="25">
        <v>41912</v>
      </c>
      <c r="B262">
        <v>6.4650999999999801</v>
      </c>
      <c r="C262" s="27">
        <f t="shared" si="7"/>
        <v>-1.3669580606282539E-2</v>
      </c>
      <c r="D262" s="2">
        <f t="shared" si="8"/>
        <v>8.7997711285382696E-2</v>
      </c>
    </row>
    <row r="263" spans="1:4" x14ac:dyDescent="0.2">
      <c r="A263" s="25">
        <v>41943</v>
      </c>
      <c r="B263">
        <v>6.3252999999999799</v>
      </c>
      <c r="C263" s="27">
        <f t="shared" si="7"/>
        <v>-2.1623795455600114E-2</v>
      </c>
      <c r="D263" s="2">
        <f t="shared" si="8"/>
        <v>4.9302433602627982E-2</v>
      </c>
    </row>
    <row r="264" spans="1:4" x14ac:dyDescent="0.2">
      <c r="A264" s="25">
        <v>41971</v>
      </c>
      <c r="B264">
        <v>6.3603999999999798</v>
      </c>
      <c r="C264" s="27">
        <f t="shared" si="7"/>
        <v>5.5491439141226451E-3</v>
      </c>
      <c r="D264" s="2">
        <f t="shared" si="8"/>
        <v>3.7721072896952368E-2</v>
      </c>
    </row>
    <row r="265" spans="1:4" x14ac:dyDescent="0.2">
      <c r="A265" s="25">
        <v>42004</v>
      </c>
      <c r="B265">
        <v>6.3256999999999799</v>
      </c>
      <c r="C265" s="27">
        <f t="shared" si="7"/>
        <v>-5.4556317212753891E-3</v>
      </c>
      <c r="D265" s="2">
        <f t="shared" si="8"/>
        <v>1.5719836860528691E-2</v>
      </c>
    </row>
    <row r="266" spans="1:4" x14ac:dyDescent="0.2">
      <c r="A266" s="25">
        <v>42034</v>
      </c>
      <c r="B266">
        <v>6.2621999999999796</v>
      </c>
      <c r="C266" s="27">
        <f t="shared" si="7"/>
        <v>-1.0038414720900501E-2</v>
      </c>
      <c r="D266" s="2">
        <f t="shared" si="8"/>
        <v>2.641817570488536E-3</v>
      </c>
    </row>
    <row r="267" spans="1:4" x14ac:dyDescent="0.2">
      <c r="A267" s="25">
        <v>42062</v>
      </c>
      <c r="B267">
        <v>6.4027999999999796</v>
      </c>
      <c r="C267" s="27">
        <f t="shared" si="7"/>
        <v>2.2452173357605965E-2</v>
      </c>
      <c r="D267" s="2">
        <f t="shared" si="8"/>
        <v>-2.2439693324192156E-3</v>
      </c>
    </row>
    <row r="268" spans="1:4" x14ac:dyDescent="0.2">
      <c r="A268" s="25">
        <v>42094</v>
      </c>
      <c r="B268">
        <v>6.4260999999999804</v>
      </c>
      <c r="C268" s="27">
        <f t="shared" si="7"/>
        <v>3.6390329230961971E-3</v>
      </c>
      <c r="D268" s="2">
        <f t="shared" si="8"/>
        <v>2.7932960893854997E-3</v>
      </c>
    </row>
    <row r="269" spans="1:4" x14ac:dyDescent="0.2">
      <c r="A269" s="25">
        <v>42124</v>
      </c>
      <c r="B269">
        <v>6.4806999999999801</v>
      </c>
      <c r="C269" s="27">
        <f t="shared" si="7"/>
        <v>8.4965998039245871E-3</v>
      </c>
      <c r="D269" s="2">
        <f t="shared" si="8"/>
        <v>1.1029641185647421E-2</v>
      </c>
    </row>
    <row r="270" spans="1:4" x14ac:dyDescent="0.2">
      <c r="A270" s="25">
        <v>42153</v>
      </c>
      <c r="B270">
        <v>6.5354999999999803</v>
      </c>
      <c r="C270" s="27">
        <f t="shared" si="7"/>
        <v>8.4558766799882612E-3</v>
      </c>
      <c r="D270" s="2">
        <f t="shared" si="8"/>
        <v>8.8139046678192834E-3</v>
      </c>
    </row>
    <row r="271" spans="1:4" x14ac:dyDescent="0.2">
      <c r="A271" s="25">
        <v>42185</v>
      </c>
      <c r="B271">
        <v>6.4546999999999803</v>
      </c>
      <c r="C271" s="27">
        <f t="shared" ref="C271:C334" si="9">B271/B270-1</f>
        <v>-1.2363246882411527E-2</v>
      </c>
      <c r="D271" s="2">
        <f t="shared" si="8"/>
        <v>-1.9921347120363198E-2</v>
      </c>
    </row>
    <row r="272" spans="1:4" x14ac:dyDescent="0.2">
      <c r="A272" s="25">
        <v>42216</v>
      </c>
      <c r="B272">
        <v>6.4663999999999797</v>
      </c>
      <c r="C272" s="27">
        <f t="shared" si="9"/>
        <v>1.8126326552743155E-3</v>
      </c>
      <c r="D272" s="2">
        <f t="shared" si="8"/>
        <v>-1.2280808944828081E-2</v>
      </c>
    </row>
    <row r="273" spans="1:4" x14ac:dyDescent="0.2">
      <c r="A273" s="25">
        <v>42247</v>
      </c>
      <c r="B273">
        <v>6.2846999999999804</v>
      </c>
      <c r="C273" s="27">
        <f t="shared" si="9"/>
        <v>-2.8099096869974027E-2</v>
      </c>
      <c r="D273" s="2">
        <f t="shared" si="8"/>
        <v>-4.1191816559110306E-2</v>
      </c>
    </row>
    <row r="274" spans="1:4" x14ac:dyDescent="0.2">
      <c r="A274" s="25">
        <v>42277</v>
      </c>
      <c r="B274">
        <v>6.0684999999999798</v>
      </c>
      <c r="C274" s="27">
        <f t="shared" si="9"/>
        <v>-3.4401005616815694E-2</v>
      </c>
      <c r="D274" s="2">
        <f t="shared" si="8"/>
        <v>-6.1344758781766928E-2</v>
      </c>
    </row>
    <row r="275" spans="1:4" x14ac:dyDescent="0.2">
      <c r="A275" s="25">
        <v>42307</v>
      </c>
      <c r="B275">
        <v>6.0770999999999802</v>
      </c>
      <c r="C275" s="27">
        <f t="shared" si="9"/>
        <v>1.4171541567109536E-3</v>
      </c>
      <c r="D275" s="2">
        <f t="shared" si="8"/>
        <v>-3.9239245569380188E-2</v>
      </c>
    </row>
    <row r="276" spans="1:4" x14ac:dyDescent="0.2">
      <c r="A276" s="25">
        <v>42338</v>
      </c>
      <c r="B276">
        <v>6.00589999999998</v>
      </c>
      <c r="C276" s="27">
        <f t="shared" si="9"/>
        <v>-1.1716114594132132E-2</v>
      </c>
      <c r="D276" s="2">
        <f t="shared" si="8"/>
        <v>-5.5735488334067163E-2</v>
      </c>
    </row>
    <row r="277" spans="1:4" x14ac:dyDescent="0.2">
      <c r="A277" s="25">
        <v>42369</v>
      </c>
      <c r="B277">
        <v>5.9279999999999804</v>
      </c>
      <c r="C277" s="27">
        <f t="shared" si="9"/>
        <v>-1.2970578930718069E-2</v>
      </c>
      <c r="D277" s="2">
        <f t="shared" si="8"/>
        <v>-6.2870512354364028E-2</v>
      </c>
    </row>
    <row r="278" spans="1:4" x14ac:dyDescent="0.2">
      <c r="A278" s="25">
        <v>42398</v>
      </c>
      <c r="B278">
        <v>5.7474999999999801</v>
      </c>
      <c r="C278" s="27">
        <f t="shared" si="9"/>
        <v>-3.0448717948718063E-2</v>
      </c>
      <c r="D278" s="2">
        <f t="shared" si="8"/>
        <v>-8.2191562070837887E-2</v>
      </c>
    </row>
    <row r="279" spans="1:4" x14ac:dyDescent="0.2">
      <c r="A279" s="25">
        <v>42429</v>
      </c>
      <c r="B279">
        <v>5.6432999999999804</v>
      </c>
      <c r="C279" s="27">
        <f t="shared" si="9"/>
        <v>-1.8129621574597632E-2</v>
      </c>
      <c r="D279" s="2">
        <f t="shared" si="8"/>
        <v>-0.11861997875929309</v>
      </c>
    </row>
    <row r="280" spans="1:4" x14ac:dyDescent="0.2">
      <c r="A280" s="25">
        <v>42460</v>
      </c>
      <c r="B280">
        <v>5.6599999999999797</v>
      </c>
      <c r="C280" s="27">
        <f t="shared" si="9"/>
        <v>2.9592614250526506E-3</v>
      </c>
      <c r="D280" s="2">
        <f t="shared" si="8"/>
        <v>-0.1192169434026864</v>
      </c>
    </row>
    <row r="281" spans="1:4" x14ac:dyDescent="0.2">
      <c r="A281" s="25">
        <v>42489</v>
      </c>
      <c r="B281">
        <v>5.7545999999999804</v>
      </c>
      <c r="C281" s="27">
        <f t="shared" si="9"/>
        <v>1.6713780918728105E-2</v>
      </c>
      <c r="D281" s="2">
        <f t="shared" si="8"/>
        <v>-0.11204036600984491</v>
      </c>
    </row>
    <row r="282" spans="1:4" x14ac:dyDescent="0.2">
      <c r="A282" s="25">
        <v>42521</v>
      </c>
      <c r="B282">
        <v>5.8129999999999802</v>
      </c>
      <c r="C282" s="27">
        <f t="shared" si="9"/>
        <v>1.0148403016717156E-2</v>
      </c>
      <c r="D282" s="2">
        <f t="shared" ref="D282:D345" si="10">B282/B270-1</f>
        <v>-0.11055007267997896</v>
      </c>
    </row>
    <row r="283" spans="1:4" x14ac:dyDescent="0.2">
      <c r="A283" s="25">
        <v>42551</v>
      </c>
      <c r="B283">
        <v>5.7811999999999797</v>
      </c>
      <c r="C283" s="27">
        <f t="shared" si="9"/>
        <v>-5.4704971615345821E-3</v>
      </c>
      <c r="D283" s="2">
        <f t="shared" si="10"/>
        <v>-0.10434257207926045</v>
      </c>
    </row>
    <row r="284" spans="1:4" x14ac:dyDescent="0.2">
      <c r="A284" s="25">
        <v>42580</v>
      </c>
      <c r="B284">
        <v>5.8692999999999804</v>
      </c>
      <c r="C284" s="27">
        <f t="shared" si="9"/>
        <v>1.5239050716114422E-2</v>
      </c>
      <c r="D284" s="2">
        <f t="shared" si="10"/>
        <v>-9.2338859334405776E-2</v>
      </c>
    </row>
    <row r="285" spans="1:4" x14ac:dyDescent="0.2">
      <c r="A285" s="25">
        <v>42613</v>
      </c>
      <c r="B285">
        <v>5.9472999999999798</v>
      </c>
      <c r="C285" s="27">
        <f t="shared" si="9"/>
        <v>1.328948937692731E-2</v>
      </c>
      <c r="D285" s="2">
        <f t="shared" si="10"/>
        <v>-5.3685935685076736E-2</v>
      </c>
    </row>
    <row r="286" spans="1:4" x14ac:dyDescent="0.2">
      <c r="A286" s="25">
        <v>42643</v>
      </c>
      <c r="B286">
        <v>5.9523999999999804</v>
      </c>
      <c r="C286" s="27">
        <f t="shared" si="9"/>
        <v>8.575319893062705E-4</v>
      </c>
      <c r="D286" s="2">
        <f t="shared" si="10"/>
        <v>-1.9131581115596874E-2</v>
      </c>
    </row>
    <row r="287" spans="1:4" x14ac:dyDescent="0.2">
      <c r="A287" s="25">
        <v>42674</v>
      </c>
      <c r="B287">
        <v>5.9474999999999802</v>
      </c>
      <c r="C287" s="27">
        <f t="shared" si="9"/>
        <v>-8.2319736576841329E-4</v>
      </c>
      <c r="D287" s="2">
        <f t="shared" si="10"/>
        <v>-2.1325961396060689E-2</v>
      </c>
    </row>
    <row r="288" spans="1:4" x14ac:dyDescent="0.2">
      <c r="A288" s="25">
        <v>42704</v>
      </c>
      <c r="B288">
        <v>6.0130999999999801</v>
      </c>
      <c r="C288" s="27">
        <f t="shared" si="9"/>
        <v>1.1029844472467465E-2</v>
      </c>
      <c r="D288" s="2">
        <f t="shared" si="10"/>
        <v>1.1988211591935638E-3</v>
      </c>
    </row>
    <row r="289" spans="1:4" x14ac:dyDescent="0.2">
      <c r="A289" s="25">
        <v>42734</v>
      </c>
      <c r="B289">
        <v>6.0869999999999802</v>
      </c>
      <c r="C289" s="27">
        <f t="shared" si="9"/>
        <v>1.2289833862733079E-2</v>
      </c>
      <c r="D289" s="2">
        <f t="shared" si="10"/>
        <v>2.6821862348178183E-2</v>
      </c>
    </row>
    <row r="290" spans="1:4" x14ac:dyDescent="0.2">
      <c r="A290" s="25">
        <v>42766</v>
      </c>
      <c r="B290">
        <v>6.1688999999999803</v>
      </c>
      <c r="C290" s="27">
        <f t="shared" si="9"/>
        <v>1.3454903893543646E-2</v>
      </c>
      <c r="D290" s="2">
        <f t="shared" si="10"/>
        <v>7.331883427577246E-2</v>
      </c>
    </row>
    <row r="291" spans="1:4" x14ac:dyDescent="0.2">
      <c r="A291" s="25">
        <v>42794</v>
      </c>
      <c r="B291">
        <v>6.2348999999999801</v>
      </c>
      <c r="C291" s="27">
        <f t="shared" si="9"/>
        <v>1.0698827992024595E-2</v>
      </c>
      <c r="D291" s="2">
        <f t="shared" si="10"/>
        <v>0.10483227898570013</v>
      </c>
    </row>
    <row r="292" spans="1:4" x14ac:dyDescent="0.2">
      <c r="A292" s="25">
        <v>42825</v>
      </c>
      <c r="B292">
        <v>6.2488999999999804</v>
      </c>
      <c r="C292" s="27">
        <f t="shared" si="9"/>
        <v>2.2454249466712373E-3</v>
      </c>
      <c r="D292" s="2">
        <f t="shared" si="10"/>
        <v>0.10404593639576021</v>
      </c>
    </row>
    <row r="293" spans="1:4" x14ac:dyDescent="0.2">
      <c r="A293" s="25">
        <v>42853</v>
      </c>
      <c r="B293">
        <v>6.2850999999999804</v>
      </c>
      <c r="C293" s="27">
        <f t="shared" si="9"/>
        <v>5.7930195714446242E-3</v>
      </c>
      <c r="D293" s="2">
        <f t="shared" si="10"/>
        <v>9.2187119869322265E-2</v>
      </c>
    </row>
    <row r="294" spans="1:4" x14ac:dyDescent="0.2">
      <c r="A294" s="25">
        <v>42886</v>
      </c>
      <c r="B294">
        <v>6.3456999999999804</v>
      </c>
      <c r="C294" s="27">
        <f t="shared" si="9"/>
        <v>9.6418513627467561E-3</v>
      </c>
      <c r="D294" s="2">
        <f t="shared" si="10"/>
        <v>9.1639428866334471E-2</v>
      </c>
    </row>
    <row r="295" spans="1:4" x14ac:dyDescent="0.2">
      <c r="A295" s="25">
        <v>42916</v>
      </c>
      <c r="B295">
        <v>6.3169999999999797</v>
      </c>
      <c r="C295" s="27">
        <f t="shared" si="9"/>
        <v>-4.5227476874104555E-3</v>
      </c>
      <c r="D295" s="2">
        <f t="shared" si="10"/>
        <v>9.2679720473258564E-2</v>
      </c>
    </row>
    <row r="296" spans="1:4" x14ac:dyDescent="0.2">
      <c r="A296" s="25">
        <v>42947</v>
      </c>
      <c r="B296">
        <v>6.39539999999998</v>
      </c>
      <c r="C296" s="27">
        <f t="shared" si="9"/>
        <v>1.2410954567041443E-2</v>
      </c>
      <c r="D296" s="2">
        <f t="shared" si="10"/>
        <v>8.9635902066686146E-2</v>
      </c>
    </row>
    <row r="297" spans="1:4" x14ac:dyDescent="0.2">
      <c r="A297" s="25">
        <v>42978</v>
      </c>
      <c r="B297">
        <v>6.3501999999999796</v>
      </c>
      <c r="C297" s="27">
        <f t="shared" si="9"/>
        <v>-7.0675798229978826E-3</v>
      </c>
      <c r="D297" s="2">
        <f t="shared" si="10"/>
        <v>6.7745027155179827E-2</v>
      </c>
    </row>
    <row r="298" spans="1:4" x14ac:dyDescent="0.2">
      <c r="A298" s="25">
        <v>43007</v>
      </c>
      <c r="B298">
        <v>6.3744999999999798</v>
      </c>
      <c r="C298" s="27">
        <f t="shared" si="9"/>
        <v>3.8266511290983019E-3</v>
      </c>
      <c r="D298" s="2">
        <f t="shared" si="10"/>
        <v>7.0912573079766394E-2</v>
      </c>
    </row>
    <row r="299" spans="1:4" x14ac:dyDescent="0.2">
      <c r="A299" s="25">
        <v>43039</v>
      </c>
      <c r="B299">
        <v>6.38969999999998</v>
      </c>
      <c r="C299" s="27">
        <f t="shared" si="9"/>
        <v>2.3845007451566147E-3</v>
      </c>
      <c r="D299" s="2">
        <f t="shared" si="10"/>
        <v>7.435056746532176E-2</v>
      </c>
    </row>
    <row r="300" spans="1:4" x14ac:dyDescent="0.2">
      <c r="A300" s="25">
        <v>43069</v>
      </c>
      <c r="B300">
        <v>6.3723999999999803</v>
      </c>
      <c r="C300" s="27">
        <f t="shared" si="9"/>
        <v>-2.7074823544140925E-3</v>
      </c>
      <c r="D300" s="2">
        <f t="shared" si="10"/>
        <v>5.9752872894181186E-2</v>
      </c>
    </row>
    <row r="301" spans="1:4" x14ac:dyDescent="0.2">
      <c r="A301" s="25">
        <v>43098</v>
      </c>
      <c r="B301">
        <v>6.4706999999999804</v>
      </c>
      <c r="C301" s="27">
        <f t="shared" si="9"/>
        <v>1.5425899190258052E-2</v>
      </c>
      <c r="D301" s="2">
        <f t="shared" si="10"/>
        <v>6.3035978314440744E-2</v>
      </c>
    </row>
    <row r="302" spans="1:4" x14ac:dyDescent="0.2">
      <c r="A302" s="25">
        <v>43131</v>
      </c>
      <c r="B302">
        <v>6.5746999999999796</v>
      </c>
      <c r="C302" s="27">
        <f t="shared" si="9"/>
        <v>1.6072449657687615E-2</v>
      </c>
      <c r="D302" s="2">
        <f t="shared" si="10"/>
        <v>6.5781581805508305E-2</v>
      </c>
    </row>
    <row r="303" spans="1:4" x14ac:dyDescent="0.2">
      <c r="A303" s="25">
        <v>43159</v>
      </c>
      <c r="B303">
        <v>6.4887999999999799</v>
      </c>
      <c r="C303" s="27">
        <f t="shared" si="9"/>
        <v>-1.3065234915661583E-2</v>
      </c>
      <c r="D303" s="2">
        <f t="shared" si="10"/>
        <v>4.0722385282843554E-2</v>
      </c>
    </row>
    <row r="304" spans="1:4" x14ac:dyDescent="0.2">
      <c r="A304" s="25">
        <v>43189</v>
      </c>
      <c r="B304">
        <v>6.4545999999999797</v>
      </c>
      <c r="C304" s="27">
        <f t="shared" si="9"/>
        <v>-5.2706201454815194E-3</v>
      </c>
      <c r="D304" s="2">
        <f t="shared" si="10"/>
        <v>3.2917793531661577E-2</v>
      </c>
    </row>
    <row r="305" spans="1:4" x14ac:dyDescent="0.2">
      <c r="A305" s="25">
        <v>43220</v>
      </c>
      <c r="B305">
        <v>6.4800999999999798</v>
      </c>
      <c r="C305" s="27">
        <f t="shared" si="9"/>
        <v>3.9506708394014822E-3</v>
      </c>
      <c r="D305" s="2">
        <f t="shared" si="10"/>
        <v>3.102575933557139E-2</v>
      </c>
    </row>
    <row r="306" spans="1:4" x14ac:dyDescent="0.2">
      <c r="A306" s="25">
        <v>43251</v>
      </c>
      <c r="B306">
        <v>6.51389999999998</v>
      </c>
      <c r="C306" s="27">
        <f t="shared" si="9"/>
        <v>5.2159688893691492E-3</v>
      </c>
      <c r="D306" s="2">
        <f t="shared" si="10"/>
        <v>2.6506138014718683E-2</v>
      </c>
    </row>
    <row r="307" spans="1:4" x14ac:dyDescent="0.2">
      <c r="A307" s="25">
        <v>43280</v>
      </c>
      <c r="B307">
        <v>6.5560999999999803</v>
      </c>
      <c r="C307" s="27">
        <f t="shared" si="9"/>
        <v>6.4784537680959708E-3</v>
      </c>
      <c r="D307" s="2">
        <f t="shared" si="10"/>
        <v>3.7850245369637658E-2</v>
      </c>
    </row>
    <row r="308" spans="1:4" x14ac:dyDescent="0.2">
      <c r="A308" s="25">
        <v>43312</v>
      </c>
      <c r="B308">
        <v>6.5968999999999802</v>
      </c>
      <c r="C308" s="27">
        <f t="shared" si="9"/>
        <v>6.2232119705312172E-3</v>
      </c>
      <c r="D308" s="2">
        <f t="shared" si="10"/>
        <v>3.1507020671107444E-2</v>
      </c>
    </row>
    <row r="309" spans="1:4" x14ac:dyDescent="0.2">
      <c r="A309" s="25">
        <v>43343</v>
      </c>
      <c r="B309">
        <v>6.6080999999999799</v>
      </c>
      <c r="C309" s="27">
        <f t="shared" si="9"/>
        <v>1.6977671330473676E-3</v>
      </c>
      <c r="D309" s="2">
        <f t="shared" si="10"/>
        <v>4.0612894082076245E-2</v>
      </c>
    </row>
    <row r="310" spans="1:4" x14ac:dyDescent="0.2">
      <c r="A310" s="25">
        <v>43371</v>
      </c>
      <c r="B310">
        <v>6.6235999999999802</v>
      </c>
      <c r="C310" s="27">
        <f t="shared" si="9"/>
        <v>2.3456061500279901E-3</v>
      </c>
      <c r="D310" s="2">
        <f t="shared" si="10"/>
        <v>3.9077574711742225E-2</v>
      </c>
    </row>
    <row r="311" spans="1:4" x14ac:dyDescent="0.2">
      <c r="A311" s="25">
        <v>43404</v>
      </c>
      <c r="B311">
        <v>6.44339999999998</v>
      </c>
      <c r="C311" s="27">
        <f t="shared" si="9"/>
        <v>-2.7205749139440849E-2</v>
      </c>
      <c r="D311" s="2">
        <f t="shared" si="10"/>
        <v>8.4041504295977454E-3</v>
      </c>
    </row>
    <row r="312" spans="1:4" x14ac:dyDescent="0.2">
      <c r="A312" s="25">
        <v>43434</v>
      </c>
      <c r="B312">
        <v>6.41709999999998</v>
      </c>
      <c r="C312" s="27">
        <f t="shared" si="9"/>
        <v>-4.0816959990067625E-3</v>
      </c>
      <c r="D312" s="2">
        <f t="shared" si="10"/>
        <v>7.0146255727825402E-3</v>
      </c>
    </row>
    <row r="313" spans="1:4" x14ac:dyDescent="0.2">
      <c r="A313" s="25">
        <v>43465</v>
      </c>
      <c r="B313">
        <v>6.2153999999999803</v>
      </c>
      <c r="C313" s="27">
        <f t="shared" si="9"/>
        <v>-3.143164357731687E-2</v>
      </c>
      <c r="D313" s="2">
        <f t="shared" si="10"/>
        <v>-3.9454773053920089E-2</v>
      </c>
    </row>
    <row r="314" spans="1:4" x14ac:dyDescent="0.2">
      <c r="A314" s="25">
        <v>43496</v>
      </c>
      <c r="B314">
        <v>6.3720999999999801</v>
      </c>
      <c r="C314" s="27">
        <f t="shared" si="9"/>
        <v>2.5211571258487053E-2</v>
      </c>
      <c r="D314" s="2">
        <f t="shared" si="10"/>
        <v>-3.081509422483153E-2</v>
      </c>
    </row>
    <row r="315" spans="1:4" x14ac:dyDescent="0.2">
      <c r="A315" s="25">
        <v>43524</v>
      </c>
      <c r="B315">
        <v>6.4750999999999799</v>
      </c>
      <c r="C315" s="27">
        <f t="shared" si="9"/>
        <v>1.6164215878595733E-2</v>
      </c>
      <c r="D315" s="2">
        <f t="shared" si="10"/>
        <v>-2.1113302921957899E-3</v>
      </c>
    </row>
    <row r="316" spans="1:4" x14ac:dyDescent="0.2">
      <c r="A316" s="25">
        <v>43553</v>
      </c>
      <c r="B316">
        <v>6.5234999999999799</v>
      </c>
      <c r="C316" s="27">
        <f t="shared" si="9"/>
        <v>7.4747880341616835E-3</v>
      </c>
      <c r="D316" s="2">
        <f t="shared" si="10"/>
        <v>1.0674557679794416E-2</v>
      </c>
    </row>
    <row r="317" spans="1:4" x14ac:dyDescent="0.2">
      <c r="A317" s="25">
        <v>43585</v>
      </c>
      <c r="B317">
        <v>6.6464999999999801</v>
      </c>
      <c r="C317" s="27">
        <f t="shared" si="9"/>
        <v>1.8854909174522927E-2</v>
      </c>
      <c r="D317" s="2">
        <f t="shared" si="10"/>
        <v>2.5678616070739846E-2</v>
      </c>
    </row>
    <row r="318" spans="1:4" x14ac:dyDescent="0.2">
      <c r="A318" s="25">
        <v>43616</v>
      </c>
      <c r="B318">
        <v>6.5719999999999796</v>
      </c>
      <c r="C318" s="27">
        <f t="shared" si="9"/>
        <v>-1.1208906943504182E-2</v>
      </c>
      <c r="D318" s="2">
        <f t="shared" si="10"/>
        <v>8.9193877707671732E-3</v>
      </c>
    </row>
    <row r="319" spans="1:4" x14ac:dyDescent="0.2">
      <c r="A319" s="25">
        <v>43644</v>
      </c>
      <c r="B319">
        <v>6.6785999999999799</v>
      </c>
      <c r="C319" s="27">
        <f t="shared" si="9"/>
        <v>1.622032866707257E-2</v>
      </c>
      <c r="D319" s="2">
        <f t="shared" si="10"/>
        <v>1.868488888210984E-2</v>
      </c>
    </row>
    <row r="320" spans="1:4" x14ac:dyDescent="0.2">
      <c r="A320" s="25">
        <v>43677</v>
      </c>
      <c r="B320">
        <v>6.6653999999999796</v>
      </c>
      <c r="C320" s="27">
        <f t="shared" si="9"/>
        <v>-1.9764621327823528E-3</v>
      </c>
      <c r="D320" s="2">
        <f t="shared" si="10"/>
        <v>1.0383665054798374E-2</v>
      </c>
    </row>
    <row r="321" spans="1:4" x14ac:dyDescent="0.2">
      <c r="A321" s="25">
        <v>43707</v>
      </c>
      <c r="B321">
        <v>6.5826999999999796</v>
      </c>
      <c r="C321" s="27">
        <f t="shared" si="9"/>
        <v>-1.2407357397905661E-2</v>
      </c>
      <c r="D321" s="2">
        <f t="shared" si="10"/>
        <v>-3.8437674974652891E-3</v>
      </c>
    </row>
    <row r="322" spans="1:4" x14ac:dyDescent="0.2">
      <c r="A322" s="25">
        <v>43738</v>
      </c>
      <c r="B322">
        <v>6.5793999999999802</v>
      </c>
      <c r="C322" s="27">
        <f t="shared" si="9"/>
        <v>-5.013140504654956E-4</v>
      </c>
      <c r="D322" s="2">
        <f t="shared" si="10"/>
        <v>-6.673108279485529E-3</v>
      </c>
    </row>
    <row r="323" spans="1:4" x14ac:dyDescent="0.2">
      <c r="A323" s="25">
        <v>43769</v>
      </c>
      <c r="B323">
        <v>6.5675999999999801</v>
      </c>
      <c r="C323" s="27">
        <f t="shared" si="9"/>
        <v>-1.7934766088093523E-3</v>
      </c>
      <c r="D323" s="2">
        <f t="shared" si="10"/>
        <v>1.9275537759567918E-2</v>
      </c>
    </row>
    <row r="324" spans="1:4" x14ac:dyDescent="0.2">
      <c r="A324" s="25">
        <v>43798</v>
      </c>
      <c r="B324">
        <v>6.6064999999999801</v>
      </c>
      <c r="C324" s="27">
        <f t="shared" si="9"/>
        <v>5.9230160180279157E-3</v>
      </c>
      <c r="D324" s="2">
        <f t="shared" si="10"/>
        <v>2.9514889903539121E-2</v>
      </c>
    </row>
    <row r="325" spans="1:4" x14ac:dyDescent="0.2">
      <c r="A325" s="25">
        <v>43830</v>
      </c>
      <c r="B325">
        <v>6.7259999999999804</v>
      </c>
      <c r="C325" s="27">
        <f t="shared" si="9"/>
        <v>1.808824642397644E-2</v>
      </c>
      <c r="D325" s="2">
        <f t="shared" si="10"/>
        <v>8.2150786755478711E-2</v>
      </c>
    </row>
    <row r="326" spans="1:4" x14ac:dyDescent="0.2">
      <c r="A326" s="25">
        <v>43861</v>
      </c>
      <c r="B326">
        <v>6.7326999999999799</v>
      </c>
      <c r="C326" s="27">
        <f t="shared" si="9"/>
        <v>9.9613440380608154E-4</v>
      </c>
      <c r="D326" s="2">
        <f t="shared" si="10"/>
        <v>5.6590448988559583E-2</v>
      </c>
    </row>
    <row r="327" spans="1:4" x14ac:dyDescent="0.2">
      <c r="A327" s="25">
        <v>43889</v>
      </c>
      <c r="B327">
        <v>6.5411999999999804</v>
      </c>
      <c r="C327" s="27">
        <f t="shared" si="9"/>
        <v>-2.8443269416430272E-2</v>
      </c>
      <c r="D327" s="2">
        <f t="shared" si="10"/>
        <v>1.0208336550787012E-2</v>
      </c>
    </row>
    <row r="328" spans="1:4" x14ac:dyDescent="0.2">
      <c r="A328" s="25">
        <v>43921</v>
      </c>
      <c r="B328">
        <v>5.6602999999999799</v>
      </c>
      <c r="C328" s="27">
        <f t="shared" si="9"/>
        <v>-0.13466947960618891</v>
      </c>
      <c r="D328" s="2">
        <f t="shared" si="10"/>
        <v>-0.1323216064995788</v>
      </c>
    </row>
    <row r="329" spans="1:4" x14ac:dyDescent="0.2">
      <c r="A329" s="25">
        <v>43951</v>
      </c>
      <c r="B329">
        <v>5.9059999999999802</v>
      </c>
      <c r="C329" s="27">
        <f t="shared" si="9"/>
        <v>4.3407593237107855E-2</v>
      </c>
      <c r="D329" s="2">
        <f t="shared" si="10"/>
        <v>-0.11141202136462836</v>
      </c>
    </row>
    <row r="330" spans="1:4" x14ac:dyDescent="0.2">
      <c r="A330" s="25">
        <v>43980</v>
      </c>
      <c r="B330">
        <v>6.0743999999999803</v>
      </c>
      <c r="C330" s="27">
        <f t="shared" si="9"/>
        <v>2.8513376227565335E-2</v>
      </c>
      <c r="D330" s="2">
        <f t="shared" si="10"/>
        <v>-7.571515520389549E-2</v>
      </c>
    </row>
    <row r="331" spans="1:4" x14ac:dyDescent="0.2">
      <c r="A331" s="25">
        <v>44012</v>
      </c>
      <c r="B331">
        <v>6.2168999999999803</v>
      </c>
      <c r="C331" s="27">
        <f t="shared" si="9"/>
        <v>2.3459107072303587E-2</v>
      </c>
      <c r="D331" s="2">
        <f t="shared" si="10"/>
        <v>-6.913125505345441E-2</v>
      </c>
    </row>
    <row r="332" spans="1:4" x14ac:dyDescent="0.2">
      <c r="A332" s="25">
        <v>44043</v>
      </c>
      <c r="B332">
        <v>6.3249999999999797</v>
      </c>
      <c r="C332" s="27">
        <f t="shared" si="9"/>
        <v>1.7388087310395761E-2</v>
      </c>
      <c r="D332" s="2">
        <f t="shared" si="10"/>
        <v>-5.1069703243616371E-2</v>
      </c>
    </row>
    <row r="333" spans="1:4" x14ac:dyDescent="0.2">
      <c r="A333" s="25">
        <v>44074</v>
      </c>
      <c r="B333">
        <v>6.5278999999999803</v>
      </c>
      <c r="C333" s="27">
        <f t="shared" si="9"/>
        <v>3.2079051383399504E-2</v>
      </c>
      <c r="D333" s="2">
        <f t="shared" si="10"/>
        <v>-8.3248515047016358E-3</v>
      </c>
    </row>
    <row r="334" spans="1:4" x14ac:dyDescent="0.2">
      <c r="A334" s="25">
        <v>44104</v>
      </c>
      <c r="B334">
        <v>6.5150999999999799</v>
      </c>
      <c r="C334" s="27">
        <f t="shared" si="9"/>
        <v>-1.9608143507100495E-3</v>
      </c>
      <c r="D334" s="2">
        <f t="shared" si="10"/>
        <v>-9.7729276225796413E-3</v>
      </c>
    </row>
    <row r="335" spans="1:4" x14ac:dyDescent="0.2">
      <c r="A335" s="25">
        <v>44134</v>
      </c>
      <c r="B335">
        <v>6.49449999999998</v>
      </c>
      <c r="C335" s="27">
        <f t="shared" ref="C335:C389" si="11">B335/B334-1</f>
        <v>-3.1618854660711015E-3</v>
      </c>
      <c r="D335" s="2">
        <f t="shared" si="10"/>
        <v>-1.1130397709970263E-2</v>
      </c>
    </row>
    <row r="336" spans="1:4" x14ac:dyDescent="0.2">
      <c r="A336" s="25">
        <v>44165</v>
      </c>
      <c r="B336">
        <v>6.9328999999999796</v>
      </c>
      <c r="C336" s="27">
        <f t="shared" si="11"/>
        <v>6.7503271999384218E-2</v>
      </c>
      <c r="D336" s="2">
        <f t="shared" si="10"/>
        <v>4.9405888140467757E-2</v>
      </c>
    </row>
    <row r="337" spans="1:4" x14ac:dyDescent="0.2">
      <c r="A337" s="25">
        <v>44196</v>
      </c>
      <c r="B337">
        <v>7.1934999999999798</v>
      </c>
      <c r="C337" s="27">
        <f t="shared" si="11"/>
        <v>3.7588887767024071E-2</v>
      </c>
      <c r="D337" s="2">
        <f t="shared" si="10"/>
        <v>6.9506393101397723E-2</v>
      </c>
    </row>
    <row r="338" spans="1:4" x14ac:dyDescent="0.2">
      <c r="A338" s="25">
        <v>44225</v>
      </c>
      <c r="B338">
        <v>7.2941999999999796</v>
      </c>
      <c r="C338" s="27">
        <f t="shared" si="11"/>
        <v>1.3998748870508004E-2</v>
      </c>
      <c r="D338" s="2">
        <f t="shared" si="10"/>
        <v>8.3398933563058053E-2</v>
      </c>
    </row>
    <row r="339" spans="1:4" x14ac:dyDescent="0.2">
      <c r="A339" s="25">
        <v>44253</v>
      </c>
      <c r="B339">
        <v>7.5237999999999703</v>
      </c>
      <c r="C339" s="27">
        <f t="shared" si="11"/>
        <v>3.147706396863148E-2</v>
      </c>
      <c r="D339" s="2">
        <f t="shared" si="10"/>
        <v>0.15021708555005087</v>
      </c>
    </row>
    <row r="340" spans="1:4" x14ac:dyDescent="0.2">
      <c r="A340" s="25">
        <v>44286</v>
      </c>
      <c r="B340">
        <v>7.6472999999999702</v>
      </c>
      <c r="C340" s="27">
        <f t="shared" si="11"/>
        <v>1.6414577739971792E-2</v>
      </c>
      <c r="D340" s="2">
        <f t="shared" si="10"/>
        <v>0.35104146423334415</v>
      </c>
    </row>
    <row r="341" spans="1:4" x14ac:dyDescent="0.2">
      <c r="A341" s="25">
        <v>44316</v>
      </c>
      <c r="B341">
        <v>7.7937999999999699</v>
      </c>
      <c r="C341" s="27">
        <f t="shared" si="11"/>
        <v>1.9157088122605304E-2</v>
      </c>
      <c r="D341" s="2">
        <f t="shared" si="10"/>
        <v>0.31964104300711083</v>
      </c>
    </row>
    <row r="342" spans="1:4" x14ac:dyDescent="0.2">
      <c r="A342" s="25">
        <v>44347</v>
      </c>
      <c r="B342">
        <v>7.8792999999999704</v>
      </c>
      <c r="C342" s="27">
        <f t="shared" si="11"/>
        <v>1.0970258410531564E-2</v>
      </c>
      <c r="D342" s="2">
        <f t="shared" si="10"/>
        <v>0.29713222705123066</v>
      </c>
    </row>
    <row r="343" spans="1:4" x14ac:dyDescent="0.2">
      <c r="A343" s="25">
        <v>44377</v>
      </c>
      <c r="B343">
        <v>7.9239999999999702</v>
      </c>
      <c r="C343" s="27">
        <f t="shared" si="11"/>
        <v>5.6730927874304449E-3</v>
      </c>
      <c r="D343" s="2">
        <f t="shared" si="10"/>
        <v>0.27459022985732373</v>
      </c>
    </row>
    <row r="344" spans="1:4" x14ac:dyDescent="0.2">
      <c r="A344" s="25">
        <v>44407</v>
      </c>
      <c r="B344">
        <v>7.8821999999999699</v>
      </c>
      <c r="C344" s="27">
        <f t="shared" si="11"/>
        <v>-5.2751135790005677E-3</v>
      </c>
      <c r="D344" s="2">
        <f t="shared" si="10"/>
        <v>0.24619762845849724</v>
      </c>
    </row>
    <row r="345" spans="1:4" x14ac:dyDescent="0.2">
      <c r="A345" s="25">
        <v>44439</v>
      </c>
      <c r="B345">
        <v>8.0666999999999707</v>
      </c>
      <c r="C345" s="27">
        <f t="shared" si="11"/>
        <v>2.3407170586892123E-2</v>
      </c>
      <c r="D345" s="2">
        <f t="shared" si="10"/>
        <v>0.23572665022442063</v>
      </c>
    </row>
    <row r="346" spans="1:4" x14ac:dyDescent="0.2">
      <c r="A346" s="25">
        <v>44469</v>
      </c>
      <c r="B346">
        <v>8.1159999999999695</v>
      </c>
      <c r="C346" s="27">
        <f t="shared" si="11"/>
        <v>6.1115449936155475E-3</v>
      </c>
      <c r="D346" s="2">
        <f t="shared" ref="D346:D389" si="12">B346/B334-1</f>
        <v>0.24572147779773057</v>
      </c>
    </row>
    <row r="347" spans="1:4" x14ac:dyDescent="0.2">
      <c r="A347" s="25">
        <v>44498</v>
      </c>
      <c r="B347">
        <v>8.2536999999999701</v>
      </c>
      <c r="C347" s="27">
        <f t="shared" si="11"/>
        <v>1.6966485953672006E-2</v>
      </c>
      <c r="D347" s="2">
        <f t="shared" si="12"/>
        <v>0.2708753560705206</v>
      </c>
    </row>
    <row r="348" spans="1:4" x14ac:dyDescent="0.2">
      <c r="A348" s="25">
        <v>44530</v>
      </c>
      <c r="B348">
        <v>8.1017999999999706</v>
      </c>
      <c r="C348" s="27">
        <f t="shared" si="11"/>
        <v>-1.840386735645827E-2</v>
      </c>
      <c r="D348" s="2">
        <f t="shared" si="12"/>
        <v>0.16860188377158103</v>
      </c>
    </row>
    <row r="349" spans="1:4" x14ac:dyDescent="0.2">
      <c r="A349" s="25">
        <v>44561</v>
      </c>
      <c r="B349">
        <v>8.1230999999999707</v>
      </c>
      <c r="C349" s="27">
        <f t="shared" si="11"/>
        <v>2.6290453973192296E-3</v>
      </c>
      <c r="D349" s="2">
        <f t="shared" si="12"/>
        <v>0.12922777507471928</v>
      </c>
    </row>
    <row r="350" spans="1:4" x14ac:dyDescent="0.2">
      <c r="A350" s="25">
        <v>44592</v>
      </c>
      <c r="B350">
        <v>7.9577999999999696</v>
      </c>
      <c r="C350" s="27">
        <f t="shared" si="11"/>
        <v>-2.0349374007460397E-2</v>
      </c>
      <c r="D350" s="2">
        <f t="shared" si="12"/>
        <v>9.097639220202236E-2</v>
      </c>
    </row>
    <row r="351" spans="1:4" x14ac:dyDescent="0.2">
      <c r="A351" s="25">
        <v>44620</v>
      </c>
      <c r="B351">
        <v>7.9240999999999699</v>
      </c>
      <c r="C351" s="27">
        <f t="shared" si="11"/>
        <v>-4.2348387745356764E-3</v>
      </c>
      <c r="D351" s="2">
        <f t="shared" si="12"/>
        <v>5.3204497727212585E-2</v>
      </c>
    </row>
    <row r="352" spans="1:4" x14ac:dyDescent="0.2">
      <c r="A352" s="25">
        <v>44651</v>
      </c>
      <c r="B352">
        <v>7.9441999999999702</v>
      </c>
      <c r="C352" s="27">
        <f t="shared" si="11"/>
        <v>2.5365656667635239E-3</v>
      </c>
      <c r="D352" s="2">
        <f t="shared" si="12"/>
        <v>3.8824160161102794E-2</v>
      </c>
    </row>
    <row r="353" spans="1:4" x14ac:dyDescent="0.2">
      <c r="A353" s="25">
        <v>44680</v>
      </c>
      <c r="B353">
        <v>7.8804999999999703</v>
      </c>
      <c r="C353" s="27">
        <f t="shared" si="11"/>
        <v>-8.0184285390599852E-3</v>
      </c>
      <c r="D353" s="2">
        <f t="shared" si="12"/>
        <v>1.1124226949626781E-2</v>
      </c>
    </row>
    <row r="354" spans="1:4" x14ac:dyDescent="0.2">
      <c r="A354" s="25">
        <v>44712</v>
      </c>
      <c r="B354">
        <v>7.7774999999999697</v>
      </c>
      <c r="C354" s="27">
        <f t="shared" si="11"/>
        <v>-1.3070236660110535E-2</v>
      </c>
      <c r="D354" s="2">
        <f t="shared" si="12"/>
        <v>-1.2919929435356026E-2</v>
      </c>
    </row>
    <row r="355" spans="1:4" x14ac:dyDescent="0.2">
      <c r="A355" s="25">
        <v>44742</v>
      </c>
      <c r="B355">
        <v>7.4986999999999702</v>
      </c>
      <c r="C355" s="27">
        <f t="shared" si="11"/>
        <v>-3.5846994535519205E-2</v>
      </c>
      <c r="D355" s="2">
        <f t="shared" si="12"/>
        <v>-5.3672387682988543E-2</v>
      </c>
    </row>
    <row r="356" spans="1:4" x14ac:dyDescent="0.2">
      <c r="A356" s="25">
        <v>44771</v>
      </c>
      <c r="B356">
        <v>7.5798999999999799</v>
      </c>
      <c r="C356" s="27">
        <f t="shared" si="11"/>
        <v>1.0828543614227915E-2</v>
      </c>
      <c r="D356" s="2">
        <f t="shared" si="12"/>
        <v>-3.8352236685188279E-2</v>
      </c>
    </row>
    <row r="357" spans="1:4" x14ac:dyDescent="0.2">
      <c r="A357" s="25">
        <v>44804</v>
      </c>
      <c r="B357">
        <v>7.6336999999999797</v>
      </c>
      <c r="C357" s="27">
        <f t="shared" si="11"/>
        <v>7.0977189672687402E-3</v>
      </c>
      <c r="D357" s="2">
        <f t="shared" si="12"/>
        <v>-5.3677464142709241E-2</v>
      </c>
    </row>
    <row r="358" spans="1:4" x14ac:dyDescent="0.2">
      <c r="A358" s="25">
        <v>44834</v>
      </c>
      <c r="B358">
        <v>7.4421999999999802</v>
      </c>
      <c r="C358" s="27">
        <f t="shared" si="11"/>
        <v>-2.5086131233870823E-2</v>
      </c>
      <c r="D358" s="2">
        <f t="shared" si="12"/>
        <v>-8.3021192705765356E-2</v>
      </c>
    </row>
    <row r="359" spans="1:4" x14ac:dyDescent="0.2">
      <c r="A359" s="25">
        <v>44865</v>
      </c>
      <c r="B359">
        <v>7.50629999999998</v>
      </c>
      <c r="C359" s="27">
        <f t="shared" si="11"/>
        <v>8.61304452984335E-3</v>
      </c>
      <c r="D359" s="2">
        <f t="shared" si="12"/>
        <v>-9.0553327598530742E-2</v>
      </c>
    </row>
    <row r="360" spans="1:4" x14ac:dyDescent="0.2">
      <c r="A360" s="25">
        <v>44895</v>
      </c>
      <c r="B360">
        <v>7.5759999999999801</v>
      </c>
      <c r="C360" s="27">
        <f t="shared" si="11"/>
        <v>9.2855334852057769E-3</v>
      </c>
      <c r="D360" s="2">
        <f t="shared" si="12"/>
        <v>-6.4899158211754515E-2</v>
      </c>
    </row>
    <row r="361" spans="1:4" x14ac:dyDescent="0.2">
      <c r="A361" s="25">
        <v>44925</v>
      </c>
      <c r="B361">
        <v>7.57109999999998</v>
      </c>
      <c r="C361" s="27">
        <f t="shared" si="11"/>
        <v>-6.4677930306233922E-4</v>
      </c>
      <c r="D361" s="2">
        <f t="shared" si="12"/>
        <v>-6.7954352402407103E-2</v>
      </c>
    </row>
    <row r="362" spans="1:4" x14ac:dyDescent="0.2">
      <c r="A362" s="25">
        <v>44957</v>
      </c>
      <c r="B362">
        <v>7.7373999999999699</v>
      </c>
      <c r="C362" s="27">
        <f t="shared" si="11"/>
        <v>2.1965104146027592E-2</v>
      </c>
      <c r="D362" s="2">
        <f t="shared" si="12"/>
        <v>-2.7696096911206669E-2</v>
      </c>
    </row>
    <row r="363" spans="1:4" x14ac:dyDescent="0.2">
      <c r="A363" s="25">
        <v>44985</v>
      </c>
      <c r="B363">
        <v>7.7096999999999696</v>
      </c>
      <c r="C363" s="27">
        <f t="shared" si="11"/>
        <v>-3.5800139581771973E-3</v>
      </c>
      <c r="D363" s="2">
        <f t="shared" si="12"/>
        <v>-2.7056700445476589E-2</v>
      </c>
    </row>
    <row r="364" spans="1:4" x14ac:dyDescent="0.2">
      <c r="A364" s="25">
        <v>45016</v>
      </c>
      <c r="B364">
        <v>7.6701999999999702</v>
      </c>
      <c r="C364" s="27">
        <f t="shared" si="11"/>
        <v>-5.1234159565222148E-3</v>
      </c>
      <c r="D364" s="2">
        <f t="shared" si="12"/>
        <v>-3.4490571737871734E-2</v>
      </c>
    </row>
    <row r="365" spans="1:4" x14ac:dyDescent="0.2">
      <c r="A365" s="25">
        <v>45044</v>
      </c>
      <c r="B365">
        <v>7.7226999999999704</v>
      </c>
      <c r="C365" s="27">
        <f t="shared" si="11"/>
        <v>6.844671586138551E-3</v>
      </c>
      <c r="D365" s="2">
        <f t="shared" si="12"/>
        <v>-2.0024110145295371E-2</v>
      </c>
    </row>
    <row r="366" spans="1:4" x14ac:dyDescent="0.2">
      <c r="A366" s="25">
        <v>45077</v>
      </c>
      <c r="B366">
        <v>7.7276999999999703</v>
      </c>
      <c r="C366" s="27">
        <f t="shared" si="11"/>
        <v>6.4744195682853167E-4</v>
      </c>
      <c r="D366" s="2">
        <f t="shared" si="12"/>
        <v>-6.4030858244936706E-3</v>
      </c>
    </row>
    <row r="367" spans="1:4" x14ac:dyDescent="0.2">
      <c r="A367" s="25">
        <v>45107</v>
      </c>
      <c r="B367">
        <v>7.8890999999999698</v>
      </c>
      <c r="C367" s="27">
        <f t="shared" si="11"/>
        <v>2.0885903955898844E-2</v>
      </c>
      <c r="D367" s="2">
        <f t="shared" si="12"/>
        <v>5.2062357475295862E-2</v>
      </c>
    </row>
    <row r="368" spans="1:4" x14ac:dyDescent="0.2">
      <c r="A368" s="25">
        <v>45138</v>
      </c>
      <c r="B368">
        <v>7.9908999999999697</v>
      </c>
      <c r="C368" s="27">
        <f t="shared" si="11"/>
        <v>1.2903880037013149E-2</v>
      </c>
      <c r="D368" s="2">
        <f t="shared" si="12"/>
        <v>5.4222351218352616E-2</v>
      </c>
    </row>
    <row r="369" spans="1:4" x14ac:dyDescent="0.2">
      <c r="A369" s="25">
        <v>45169</v>
      </c>
      <c r="B369">
        <v>7.9965999999999697</v>
      </c>
      <c r="C369" s="27">
        <f t="shared" si="11"/>
        <v>7.1331139170816016E-4</v>
      </c>
      <c r="D369" s="2">
        <f t="shared" si="12"/>
        <v>4.7539201173741663E-2</v>
      </c>
    </row>
    <row r="370" spans="1:4" x14ac:dyDescent="0.2">
      <c r="A370" s="25">
        <v>45198</v>
      </c>
      <c r="B370">
        <v>8.0043999999999702</v>
      </c>
      <c r="C370" s="27">
        <f t="shared" si="11"/>
        <v>9.7541455118421716E-4</v>
      </c>
      <c r="D370" s="2">
        <f t="shared" si="12"/>
        <v>7.5542178388109837E-2</v>
      </c>
    </row>
    <row r="371" spans="1:4" x14ac:dyDescent="0.2">
      <c r="A371" s="25">
        <v>45230</v>
      </c>
      <c r="B371">
        <v>7.88369999999997</v>
      </c>
      <c r="C371" s="27">
        <f t="shared" si="11"/>
        <v>-1.5079206436459991E-2</v>
      </c>
      <c r="D371" s="2">
        <f t="shared" si="12"/>
        <v>5.0277766675991042E-2</v>
      </c>
    </row>
    <row r="372" spans="1:4" x14ac:dyDescent="0.2">
      <c r="A372" s="25">
        <v>45260</v>
      </c>
      <c r="B372">
        <v>8.0708999999999698</v>
      </c>
      <c r="C372" s="27">
        <f t="shared" si="11"/>
        <v>2.3745195783705597E-2</v>
      </c>
      <c r="D372" s="2">
        <f t="shared" si="12"/>
        <v>6.5324709609291265E-2</v>
      </c>
    </row>
    <row r="373" spans="1:4" x14ac:dyDescent="0.2">
      <c r="A373" s="25">
        <v>45289</v>
      </c>
      <c r="B373">
        <v>8.2749999999999702</v>
      </c>
      <c r="C373" s="27">
        <f t="shared" si="11"/>
        <v>2.5288381717032848E-2</v>
      </c>
      <c r="D373" s="2">
        <f t="shared" si="12"/>
        <v>9.2971959160490725E-2</v>
      </c>
    </row>
    <row r="374" spans="1:4" x14ac:dyDescent="0.2">
      <c r="A374" s="25">
        <v>45322</v>
      </c>
      <c r="B374">
        <v>8.3135999999999708</v>
      </c>
      <c r="C374" s="27">
        <f t="shared" si="11"/>
        <v>4.6646525679758799E-3</v>
      </c>
      <c r="D374" s="2">
        <f t="shared" si="12"/>
        <v>7.4469460025331946E-2</v>
      </c>
    </row>
    <row r="375" spans="1:4" x14ac:dyDescent="0.2">
      <c r="A375" s="25">
        <v>45351</v>
      </c>
      <c r="B375">
        <v>8.4807999999999701</v>
      </c>
      <c r="C375" s="27">
        <f t="shared" si="11"/>
        <v>2.0111624326405009E-2</v>
      </c>
      <c r="D375" s="2">
        <f t="shared" si="12"/>
        <v>0.10001686187530034</v>
      </c>
    </row>
    <row r="376" spans="1:4" x14ac:dyDescent="0.2">
      <c r="A376" s="25">
        <v>45380</v>
      </c>
      <c r="B376">
        <v>8.6220999999999695</v>
      </c>
      <c r="C376" s="27">
        <f t="shared" si="11"/>
        <v>1.6661164041128274E-2</v>
      </c>
      <c r="D376" s="2">
        <f t="shared" si="12"/>
        <v>0.12410367395895849</v>
      </c>
    </row>
    <row r="377" spans="1:4" x14ac:dyDescent="0.2">
      <c r="A377" s="25">
        <v>45412</v>
      </c>
      <c r="B377">
        <v>8.5712999999999706</v>
      </c>
      <c r="C377" s="27">
        <f t="shared" si="11"/>
        <v>-5.891836095614611E-3</v>
      </c>
      <c r="D377" s="2">
        <f t="shared" si="12"/>
        <v>0.10988384891294545</v>
      </c>
    </row>
    <row r="378" spans="1:4" x14ac:dyDescent="0.2">
      <c r="A378" s="25">
        <v>45443</v>
      </c>
      <c r="B378">
        <v>8.7103999999999697</v>
      </c>
      <c r="C378" s="27">
        <f t="shared" si="11"/>
        <v>1.6228576761984748E-2</v>
      </c>
      <c r="D378" s="2">
        <f t="shared" si="12"/>
        <v>0.1271659096497022</v>
      </c>
    </row>
    <row r="379" spans="1:4" x14ac:dyDescent="0.2">
      <c r="A379" s="25">
        <v>45471</v>
      </c>
      <c r="B379">
        <v>8.7555999999999692</v>
      </c>
      <c r="C379" s="27">
        <f t="shared" si="11"/>
        <v>5.1891991182952957E-3</v>
      </c>
      <c r="D379" s="2">
        <f t="shared" si="12"/>
        <v>0.10983508892015603</v>
      </c>
    </row>
    <row r="380" spans="1:4" x14ac:dyDescent="0.2">
      <c r="A380" s="25">
        <v>45504</v>
      </c>
      <c r="B380">
        <v>8.8458999999999701</v>
      </c>
      <c r="C380" s="27">
        <f t="shared" si="11"/>
        <v>1.0313399424368486E-2</v>
      </c>
      <c r="D380" s="2">
        <f t="shared" si="12"/>
        <v>0.1069967087562107</v>
      </c>
    </row>
    <row r="381" spans="1:4" x14ac:dyDescent="0.2">
      <c r="A381" s="25">
        <v>45534</v>
      </c>
      <c r="B381">
        <v>8.93209999999997</v>
      </c>
      <c r="C381" s="27">
        <f t="shared" si="11"/>
        <v>9.7446274545269773E-3</v>
      </c>
      <c r="D381" s="2">
        <f t="shared" si="12"/>
        <v>0.11698721956831704</v>
      </c>
    </row>
    <row r="382" spans="1:4" x14ac:dyDescent="0.2">
      <c r="A382" s="25">
        <v>45565</v>
      </c>
      <c r="B382">
        <v>9.07839999999997</v>
      </c>
      <c r="C382" s="27">
        <f t="shared" si="11"/>
        <v>1.6379126969021884E-2</v>
      </c>
      <c r="D382" s="2">
        <f t="shared" si="12"/>
        <v>0.1341762030883018</v>
      </c>
    </row>
    <row r="383" spans="1:4" x14ac:dyDescent="0.2">
      <c r="A383" s="25">
        <v>45596</v>
      </c>
      <c r="B383">
        <v>9.1453999999999702</v>
      </c>
      <c r="C383" s="27">
        <f t="shared" si="11"/>
        <v>7.3801550934085025E-3</v>
      </c>
      <c r="D383" s="2">
        <f t="shared" si="12"/>
        <v>0.16003906795032852</v>
      </c>
    </row>
    <row r="384" spans="1:4" x14ac:dyDescent="0.2">
      <c r="A384" s="25">
        <v>45625</v>
      </c>
      <c r="B384">
        <v>9.35509999999997</v>
      </c>
      <c r="C384" s="27">
        <f t="shared" si="11"/>
        <v>2.2929560216064848E-2</v>
      </c>
      <c r="D384" s="2">
        <f t="shared" si="12"/>
        <v>0.15911484468894477</v>
      </c>
    </row>
    <row r="385" spans="1:4" x14ac:dyDescent="0.2">
      <c r="A385" s="25">
        <v>45657</v>
      </c>
      <c r="B385">
        <v>9.3535999999999699</v>
      </c>
      <c r="C385" s="27">
        <f t="shared" si="11"/>
        <v>-1.6034034911438511E-4</v>
      </c>
      <c r="D385" s="2">
        <f t="shared" si="12"/>
        <v>0.13034441087613335</v>
      </c>
    </row>
    <row r="386" spans="1:4" x14ac:dyDescent="0.2">
      <c r="A386" s="25">
        <v>45688</v>
      </c>
      <c r="B386">
        <v>9.4980999999999707</v>
      </c>
      <c r="C386" s="27">
        <f t="shared" si="11"/>
        <v>1.5448597331508829E-2</v>
      </c>
      <c r="D386" s="2">
        <f t="shared" si="12"/>
        <v>0.14247738645111663</v>
      </c>
    </row>
    <row r="387" spans="1:4" x14ac:dyDescent="0.2">
      <c r="A387" s="25">
        <v>45716</v>
      </c>
      <c r="B387">
        <v>9.5012999999999703</v>
      </c>
      <c r="C387" s="27">
        <f t="shared" si="11"/>
        <v>3.36909487160586E-4</v>
      </c>
      <c r="D387" s="2">
        <f t="shared" si="12"/>
        <v>0.1203306291859263</v>
      </c>
    </row>
    <row r="388" spans="1:4" x14ac:dyDescent="0.2">
      <c r="A388" s="25">
        <v>45747</v>
      </c>
      <c r="B388">
        <v>9.4220999999999702</v>
      </c>
      <c r="C388" s="27">
        <f t="shared" si="11"/>
        <v>-8.3357014303305776E-3</v>
      </c>
      <c r="D388" s="2">
        <f t="shared" si="12"/>
        <v>9.2784820403382318E-2</v>
      </c>
    </row>
    <row r="389" spans="1:4" x14ac:dyDescent="0.2">
      <c r="A389" s="25">
        <v>45777</v>
      </c>
      <c r="B389">
        <v>9.3833999999999698</v>
      </c>
      <c r="C389" s="27">
        <f t="shared" si="11"/>
        <v>-4.1073646002484088E-3</v>
      </c>
      <c r="D389" s="2">
        <f t="shared" si="12"/>
        <v>9.4746421196318265E-2</v>
      </c>
    </row>
  </sheetData>
  <mergeCells count="1">
    <mergeCell ref="D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4187-A4FF-964D-BCFD-EF0361B9C743}">
  <dimension ref="A1:R39"/>
  <sheetViews>
    <sheetView zoomScale="160" zoomScaleNormal="160" workbookViewId="0">
      <selection activeCell="D4" sqref="D4:D9"/>
    </sheetView>
  </sheetViews>
  <sheetFormatPr baseColWidth="10" defaultRowHeight="16" x14ac:dyDescent="0.2"/>
  <cols>
    <col min="4" max="4" width="10.83203125" style="1"/>
  </cols>
  <sheetData>
    <row r="1" spans="1:18" x14ac:dyDescent="0.2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2"/>
      <c r="B2" s="2"/>
      <c r="C2" s="2"/>
      <c r="D2" s="3" t="s">
        <v>23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/>
      <c r="B3" s="2"/>
      <c r="C3" s="2"/>
      <c r="D3" s="2" t="e">
        <f>NA()</f>
        <v>#N/A</v>
      </c>
      <c r="E3" s="2" t="e">
        <f>NA()</f>
        <v>#N/A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">
      <c r="A4" s="2"/>
      <c r="B4" s="2"/>
      <c r="C4" s="2" t="s">
        <v>0</v>
      </c>
      <c r="D4" s="4">
        <v>1.47229339532977E-2</v>
      </c>
      <c r="E4" s="4">
        <v>2.3749941759744E-2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">
      <c r="A5" s="2"/>
      <c r="B5" s="2"/>
      <c r="C5" s="2"/>
      <c r="D5" s="4">
        <v>-2.2850820509186802E-3</v>
      </c>
      <c r="E5" s="4">
        <v>1.67532432398701E-2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">
      <c r="A6" s="2"/>
      <c r="B6" s="2"/>
      <c r="C6" s="2">
        <v>2</v>
      </c>
      <c r="D6" s="4">
        <v>4.4626087906761997E-3</v>
      </c>
      <c r="E6" s="4">
        <v>6.7089062690208899E-4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">
      <c r="A7" s="2"/>
      <c r="B7" s="2"/>
      <c r="C7" s="2">
        <v>3</v>
      </c>
      <c r="D7" s="4">
        <v>2.562196973119E-3</v>
      </c>
      <c r="E7" s="4">
        <v>1.78828545086307E-4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">
      <c r="A8" s="2"/>
      <c r="B8" s="2"/>
      <c r="C8" s="2">
        <v>4</v>
      </c>
      <c r="D8" s="4">
        <v>-4.29657055318064E-4</v>
      </c>
      <c r="E8" s="4">
        <v>9.3892461246148696E-4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">
      <c r="A9" s="2"/>
      <c r="B9" s="2"/>
      <c r="C9" s="2">
        <v>5</v>
      </c>
      <c r="D9" s="4">
        <v>1.6512662048122099E-3</v>
      </c>
      <c r="E9" s="4">
        <v>6.4800589036583898E-3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"/>
      <c r="B10" s="2"/>
      <c r="C10" s="2"/>
      <c r="D10" s="2" t="e">
        <f>NA()</f>
        <v>#N/A</v>
      </c>
      <c r="E10" s="2" t="e">
        <f>NA()</f>
        <v>#N/A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">
      <c r="A15" s="2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">
      <c r="A16" s="2"/>
      <c r="B16" s="2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">
      <c r="A17" s="2"/>
      <c r="B17" s="2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">
      <c r="A18" s="2"/>
      <c r="B18" s="2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">
      <c r="A19" s="2"/>
      <c r="B19" s="2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">
      <c r="A20" s="2"/>
      <c r="B20" s="2"/>
      <c r="C20" s="2"/>
      <c r="D20" s="3">
        <v>0</v>
      </c>
      <c r="E20" s="2">
        <v>1</v>
      </c>
      <c r="F20" s="2">
        <v>2</v>
      </c>
      <c r="G20" s="2">
        <v>3</v>
      </c>
      <c r="H20" s="2">
        <v>4</v>
      </c>
      <c r="I20" s="2">
        <v>5</v>
      </c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">
      <c r="A21" s="2"/>
      <c r="B21" s="2"/>
      <c r="C21" s="2">
        <v>0</v>
      </c>
      <c r="D21" s="3">
        <v>2.3749941759744E-2</v>
      </c>
      <c r="E21" s="2">
        <v>1.67532432398701E-2</v>
      </c>
      <c r="F21" s="2">
        <v>6.7089062690208899E-4</v>
      </c>
      <c r="G21" s="2">
        <v>1.78828545086307E-4</v>
      </c>
      <c r="H21" s="2">
        <v>9.3892461246148696E-4</v>
      </c>
      <c r="I21" s="2">
        <v>6.4800589036583898E-3</v>
      </c>
      <c r="J21" s="2"/>
      <c r="K21" s="2"/>
      <c r="L21" s="2"/>
      <c r="M21" s="2"/>
      <c r="N21" s="2"/>
      <c r="O21" s="2"/>
      <c r="P21" s="2"/>
      <c r="Q21" s="2"/>
      <c r="R21" s="2"/>
    </row>
    <row r="22" spans="1:18" ht="19" x14ac:dyDescent="0.2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15" t="s">
        <v>0</v>
      </c>
      <c r="M22" s="2"/>
      <c r="N22" s="2"/>
      <c r="O22" s="2"/>
      <c r="P22" s="2"/>
      <c r="Q22" s="2"/>
      <c r="R22" s="2"/>
    </row>
    <row r="23" spans="1:18" ht="19" x14ac:dyDescent="0.2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30" t="s">
        <v>7</v>
      </c>
      <c r="M23" s="2"/>
      <c r="N23" s="2"/>
      <c r="O23" s="2"/>
      <c r="P23" s="2"/>
      <c r="Q23" s="2"/>
      <c r="R23" s="2"/>
    </row>
    <row r="24" spans="1:18" ht="19" x14ac:dyDescent="0.2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31" t="s">
        <v>8</v>
      </c>
      <c r="M24" s="2"/>
      <c r="N24" s="2"/>
      <c r="O24" s="2"/>
      <c r="P24" s="2"/>
      <c r="Q24" s="2"/>
      <c r="R24" s="2"/>
    </row>
    <row r="25" spans="1:18" ht="19" x14ac:dyDescent="0.2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32" t="s">
        <v>3</v>
      </c>
      <c r="M25" s="2"/>
      <c r="N25" s="2"/>
      <c r="O25" s="2"/>
      <c r="P25" s="2"/>
      <c r="Q25" s="2"/>
      <c r="R25" s="2"/>
    </row>
    <row r="26" spans="1:18" ht="19" x14ac:dyDescent="0.2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33" t="s">
        <v>4</v>
      </c>
      <c r="M26" s="2"/>
      <c r="N26" s="2"/>
      <c r="O26" s="2"/>
      <c r="P26" s="2"/>
      <c r="Q26" s="2"/>
      <c r="R26" s="2"/>
    </row>
    <row r="27" spans="1:18" ht="19" x14ac:dyDescent="0.2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34" t="s">
        <v>9</v>
      </c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3"/>
      <c r="B30" s="3">
        <v>0</v>
      </c>
      <c r="C30" s="3">
        <v>1</v>
      </c>
      <c r="D30" s="3">
        <v>2</v>
      </c>
      <c r="E30" s="3">
        <v>3</v>
      </c>
      <c r="F30" s="3">
        <v>4</v>
      </c>
      <c r="G30" s="3">
        <v>5</v>
      </c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">
      <c r="A31" s="3" t="s">
        <v>24</v>
      </c>
      <c r="B31" s="27">
        <v>1.47229339532977E-2</v>
      </c>
      <c r="C31" s="27">
        <v>-2.2850820509186802E-3</v>
      </c>
      <c r="D31" s="27">
        <v>4.4626087906761997E-3</v>
      </c>
      <c r="E31" s="27">
        <v>2.562196973119E-3</v>
      </c>
      <c r="F31" s="27">
        <v>-4.29657055318064E-4</v>
      </c>
      <c r="G31" s="27">
        <v>1.6512662048122099E-3</v>
      </c>
      <c r="H31" s="5">
        <f t="shared" ref="H31" si="0">SUM(B31:G31)</f>
        <v>2.0684266815668369E-2</v>
      </c>
      <c r="I31" s="3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">
      <c r="A32" s="3"/>
      <c r="B32" s="3"/>
      <c r="C32" s="3"/>
      <c r="D32" s="3"/>
      <c r="E32" s="3"/>
      <c r="F32" s="3"/>
      <c r="G32" s="3"/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2"/>
      <c r="B34" s="2"/>
      <c r="C34" s="2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2"/>
      <c r="B35" s="2"/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2"/>
      <c r="B36" s="2"/>
      <c r="C36" s="2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2"/>
      <c r="B37" s="2"/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2"/>
      <c r="B38" s="2"/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2"/>
      <c r="B39" s="2"/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Premia Charts</vt:lpstr>
      <vt:lpstr>Portfolio Charts</vt:lpstr>
      <vt:lpstr>Factor Table</vt:lpstr>
      <vt:lpstr>VaR Table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2025-07-05T19:49:56Z</dcterms:created>
  <dcterms:modified xsi:type="dcterms:W3CDTF">2025-07-06T16:16:50Z</dcterms:modified>
</cp:coreProperties>
</file>