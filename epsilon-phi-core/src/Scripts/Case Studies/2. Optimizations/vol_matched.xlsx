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rancisbarker/Repositories/Python/epsilon-phi/epsilon-phi-core/src/Scripts/Case Studies/2. Optimizations/"/>
    </mc:Choice>
  </mc:AlternateContent>
  <xr:revisionPtr revIDLastSave="0" documentId="13_ncr:1_{E8BE1199-9C37-DD48-AD99-19DFE17F8254}" xr6:coauthVersionLast="47" xr6:coauthVersionMax="47" xr10:uidLastSave="{00000000-0000-0000-0000-000000000000}"/>
  <bookViews>
    <workbookView xWindow="0" yWindow="500" windowWidth="29400" windowHeight="26320" xr2:uid="{00000000-000D-0000-FFFF-FFFF00000000}"/>
  </bookViews>
  <sheets>
    <sheet name="portfolios" sheetId="1" r:id="rId1"/>
    <sheet name="risk_dashboard" sheetId="2" r:id="rId2"/>
    <sheet name="assumptions" sheetId="3" r:id="rId3"/>
    <sheet name="ws_Current_Portfolio" sheetId="4" r:id="rId4"/>
    <sheet name="ws_Volatility_Matched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3" l="1"/>
</calcChain>
</file>

<file path=xl/sharedStrings.xml><?xml version="1.0" encoding="utf-8"?>
<sst xmlns="http://schemas.openxmlformats.org/spreadsheetml/2006/main" count="339" uniqueCount="101">
  <si>
    <t>Current Portfolio</t>
  </si>
  <si>
    <t>Volatility Matched</t>
  </si>
  <si>
    <t>Investment Grade Fixed Income</t>
  </si>
  <si>
    <t xml:space="preserve">  US Dollar Debt</t>
  </si>
  <si>
    <t xml:space="preserve">  US Short Duration Debt</t>
  </si>
  <si>
    <t xml:space="preserve">  US Corporate Bonds</t>
  </si>
  <si>
    <t>Other Fixed Income</t>
  </si>
  <si>
    <t xml:space="preserve">  US High Yield</t>
  </si>
  <si>
    <t xml:space="preserve">  EM External Debt</t>
  </si>
  <si>
    <t>Public Equity</t>
  </si>
  <si>
    <t xml:space="preserve">  Global Equities (ACWI)</t>
  </si>
  <si>
    <t xml:space="preserve">  US Large Cap Growth Equity</t>
  </si>
  <si>
    <t xml:space="preserve">  US Large Cap Value Equity</t>
  </si>
  <si>
    <t xml:space="preserve">  US Small Cap Equity</t>
  </si>
  <si>
    <t xml:space="preserve">  Europe ex-UK Equity</t>
  </si>
  <si>
    <t xml:space="preserve">  UK Equity</t>
  </si>
  <si>
    <t xml:space="preserve">  Japanese Equity</t>
  </si>
  <si>
    <t xml:space="preserve">  Asia-Pacific Equity</t>
  </si>
  <si>
    <t xml:space="preserve">  Emerging Market Equity</t>
  </si>
  <si>
    <t xml:space="preserve">  Global REITs</t>
  </si>
  <si>
    <t xml:space="preserve">  Infrastructure Equity</t>
  </si>
  <si>
    <t>Hedge Funds</t>
  </si>
  <si>
    <t xml:space="preserve">  Multi-Strategy</t>
  </si>
  <si>
    <t xml:space="preserve">  Event Driven</t>
  </si>
  <si>
    <t xml:space="preserve">  Equity Long/Short</t>
  </si>
  <si>
    <t xml:space="preserve">  Tactical Trading</t>
  </si>
  <si>
    <t>Private Equity</t>
  </si>
  <si>
    <t xml:space="preserve">  Buyout</t>
  </si>
  <si>
    <t xml:space="preserve">  Growth</t>
  </si>
  <si>
    <t xml:space="preserve">  Venture</t>
  </si>
  <si>
    <t>Other Private Assets</t>
  </si>
  <si>
    <t xml:space="preserve">  Private Credit</t>
  </si>
  <si>
    <t xml:space="preserve">  Core Real Estate</t>
  </si>
  <si>
    <t xml:space="preserve">  Infrastructure</t>
  </si>
  <si>
    <t>TOTAL</t>
  </si>
  <si>
    <t>Estimated Mean Return</t>
  </si>
  <si>
    <t>Sharpe Ratio</t>
  </si>
  <si>
    <t>Volatility</t>
  </si>
  <si>
    <t>Factor Based Risk Analytics</t>
  </si>
  <si>
    <t>Predicted Performance Over Stress Periods</t>
  </si>
  <si>
    <t>Nominal</t>
  </si>
  <si>
    <t>Real</t>
  </si>
  <si>
    <t xml:space="preserve">  Bretton Woods Collapse</t>
  </si>
  <si>
    <t xml:space="preserve">  Oil Embargo</t>
  </si>
  <si>
    <t xml:space="preserve">  US Inflation / Iranian Revolution</t>
  </si>
  <si>
    <t xml:space="preserve">  US Stagflation</t>
  </si>
  <si>
    <t xml:space="preserve">  Black Monday</t>
  </si>
  <si>
    <t xml:space="preserve">  Bond Crisis</t>
  </si>
  <si>
    <t xml:space="preserve">  Russian Default / LTCM Collapse</t>
  </si>
  <si>
    <t xml:space="preserve">  Tech Meltdown</t>
  </si>
  <si>
    <t xml:space="preserve">  Financial Crisis</t>
  </si>
  <si>
    <t xml:space="preserve">  Covid-19</t>
  </si>
  <si>
    <t>Value at Risk with 99% Confidence</t>
  </si>
  <si>
    <t xml:space="preserve">  Over 1 Month</t>
  </si>
  <si>
    <t xml:space="preserve">  Over 1 Year</t>
  </si>
  <si>
    <t xml:space="preserve">  Over 3 Years</t>
  </si>
  <si>
    <t>Conditional Value at Risk with 99% Confidence</t>
  </si>
  <si>
    <t>Probability of Loss</t>
  </si>
  <si>
    <t>Portfolio Risk Premia</t>
  </si>
  <si>
    <t>Long-Term Estimates</t>
  </si>
  <si>
    <t>Modelling Dates</t>
  </si>
  <si>
    <t>Risk Premia
 with Estimated Range</t>
  </si>
  <si>
    <t>Estimated Mean Return
(2.5% Risk Free Rate)</t>
  </si>
  <si>
    <t>Hedging Ratio</t>
  </si>
  <si>
    <t>From</t>
  </si>
  <si>
    <t>To</t>
  </si>
  <si>
    <t xml:space="preserve">    US Dollar Debt</t>
  </si>
  <si>
    <t xml:space="preserve">    US Short Duration Debt</t>
  </si>
  <si>
    <t xml:space="preserve">    US Corporate Bonds</t>
  </si>
  <si>
    <t xml:space="preserve">    US High Yield</t>
  </si>
  <si>
    <t xml:space="preserve">    EM External Debt</t>
  </si>
  <si>
    <t xml:space="preserve">    Global Equities (ACWI)</t>
  </si>
  <si>
    <t xml:space="preserve">    US Large Cap Growth Equity</t>
  </si>
  <si>
    <t xml:space="preserve">    US Large Cap Value Equity</t>
  </si>
  <si>
    <t xml:space="preserve">    US Small Cap Equity</t>
  </si>
  <si>
    <t xml:space="preserve">    Europe ex-UK Equity</t>
  </si>
  <si>
    <t xml:space="preserve">    UK Equity</t>
  </si>
  <si>
    <t xml:space="preserve">    Japanese Equity</t>
  </si>
  <si>
    <t xml:space="preserve">    Asia-Pacific Equity</t>
  </si>
  <si>
    <t xml:space="preserve">    Emerging Market Equity</t>
  </si>
  <si>
    <t xml:space="preserve">    Global REITs</t>
  </si>
  <si>
    <t xml:space="preserve">    Infrastructure Equity</t>
  </si>
  <si>
    <t xml:space="preserve">    Multi-Strategy</t>
  </si>
  <si>
    <t xml:space="preserve">    Event Driven</t>
  </si>
  <si>
    <t xml:space="preserve">    Equity Long/Short</t>
  </si>
  <si>
    <t xml:space="preserve">    Tactical Trading</t>
  </si>
  <si>
    <t xml:space="preserve">    Buyout</t>
  </si>
  <si>
    <t xml:space="preserve">    Growth</t>
  </si>
  <si>
    <t xml:space="preserve">    Venture</t>
  </si>
  <si>
    <t xml:space="preserve">    Private Credit</t>
  </si>
  <si>
    <t xml:space="preserve">    Core Real Estate</t>
  </si>
  <si>
    <t xml:space="preserve">    Infrastructure</t>
  </si>
  <si>
    <t>nominal</t>
  </si>
  <si>
    <t>real</t>
  </si>
  <si>
    <t>net_flows</t>
  </si>
  <si>
    <t>real_net_flows</t>
  </si>
  <si>
    <t>1st %ile</t>
  </si>
  <si>
    <t>10th %ile</t>
  </si>
  <si>
    <t>50th %ile</t>
  </si>
  <si>
    <t>90th %ile</t>
  </si>
  <si>
    <t xml:space="preserve">  US Inflation Protected Bonds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</si>
</sst>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2">
    <font>
      <sz val="11"/>
      <color theme="1"/>
      <name val="Calibri"/>
      <family val="2"/>
      <scheme val="minor"/>
    </font>
    <font>
      <sz val="12.5"/>
      <name val="Calibri Light"/>
    </font>
    <font>
      <sz val="12.5"/>
      <name val="Arial"/>
    </font>
    <font>
      <sz val="12.5"/>
      <color rgb="FFFFFFFF"/>
      <name val="Calibri"/>
    </font>
    <font>
      <sz val="12"/>
      <color rgb="FFFFFFFF"/>
      <name val="Aptos Narrow"/>
    </font>
    <font>
      <sz val="12"/>
      <name val="Aptos Narrow"/>
    </font>
    <font>
      <b/>
      <sz val="12"/>
      <color rgb="FF092539"/>
      <name val="Aptos Narrow"/>
    </font>
    <font>
      <sz val="11"/>
      <name val="Grotesque"/>
    </font>
    <font>
      <b/>
      <sz val="11"/>
      <color rgb="FF0F243E"/>
      <name val="Grotesque"/>
    </font>
    <font>
      <sz val="11"/>
      <color rgb="FFC00000"/>
      <name val="Grotesque"/>
    </font>
    <font>
      <sz val="11"/>
      <color rgb="FF039644"/>
      <name val="Grotesque"/>
    </font>
    <font>
      <b/>
      <sz val="11"/>
      <color rgb="FF039644"/>
      <name val="Grotesque"/>
    </font>
  </fonts>
  <fills count="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D3DDEA"/>
      </patternFill>
    </fill>
    <fill>
      <patternFill patternType="solid">
        <fgColor rgb="FF0F243E"/>
      </patternFill>
    </fill>
    <fill>
      <patternFill patternType="solid">
        <fgColor rgb="FF092532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dotted">
        <color auto="1"/>
      </bottom>
      <diagonal/>
    </border>
    <border>
      <left/>
      <right/>
      <top/>
      <bottom/>
      <diagonal/>
    </border>
    <border>
      <left/>
      <right/>
      <top style="dotted">
        <color auto="1"/>
      </top>
      <bottom/>
      <diagonal/>
    </border>
    <border>
      <left/>
      <right/>
      <top style="dotted">
        <color rgb="FFA9A9A9"/>
      </top>
      <bottom/>
      <diagonal/>
    </border>
    <border>
      <left/>
      <right/>
      <top style="dotted">
        <color rgb="FFA9A9A9"/>
      </top>
      <bottom/>
      <diagonal/>
    </border>
    <border>
      <left/>
      <right/>
      <top style="dotted">
        <color rgb="FFA9A9A9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rgb="FF737373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left" vertical="center"/>
    </xf>
    <xf numFmtId="164" fontId="1" fillId="3" borderId="2" xfId="0" applyNumberFormat="1" applyFont="1" applyFill="1" applyBorder="1" applyAlignment="1">
      <alignment horizontal="right" vertical="center" indent="4"/>
    </xf>
    <xf numFmtId="0" fontId="1" fillId="2" borderId="2" xfId="0" applyFont="1" applyFill="1" applyBorder="1" applyAlignment="1">
      <alignment horizontal="left" vertical="center"/>
    </xf>
    <xf numFmtId="165" fontId="1" fillId="2" borderId="2" xfId="0" applyNumberFormat="1" applyFont="1" applyFill="1" applyBorder="1" applyAlignment="1">
      <alignment horizontal="right" vertical="center" indent="4"/>
    </xf>
    <xf numFmtId="0" fontId="1" fillId="2" borderId="3" xfId="0" applyFont="1" applyFill="1" applyBorder="1"/>
    <xf numFmtId="164" fontId="1" fillId="2" borderId="3" xfId="0" applyNumberFormat="1" applyFont="1" applyFill="1" applyBorder="1" applyAlignment="1">
      <alignment horizontal="right" indent="4"/>
    </xf>
    <xf numFmtId="0" fontId="2" fillId="2" borderId="2" xfId="0" applyFont="1" applyFill="1" applyBorder="1"/>
    <xf numFmtId="164" fontId="3" fillId="4" borderId="2" xfId="0" applyNumberFormat="1" applyFont="1" applyFill="1" applyBorder="1" applyAlignment="1">
      <alignment vertical="center"/>
    </xf>
    <xf numFmtId="164" fontId="3" fillId="4" borderId="2" xfId="0" applyNumberFormat="1" applyFont="1" applyFill="1" applyBorder="1" applyAlignment="1">
      <alignment horizontal="right" vertical="center" indent="4"/>
    </xf>
    <xf numFmtId="2" fontId="3" fillId="4" borderId="2" xfId="0" applyNumberFormat="1" applyFont="1" applyFill="1" applyBorder="1" applyAlignment="1">
      <alignment horizontal="right" vertical="center" indent="4"/>
    </xf>
    <xf numFmtId="0" fontId="4" fillId="5" borderId="2" xfId="0" applyFont="1" applyFill="1" applyBorder="1" applyAlignment="1">
      <alignment vertical="center"/>
    </xf>
    <xf numFmtId="0" fontId="4" fillId="5" borderId="2" xfId="0" applyFont="1" applyFill="1" applyBorder="1" applyAlignment="1">
      <alignment horizontal="center" vertical="center"/>
    </xf>
    <xf numFmtId="0" fontId="5" fillId="6" borderId="2" xfId="0" applyFont="1" applyFill="1" applyBorder="1"/>
    <xf numFmtId="164" fontId="5" fillId="6" borderId="2" xfId="0" applyNumberFormat="1" applyFont="1" applyFill="1" applyBorder="1" applyAlignment="1">
      <alignment horizontal="center"/>
    </xf>
    <xf numFmtId="0" fontId="5" fillId="6" borderId="5" xfId="0" applyFont="1" applyFill="1" applyBorder="1"/>
    <xf numFmtId="0" fontId="6" fillId="6" borderId="4" xfId="0" applyFont="1" applyFill="1" applyBorder="1"/>
    <xf numFmtId="0" fontId="5" fillId="6" borderId="4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left" indent="1"/>
    </xf>
    <xf numFmtId="0" fontId="7" fillId="6" borderId="2" xfId="0" applyFont="1" applyFill="1" applyBorder="1" applyAlignment="1">
      <alignment vertical="center"/>
    </xf>
    <xf numFmtId="0" fontId="7" fillId="6" borderId="7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vertical="center"/>
    </xf>
    <xf numFmtId="0" fontId="7" fillId="6" borderId="7" xfId="0" applyFont="1" applyFill="1" applyBorder="1" applyAlignment="1">
      <alignment horizontal="center" vertical="center" wrapText="1"/>
    </xf>
    <xf numFmtId="0" fontId="8" fillId="6" borderId="2" xfId="0" applyFont="1" applyFill="1" applyBorder="1"/>
    <xf numFmtId="0" fontId="8" fillId="6" borderId="2" xfId="0" applyFont="1" applyFill="1" applyBorder="1" applyAlignment="1">
      <alignment horizontal="center"/>
    </xf>
    <xf numFmtId="2" fontId="8" fillId="6" borderId="2" xfId="0" applyNumberFormat="1" applyFont="1" applyFill="1" applyBorder="1" applyAlignment="1">
      <alignment horizontal="center"/>
    </xf>
    <xf numFmtId="0" fontId="7" fillId="6" borderId="2" xfId="0" applyFont="1" applyFill="1" applyBorder="1"/>
    <xf numFmtId="164" fontId="9" fillId="6" borderId="2" xfId="0" applyNumberFormat="1" applyFont="1" applyFill="1" applyBorder="1" applyAlignment="1">
      <alignment horizontal="right"/>
    </xf>
    <xf numFmtId="164" fontId="7" fillId="6" borderId="2" xfId="0" applyNumberFormat="1" applyFont="1" applyFill="1" applyBorder="1" applyAlignment="1">
      <alignment horizontal="center"/>
    </xf>
    <xf numFmtId="164" fontId="10" fillId="6" borderId="2" xfId="0" applyNumberFormat="1" applyFont="1" applyFill="1" applyBorder="1" applyAlignment="1">
      <alignment horizontal="left"/>
    </xf>
    <xf numFmtId="2" fontId="7" fillId="6" borderId="2" xfId="0" applyNumberFormat="1" applyFont="1" applyFill="1" applyBorder="1" applyAlignment="1">
      <alignment horizontal="center"/>
    </xf>
    <xf numFmtId="9" fontId="7" fillId="6" borderId="2" xfId="0" applyNumberFormat="1" applyFont="1" applyFill="1" applyBorder="1" applyAlignment="1">
      <alignment horizontal="center"/>
    </xf>
    <xf numFmtId="17" fontId="7" fillId="6" borderId="2" xfId="0" applyNumberFormat="1" applyFont="1" applyFill="1" applyBorder="1" applyAlignment="1">
      <alignment horizontal="center"/>
    </xf>
    <xf numFmtId="0" fontId="8" fillId="6" borderId="8" xfId="0" applyFont="1" applyFill="1" applyBorder="1"/>
    <xf numFmtId="164" fontId="8" fillId="6" borderId="8" xfId="0" applyNumberFormat="1" applyFont="1" applyFill="1" applyBorder="1" applyAlignment="1">
      <alignment horizontal="right"/>
    </xf>
    <xf numFmtId="164" fontId="8" fillId="6" borderId="8" xfId="0" applyNumberFormat="1" applyFont="1" applyFill="1" applyBorder="1" applyAlignment="1">
      <alignment horizontal="center"/>
    </xf>
    <xf numFmtId="164" fontId="11" fillId="6" borderId="8" xfId="0" applyNumberFormat="1" applyFont="1" applyFill="1" applyBorder="1" applyAlignment="1">
      <alignment horizontal="left"/>
    </xf>
    <xf numFmtId="2" fontId="8" fillId="6" borderId="8" xfId="0" applyNumberFormat="1" applyFont="1" applyFill="1" applyBorder="1" applyAlignment="1">
      <alignment horizontal="center"/>
    </xf>
    <xf numFmtId="9" fontId="8" fillId="6" borderId="8" xfId="0" applyNumberFormat="1" applyFont="1" applyFill="1" applyBorder="1" applyAlignment="1">
      <alignment horizontal="center"/>
    </xf>
    <xf numFmtId="17" fontId="8" fillId="6" borderId="8" xfId="0" applyNumberFormat="1" applyFont="1" applyFill="1" applyBorder="1" applyAlignment="1">
      <alignment horizontal="center"/>
    </xf>
    <xf numFmtId="0" fontId="7" fillId="6" borderId="7" xfId="0" applyFont="1" applyFill="1" applyBorder="1"/>
    <xf numFmtId="164" fontId="9" fillId="6" borderId="7" xfId="0" applyNumberFormat="1" applyFont="1" applyFill="1" applyBorder="1" applyAlignment="1">
      <alignment horizontal="right"/>
    </xf>
    <xf numFmtId="164" fontId="7" fillId="6" borderId="7" xfId="0" applyNumberFormat="1" applyFont="1" applyFill="1" applyBorder="1" applyAlignment="1">
      <alignment horizontal="center"/>
    </xf>
    <xf numFmtId="164" fontId="10" fillId="6" borderId="7" xfId="0" applyNumberFormat="1" applyFont="1" applyFill="1" applyBorder="1" applyAlignment="1">
      <alignment horizontal="left"/>
    </xf>
    <xf numFmtId="2" fontId="7" fillId="6" borderId="7" xfId="0" applyNumberFormat="1" applyFont="1" applyFill="1" applyBorder="1" applyAlignment="1">
      <alignment horizontal="center"/>
    </xf>
    <xf numFmtId="9" fontId="7" fillId="6" borderId="7" xfId="0" applyNumberFormat="1" applyFont="1" applyFill="1" applyBorder="1" applyAlignment="1">
      <alignment horizontal="center"/>
    </xf>
    <xf numFmtId="17" fontId="7" fillId="6" borderId="7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0" fillId="0" borderId="0" xfId="0"/>
    <xf numFmtId="164" fontId="5" fillId="6" borderId="2" xfId="0" applyNumberFormat="1" applyFont="1" applyFill="1" applyBorder="1" applyAlignment="1">
      <alignment horizontal="center"/>
    </xf>
    <xf numFmtId="164" fontId="5" fillId="6" borderId="5" xfId="0" applyNumberFormat="1" applyFont="1" applyFill="1" applyBorder="1" applyAlignment="1">
      <alignment horizontal="center"/>
    </xf>
    <xf numFmtId="0" fontId="0" fillId="0" borderId="6" xfId="0" applyBorder="1"/>
    <xf numFmtId="2" fontId="5" fillId="6" borderId="2" xfId="0" applyNumberFormat="1" applyFont="1" applyFill="1" applyBorder="1" applyAlignment="1">
      <alignment horizontal="center"/>
    </xf>
    <xf numFmtId="0" fontId="7" fillId="6" borderId="7" xfId="0" applyFont="1" applyFill="1" applyBorder="1" applyAlignment="1">
      <alignment horizontal="center" vertical="center"/>
    </xf>
    <xf numFmtId="0" fontId="0" fillId="0" borderId="9" xfId="0" applyBorder="1"/>
    <xf numFmtId="0" fontId="7" fillId="6" borderId="7" xfId="0" applyFont="1" applyFill="1" applyBorder="1" applyAlignment="1">
      <alignment horizontal="center" vertical="center" wrapText="1"/>
    </xf>
    <xf numFmtId="10" fontId="0" fillId="0" borderId="0" xfId="0" applyNumberFormat="1"/>
    <xf numFmtId="0" fontId="0" fillId="7" borderId="0" xfId="0" applyFill="1"/>
    <xf numFmtId="0" fontId="0" fillId="0" borderId="0" xfId="0" applyAlignment="1">
      <alignment vertical="center"/>
    </xf>
    <xf numFmtId="0" fontId="0" fillId="7" borderId="0" xfId="0" applyFill="1" applyAlignment="1">
      <alignment vertical="center"/>
    </xf>
  </cellXfs>
  <cellStyles count="1">
    <cellStyle name="Normal" xfId="0" builtinId="0"/>
  </cellStyles>
  <dxfs count="9">
    <dxf>
      <font>
        <color rgb="FF006100"/>
      </font>
    </dxf>
    <dxf>
      <font>
        <color rgb="FF9C0006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ws_Current_Portfolio!$J$2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1C-4B4D-9572-6C2B6EDBF318}"/>
            </c:ext>
          </c:extLst>
        </c:ser>
        <c:ser>
          <c:idx val="1"/>
          <c:order val="1"/>
          <c:tx>
            <c:strRef>
              <c:f>ws_Current_Portfolio!$K$2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1C-4B4D-9572-6C2B6EDBF318}"/>
            </c:ext>
          </c:extLst>
        </c:ser>
        <c:ser>
          <c:idx val="2"/>
          <c:order val="2"/>
          <c:tx>
            <c:strRef>
              <c:f>ws_Current_Portfolio!$L$2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81C-4B4D-9572-6C2B6EDBF318}"/>
            </c:ext>
          </c:extLst>
        </c:ser>
        <c:ser>
          <c:idx val="3"/>
          <c:order val="3"/>
          <c:tx>
            <c:strRef>
              <c:f>ws_Current_Portfolio!$M$2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1C-4B4D-9572-6C2B6EDBF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ws_Current_Portfolio!$B$2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ws_Current_Portfolio!$B$3:$B$23</c:f>
              <c:numCache>
                <c:formatCode>General</c:formatCode>
                <c:ptCount val="21"/>
                <c:pt idx="0">
                  <c:v>100</c:v>
                </c:pt>
                <c:pt idx="1">
                  <c:v>89.37627521800249</c:v>
                </c:pt>
                <c:pt idx="2">
                  <c:v>89.961069362661306</c:v>
                </c:pt>
                <c:pt idx="3">
                  <c:v>90.583139887972777</c:v>
                </c:pt>
                <c:pt idx="4">
                  <c:v>90.542391560589905</c:v>
                </c:pt>
                <c:pt idx="5">
                  <c:v>91.472440980662171</c:v>
                </c:pt>
                <c:pt idx="6">
                  <c:v>92.24383773733976</c:v>
                </c:pt>
                <c:pt idx="7">
                  <c:v>91.062074647786616</c:v>
                </c:pt>
                <c:pt idx="8">
                  <c:v>92.280867448127324</c:v>
                </c:pt>
                <c:pt idx="9">
                  <c:v>92.294997757054148</c:v>
                </c:pt>
                <c:pt idx="10">
                  <c:v>93.298752297170751</c:v>
                </c:pt>
                <c:pt idx="11">
                  <c:v>94.721450166574286</c:v>
                </c:pt>
                <c:pt idx="12">
                  <c:v>94.539978435410603</c:v>
                </c:pt>
                <c:pt idx="13">
                  <c:v>95.640195481184918</c:v>
                </c:pt>
                <c:pt idx="14">
                  <c:v>97.219618947633265</c:v>
                </c:pt>
                <c:pt idx="15">
                  <c:v>98.601396219308896</c:v>
                </c:pt>
                <c:pt idx="16">
                  <c:v>101.3523926828192</c:v>
                </c:pt>
                <c:pt idx="17">
                  <c:v>103.726471560948</c:v>
                </c:pt>
                <c:pt idx="18">
                  <c:v>106.516181414267</c:v>
                </c:pt>
                <c:pt idx="19">
                  <c:v>109.71817008954631</c:v>
                </c:pt>
                <c:pt idx="20">
                  <c:v>110.881345134778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B-604D-99E8-F692857B3B0D}"/>
            </c:ext>
          </c:extLst>
        </c:ser>
        <c:ser>
          <c:idx val="1"/>
          <c:order val="1"/>
          <c:tx>
            <c:strRef>
              <c:f>ws_Current_Portfolio!$C$2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96.952993008192365</c:v>
                </c:pt>
                <c:pt idx="2">
                  <c:v>99.165543249287808</c:v>
                </c:pt>
                <c:pt idx="3">
                  <c:v>102.114406466647</c:v>
                </c:pt>
                <c:pt idx="4">
                  <c:v>105.2220869527324</c:v>
                </c:pt>
                <c:pt idx="5">
                  <c:v>108.86349714037721</c:v>
                </c:pt>
                <c:pt idx="6">
                  <c:v>112.6706512886463</c:v>
                </c:pt>
                <c:pt idx="7">
                  <c:v>115.91462462147931</c:v>
                </c:pt>
                <c:pt idx="8">
                  <c:v>119.1703323153767</c:v>
                </c:pt>
                <c:pt idx="9">
                  <c:v>122.3430077594022</c:v>
                </c:pt>
                <c:pt idx="10">
                  <c:v>126.4038696539487</c:v>
                </c:pt>
                <c:pt idx="11">
                  <c:v>129.57642085546411</c:v>
                </c:pt>
                <c:pt idx="12">
                  <c:v>133.45830437373081</c:v>
                </c:pt>
                <c:pt idx="13">
                  <c:v>137.27319249989819</c:v>
                </c:pt>
                <c:pt idx="14">
                  <c:v>141.78278648045821</c:v>
                </c:pt>
                <c:pt idx="15">
                  <c:v>146.13390431965101</c:v>
                </c:pt>
                <c:pt idx="16">
                  <c:v>151.02289569006831</c:v>
                </c:pt>
                <c:pt idx="17">
                  <c:v>156.34809315878519</c:v>
                </c:pt>
                <c:pt idx="18">
                  <c:v>162.10699907711131</c:v>
                </c:pt>
                <c:pt idx="19">
                  <c:v>167.19269577973299</c:v>
                </c:pt>
                <c:pt idx="20">
                  <c:v>172.92288802873779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B-604D-99E8-F692857B3B0D}"/>
            </c:ext>
          </c:extLst>
        </c:ser>
        <c:ser>
          <c:idx val="2"/>
          <c:order val="2"/>
          <c:tx>
            <c:strRef>
              <c:f>ws_Current_Portfolio!$D$2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106.3877612327809</c:v>
                </c:pt>
                <c:pt idx="2">
                  <c:v>111.9832310352589</c:v>
                </c:pt>
                <c:pt idx="3">
                  <c:v>117.8987137670578</c:v>
                </c:pt>
                <c:pt idx="4">
                  <c:v>124.9679338747021</c:v>
                </c:pt>
                <c:pt idx="5">
                  <c:v>132.82976939991559</c:v>
                </c:pt>
                <c:pt idx="6">
                  <c:v>140.60286309231591</c:v>
                </c:pt>
                <c:pt idx="7">
                  <c:v>149.2442498696042</c:v>
                </c:pt>
                <c:pt idx="8">
                  <c:v>157.6893664732292</c:v>
                </c:pt>
                <c:pt idx="9">
                  <c:v>166.67053472296979</c:v>
                </c:pt>
                <c:pt idx="10">
                  <c:v>175.49154622421131</c:v>
                </c:pt>
                <c:pt idx="11">
                  <c:v>184.81641867029211</c:v>
                </c:pt>
                <c:pt idx="12">
                  <c:v>194.29593151838949</c:v>
                </c:pt>
                <c:pt idx="13">
                  <c:v>204.10045149540269</c:v>
                </c:pt>
                <c:pt idx="14">
                  <c:v>214.83836441672759</c:v>
                </c:pt>
                <c:pt idx="15">
                  <c:v>225.9373854434958</c:v>
                </c:pt>
                <c:pt idx="16">
                  <c:v>237.6279970774481</c:v>
                </c:pt>
                <c:pt idx="17">
                  <c:v>249.781440765089</c:v>
                </c:pt>
                <c:pt idx="18">
                  <c:v>262.19607940141992</c:v>
                </c:pt>
                <c:pt idx="19">
                  <c:v>276.43659648601829</c:v>
                </c:pt>
                <c:pt idx="20">
                  <c:v>290.11641323702668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B-604D-99E8-F692857B3B0D}"/>
            </c:ext>
          </c:extLst>
        </c:ser>
        <c:ser>
          <c:idx val="3"/>
          <c:order val="3"/>
          <c:tx>
            <c:strRef>
              <c:f>ws_Current_Portfolio!$E$2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115.07534661828829</c:v>
                </c:pt>
                <c:pt idx="2">
                  <c:v>125.2361851573403</c:v>
                </c:pt>
                <c:pt idx="3">
                  <c:v>134.90248903326039</c:v>
                </c:pt>
                <c:pt idx="4">
                  <c:v>147.07286041884669</c:v>
                </c:pt>
                <c:pt idx="5">
                  <c:v>159.9807496166793</c:v>
                </c:pt>
                <c:pt idx="6">
                  <c:v>172.7002987726396</c:v>
                </c:pt>
                <c:pt idx="7">
                  <c:v>187.66917745648439</c:v>
                </c:pt>
                <c:pt idx="8">
                  <c:v>203.00985731074289</c:v>
                </c:pt>
                <c:pt idx="9">
                  <c:v>218.44485818224601</c:v>
                </c:pt>
                <c:pt idx="10">
                  <c:v>235.26005541555119</c:v>
                </c:pt>
                <c:pt idx="11">
                  <c:v>253.29271107094991</c:v>
                </c:pt>
                <c:pt idx="12">
                  <c:v>273.03854448922613</c:v>
                </c:pt>
                <c:pt idx="13">
                  <c:v>293.44811164169897</c:v>
                </c:pt>
                <c:pt idx="14">
                  <c:v>317.52253312277429</c:v>
                </c:pt>
                <c:pt idx="15">
                  <c:v>338.73058310423067</c:v>
                </c:pt>
                <c:pt idx="16">
                  <c:v>363.87085400514582</c:v>
                </c:pt>
                <c:pt idx="17">
                  <c:v>390.28890587454362</c:v>
                </c:pt>
                <c:pt idx="18">
                  <c:v>417.93303931330371</c:v>
                </c:pt>
                <c:pt idx="19">
                  <c:v>447.4060777248834</c:v>
                </c:pt>
                <c:pt idx="20">
                  <c:v>477.63989108434799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B-604D-99E8-F692857B3B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ws_Current_Portfolio!$F$2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ws_Current_Portfolio!$F$3:$F$23</c:f>
              <c:numCache>
                <c:formatCode>General</c:formatCode>
                <c:ptCount val="21"/>
                <c:pt idx="0">
                  <c:v>100</c:v>
                </c:pt>
                <c:pt idx="1">
                  <c:v>86.599151962486374</c:v>
                </c:pt>
                <c:pt idx="2">
                  <c:v>85.243312664046073</c:v>
                </c:pt>
                <c:pt idx="3">
                  <c:v>84.01338677148027</c:v>
                </c:pt>
                <c:pt idx="4">
                  <c:v>82.031414481336128</c:v>
                </c:pt>
                <c:pt idx="5">
                  <c:v>81.128911360141416</c:v>
                </c:pt>
                <c:pt idx="6">
                  <c:v>80.948826979556969</c:v>
                </c:pt>
                <c:pt idx="7">
                  <c:v>78.369817072791662</c:v>
                </c:pt>
                <c:pt idx="8">
                  <c:v>78.14524504470883</c:v>
                </c:pt>
                <c:pt idx="9">
                  <c:v>77.055750262358146</c:v>
                </c:pt>
                <c:pt idx="10">
                  <c:v>76.492472305284238</c:v>
                </c:pt>
                <c:pt idx="11">
                  <c:v>75.638152013391505</c:v>
                </c:pt>
                <c:pt idx="12">
                  <c:v>74.117675550072676</c:v>
                </c:pt>
                <c:pt idx="13">
                  <c:v>73.649031601513386</c:v>
                </c:pt>
                <c:pt idx="14">
                  <c:v>73.850279775879144</c:v>
                </c:pt>
                <c:pt idx="15">
                  <c:v>73.734024720057775</c:v>
                </c:pt>
                <c:pt idx="16">
                  <c:v>73.975550811397923</c:v>
                </c:pt>
                <c:pt idx="17">
                  <c:v>73.582756301752923</c:v>
                </c:pt>
                <c:pt idx="18">
                  <c:v>74.230683932559742</c:v>
                </c:pt>
                <c:pt idx="19">
                  <c:v>75.218297763743294</c:v>
                </c:pt>
                <c:pt idx="20">
                  <c:v>74.903725885641506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42-D541-8225-DF3351F35DF7}"/>
            </c:ext>
          </c:extLst>
        </c:ser>
        <c:ser>
          <c:idx val="1"/>
          <c:order val="1"/>
          <c:tx>
            <c:strRef>
              <c:f>ws_Current_Portfolio!$G$2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94.609358596883737</c:v>
                </c:pt>
                <c:pt idx="2">
                  <c:v>94.278229463948293</c:v>
                </c:pt>
                <c:pt idx="3">
                  <c:v>95.029204741319546</c:v>
                </c:pt>
                <c:pt idx="4">
                  <c:v>95.881122492809553</c:v>
                </c:pt>
                <c:pt idx="5">
                  <c:v>97.004758809234076</c:v>
                </c:pt>
                <c:pt idx="6">
                  <c:v>98.463160809038172</c:v>
                </c:pt>
                <c:pt idx="7">
                  <c:v>99.265074424194935</c:v>
                </c:pt>
                <c:pt idx="8">
                  <c:v>100.1806306947321</c:v>
                </c:pt>
                <c:pt idx="9">
                  <c:v>100.9846332699268</c:v>
                </c:pt>
                <c:pt idx="10">
                  <c:v>102.07305173208979</c:v>
                </c:pt>
                <c:pt idx="11">
                  <c:v>102.8305001911647</c:v>
                </c:pt>
                <c:pt idx="12">
                  <c:v>103.7141285784726</c:v>
                </c:pt>
                <c:pt idx="13">
                  <c:v>104.957606322956</c:v>
                </c:pt>
                <c:pt idx="14">
                  <c:v>106.40614786415161</c:v>
                </c:pt>
                <c:pt idx="15">
                  <c:v>107.5916248412486</c:v>
                </c:pt>
                <c:pt idx="16">
                  <c:v>108.77721464730951</c:v>
                </c:pt>
                <c:pt idx="17">
                  <c:v>110.5911514733713</c:v>
                </c:pt>
                <c:pt idx="18">
                  <c:v>112.6186726971288</c:v>
                </c:pt>
                <c:pt idx="19">
                  <c:v>113.90800504693679</c:v>
                </c:pt>
                <c:pt idx="20">
                  <c:v>115.5438783211731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42-D541-8225-DF3351F35DF7}"/>
            </c:ext>
          </c:extLst>
        </c:ser>
        <c:ser>
          <c:idx val="2"/>
          <c:order val="2"/>
          <c:tx>
            <c:strRef>
              <c:f>ws_Current_Portfolio!$H$2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104.0491651432106</c:v>
                </c:pt>
                <c:pt idx="2">
                  <c:v>107.0455655048445</c:v>
                </c:pt>
                <c:pt idx="3">
                  <c:v>110.2138631039397</c:v>
                </c:pt>
                <c:pt idx="4">
                  <c:v>114.266497409181</c:v>
                </c:pt>
                <c:pt idx="5">
                  <c:v>118.9247424818771</c:v>
                </c:pt>
                <c:pt idx="6">
                  <c:v>123.318207118933</c:v>
                </c:pt>
                <c:pt idx="7">
                  <c:v>128.24597950444419</c:v>
                </c:pt>
                <c:pt idx="8">
                  <c:v>132.86497058838171</c:v>
                </c:pt>
                <c:pt idx="9">
                  <c:v>137.47625981885781</c:v>
                </c:pt>
                <c:pt idx="10">
                  <c:v>141.89525104718979</c:v>
                </c:pt>
                <c:pt idx="11">
                  <c:v>146.39968824412739</c:v>
                </c:pt>
                <c:pt idx="12">
                  <c:v>150.955989399365</c:v>
                </c:pt>
                <c:pt idx="13">
                  <c:v>155.72537989109</c:v>
                </c:pt>
                <c:pt idx="14">
                  <c:v>160.47737862608071</c:v>
                </c:pt>
                <c:pt idx="15">
                  <c:v>165.49761190093361</c:v>
                </c:pt>
                <c:pt idx="16">
                  <c:v>170.85153191312381</c:v>
                </c:pt>
                <c:pt idx="17">
                  <c:v>176.00924788216531</c:v>
                </c:pt>
                <c:pt idx="18">
                  <c:v>181.36847319387641</c:v>
                </c:pt>
                <c:pt idx="19">
                  <c:v>187.29099991074261</c:v>
                </c:pt>
                <c:pt idx="20">
                  <c:v>193.10206069595321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42-D541-8225-DF3351F35DF7}"/>
            </c:ext>
          </c:extLst>
        </c:ser>
        <c:ser>
          <c:idx val="3"/>
          <c:order val="3"/>
          <c:tx>
            <c:strRef>
              <c:f>ws_Current_Portfolio!$I$2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112.7641457110424</c:v>
                </c:pt>
                <c:pt idx="2">
                  <c:v>119.9901762596535</c:v>
                </c:pt>
                <c:pt idx="3">
                  <c:v>126.5105150192592</c:v>
                </c:pt>
                <c:pt idx="4">
                  <c:v>135.0276050340417</c:v>
                </c:pt>
                <c:pt idx="5">
                  <c:v>143.89406476752049</c:v>
                </c:pt>
                <c:pt idx="6">
                  <c:v>152.01605937372099</c:v>
                </c:pt>
                <c:pt idx="7">
                  <c:v>161.79689464084569</c:v>
                </c:pt>
                <c:pt idx="8">
                  <c:v>171.82263691027191</c:v>
                </c:pt>
                <c:pt idx="9">
                  <c:v>180.89721513853311</c:v>
                </c:pt>
                <c:pt idx="10">
                  <c:v>190.6965260006445</c:v>
                </c:pt>
                <c:pt idx="11">
                  <c:v>201.13885949340829</c:v>
                </c:pt>
                <c:pt idx="12">
                  <c:v>212.37300544229879</c:v>
                </c:pt>
                <c:pt idx="13">
                  <c:v>224.16320320884651</c:v>
                </c:pt>
                <c:pt idx="14">
                  <c:v>235.80004148271499</c:v>
                </c:pt>
                <c:pt idx="15">
                  <c:v>247.55463321999889</c:v>
                </c:pt>
                <c:pt idx="16">
                  <c:v>260.35316368090452</c:v>
                </c:pt>
                <c:pt idx="17">
                  <c:v>273.73694486233649</c:v>
                </c:pt>
                <c:pt idx="18">
                  <c:v>286.64857716874241</c:v>
                </c:pt>
                <c:pt idx="19">
                  <c:v>300.5114773933102</c:v>
                </c:pt>
                <c:pt idx="20">
                  <c:v>314.06422771595101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142-D541-8225-DF3351F35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ws_Current_Portfolio!$N$2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DE-A448-9E57-174A7E6B97F2}"/>
            </c:ext>
          </c:extLst>
        </c:ser>
        <c:ser>
          <c:idx val="1"/>
          <c:order val="1"/>
          <c:tx>
            <c:strRef>
              <c:f>ws_Current_Portfolio!$O$2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DE-A448-9E57-174A7E6B97F2}"/>
            </c:ext>
          </c:extLst>
        </c:ser>
        <c:ser>
          <c:idx val="2"/>
          <c:order val="2"/>
          <c:tx>
            <c:strRef>
              <c:f>ws_Current_Portfolio!$P$2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DE-A448-9E57-174A7E6B97F2}"/>
            </c:ext>
          </c:extLst>
        </c:ser>
        <c:ser>
          <c:idx val="3"/>
          <c:order val="3"/>
          <c:tx>
            <c:strRef>
              <c:f>ws_Current_Portfolio!$Q$2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DE-A448-9E57-174A7E6B97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ws_Volatility_Matched!$J$2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ws_Volatility_Matched!$A$3:$A$23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ws_Volatility_Matched!$J$3:$J$23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BC-4B4A-BE29-336EF3E9CA1C}"/>
            </c:ext>
          </c:extLst>
        </c:ser>
        <c:ser>
          <c:idx val="1"/>
          <c:order val="1"/>
          <c:tx>
            <c:strRef>
              <c:f>ws_Volatility_Matched!$K$2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ws_Volatility_Matched!$A$3:$A$23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ws_Volatility_Matched!$K$3:$K$23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BC-4B4A-BE29-336EF3E9CA1C}"/>
            </c:ext>
          </c:extLst>
        </c:ser>
        <c:ser>
          <c:idx val="2"/>
          <c:order val="2"/>
          <c:tx>
            <c:strRef>
              <c:f>ws_Volatility_Matched!$L$2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ws_Volatility_Matched!$A$3:$A$23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ws_Volatility_Matched!$L$3:$L$23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BC-4B4A-BE29-336EF3E9CA1C}"/>
            </c:ext>
          </c:extLst>
        </c:ser>
        <c:ser>
          <c:idx val="3"/>
          <c:order val="3"/>
          <c:tx>
            <c:strRef>
              <c:f>ws_Volatility_Matched!$M$2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ws_Volatility_Matched!$A$3:$A$23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ws_Volatility_Matched!$M$3:$M$23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BC-4B4A-BE29-336EF3E9CA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ws_Volatility_Matched!$B$2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ws_Volatility_Matched!$A$3:$A$23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ws_Volatility_Matched!$B$3:$B$23</c:f>
              <c:numCache>
                <c:formatCode>General</c:formatCode>
                <c:ptCount val="21"/>
                <c:pt idx="0">
                  <c:v>100</c:v>
                </c:pt>
                <c:pt idx="1">
                  <c:v>90.213725127033072</c:v>
                </c:pt>
                <c:pt idx="2">
                  <c:v>93.54136010037162</c:v>
                </c:pt>
                <c:pt idx="3">
                  <c:v>96.478139556234254</c:v>
                </c:pt>
                <c:pt idx="4">
                  <c:v>97.423987604775348</c:v>
                </c:pt>
                <c:pt idx="5">
                  <c:v>101.3219245384297</c:v>
                </c:pt>
                <c:pt idx="6">
                  <c:v>104.5748656144293</c:v>
                </c:pt>
                <c:pt idx="7">
                  <c:v>106.16676293213069</c:v>
                </c:pt>
                <c:pt idx="8">
                  <c:v>108.7585305968055</c:v>
                </c:pt>
                <c:pt idx="9">
                  <c:v>110.524557290364</c:v>
                </c:pt>
                <c:pt idx="10">
                  <c:v>112.0416113502793</c:v>
                </c:pt>
                <c:pt idx="11">
                  <c:v>115.3414917421252</c:v>
                </c:pt>
                <c:pt idx="12">
                  <c:v>118.31785302161551</c:v>
                </c:pt>
                <c:pt idx="13">
                  <c:v>123.0890796389837</c:v>
                </c:pt>
                <c:pt idx="14">
                  <c:v>126.01951275681201</c:v>
                </c:pt>
                <c:pt idx="15">
                  <c:v>129.90895491290831</c:v>
                </c:pt>
                <c:pt idx="16">
                  <c:v>134.07262976271289</c:v>
                </c:pt>
                <c:pt idx="17">
                  <c:v>139.8434704342738</c:v>
                </c:pt>
                <c:pt idx="18">
                  <c:v>145.8845419585123</c:v>
                </c:pt>
                <c:pt idx="19">
                  <c:v>153.1885852717933</c:v>
                </c:pt>
                <c:pt idx="20">
                  <c:v>157.43859938088659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59-7646-81F2-C260BE273B6C}"/>
            </c:ext>
          </c:extLst>
        </c:ser>
        <c:ser>
          <c:idx val="1"/>
          <c:order val="1"/>
          <c:tx>
            <c:strRef>
              <c:f>ws_Volatility_Matched!$C$2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ws_Volatility_Matched!$A$3:$A$23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ws_Volatility_Matched!$C$3:$C$23</c:f>
              <c:numCache>
                <c:formatCode>General</c:formatCode>
                <c:ptCount val="21"/>
                <c:pt idx="0">
                  <c:v>100</c:v>
                </c:pt>
                <c:pt idx="1">
                  <c:v>99.334269241927274</c:v>
                </c:pt>
                <c:pt idx="2">
                  <c:v>103.5121705047834</c:v>
                </c:pt>
                <c:pt idx="3">
                  <c:v>109.58478845989779</c:v>
                </c:pt>
                <c:pt idx="4">
                  <c:v>115.18065378612449</c:v>
                </c:pt>
                <c:pt idx="5">
                  <c:v>121.64343928892561</c:v>
                </c:pt>
                <c:pt idx="6">
                  <c:v>128.5613431898343</c:v>
                </c:pt>
                <c:pt idx="7">
                  <c:v>134.19629646669981</c:v>
                </c:pt>
                <c:pt idx="8">
                  <c:v>139.99490010341879</c:v>
                </c:pt>
                <c:pt idx="9">
                  <c:v>145.76618879381519</c:v>
                </c:pt>
                <c:pt idx="10">
                  <c:v>152.29671736068829</c:v>
                </c:pt>
                <c:pt idx="11">
                  <c:v>158.51265712565291</c:v>
                </c:pt>
                <c:pt idx="12">
                  <c:v>165.81356445214749</c:v>
                </c:pt>
                <c:pt idx="13">
                  <c:v>172.87962530579651</c:v>
                </c:pt>
                <c:pt idx="14">
                  <c:v>181.36634223113839</c:v>
                </c:pt>
                <c:pt idx="15">
                  <c:v>189.46632281668431</c:v>
                </c:pt>
                <c:pt idx="16">
                  <c:v>198.69411153002019</c:v>
                </c:pt>
                <c:pt idx="17">
                  <c:v>207.88699546325381</c:v>
                </c:pt>
                <c:pt idx="18">
                  <c:v>217.1056475084192</c:v>
                </c:pt>
                <c:pt idx="19">
                  <c:v>227.64569850504111</c:v>
                </c:pt>
                <c:pt idx="20">
                  <c:v>238.96051383992051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59-7646-81F2-C260BE273B6C}"/>
            </c:ext>
          </c:extLst>
        </c:ser>
        <c:ser>
          <c:idx val="2"/>
          <c:order val="2"/>
          <c:tx>
            <c:strRef>
              <c:f>ws_Volatility_Matched!$D$2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ws_Volatility_Matched!$A$3:$A$23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ws_Volatility_Matched!$D$3:$D$23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108.9446038145085</c:v>
                </c:pt>
                <c:pt idx="2">
                  <c:v>118.10826668023689</c:v>
                </c:pt>
                <c:pt idx="3">
                  <c:v>127.22437487408961</c:v>
                </c:pt>
                <c:pt idx="4">
                  <c:v>137.41696179212951</c:v>
                </c:pt>
                <c:pt idx="5">
                  <c:v>148.78845901494489</c:v>
                </c:pt>
                <c:pt idx="6">
                  <c:v>160.29338194481579</c:v>
                </c:pt>
                <c:pt idx="7">
                  <c:v>172.2871117686914</c:v>
                </c:pt>
                <c:pt idx="8">
                  <c:v>184.47560065209609</c:v>
                </c:pt>
                <c:pt idx="9">
                  <c:v>197.01464657817931</c:v>
                </c:pt>
                <c:pt idx="10">
                  <c:v>210.36111773231389</c:v>
                </c:pt>
                <c:pt idx="11">
                  <c:v>223.5188551194739</c:v>
                </c:pt>
                <c:pt idx="12">
                  <c:v>238.24626988310339</c:v>
                </c:pt>
                <c:pt idx="13">
                  <c:v>254.17305089362509</c:v>
                </c:pt>
                <c:pt idx="14">
                  <c:v>270.9508743548389</c:v>
                </c:pt>
                <c:pt idx="15">
                  <c:v>288.46827843019543</c:v>
                </c:pt>
                <c:pt idx="16">
                  <c:v>307.46909454137881</c:v>
                </c:pt>
                <c:pt idx="17">
                  <c:v>327.52220001043139</c:v>
                </c:pt>
                <c:pt idx="18">
                  <c:v>349.42073100130079</c:v>
                </c:pt>
                <c:pt idx="19">
                  <c:v>372.23408916519861</c:v>
                </c:pt>
                <c:pt idx="20">
                  <c:v>397.27041069465099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59-7646-81F2-C260BE273B6C}"/>
            </c:ext>
          </c:extLst>
        </c:ser>
        <c:ser>
          <c:idx val="3"/>
          <c:order val="3"/>
          <c:tx>
            <c:strRef>
              <c:f>ws_Volatility_Matched!$E$2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ws_Volatility_Matched!$A$3:$A$23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ws_Volatility_Matched!$E$3:$E$23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118.70588861380919</c:v>
                </c:pt>
                <c:pt idx="2">
                  <c:v>131.93630060879599</c:v>
                </c:pt>
                <c:pt idx="3">
                  <c:v>145.41651472691569</c:v>
                </c:pt>
                <c:pt idx="4">
                  <c:v>161.47939389840781</c:v>
                </c:pt>
                <c:pt idx="5">
                  <c:v>178.787677189177</c:v>
                </c:pt>
                <c:pt idx="6">
                  <c:v>196.67597636431921</c:v>
                </c:pt>
                <c:pt idx="7">
                  <c:v>216.58413364687991</c:v>
                </c:pt>
                <c:pt idx="8">
                  <c:v>237.2322451391411</c:v>
                </c:pt>
                <c:pt idx="9">
                  <c:v>258.90506806827011</c:v>
                </c:pt>
                <c:pt idx="10">
                  <c:v>283.13115470656112</c:v>
                </c:pt>
                <c:pt idx="11">
                  <c:v>307.89459922193288</c:v>
                </c:pt>
                <c:pt idx="12">
                  <c:v>336.00938439450198</c:v>
                </c:pt>
                <c:pt idx="13">
                  <c:v>364.42187892438511</c:v>
                </c:pt>
                <c:pt idx="14">
                  <c:v>396.8155985810123</c:v>
                </c:pt>
                <c:pt idx="15">
                  <c:v>429.40518857770689</c:v>
                </c:pt>
                <c:pt idx="16">
                  <c:v>465.09971156743211</c:v>
                </c:pt>
                <c:pt idx="17">
                  <c:v>506.34250439283721</c:v>
                </c:pt>
                <c:pt idx="18">
                  <c:v>549.5865268196103</c:v>
                </c:pt>
                <c:pt idx="19">
                  <c:v>593.52722025744401</c:v>
                </c:pt>
                <c:pt idx="20">
                  <c:v>642.95696971017708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59-7646-81F2-C260BE273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ws_Volatility_Matched!$F$2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ws_Volatility_Matched!$A$3:$A$23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ws_Volatility_Matched!$F$3:$F$23</c:f>
              <c:numCache>
                <c:formatCode>General</c:formatCode>
                <c:ptCount val="21"/>
                <c:pt idx="0">
                  <c:v>100</c:v>
                </c:pt>
                <c:pt idx="1">
                  <c:v>87.184347555207268</c:v>
                </c:pt>
                <c:pt idx="2">
                  <c:v>88.321850280828883</c:v>
                </c:pt>
                <c:pt idx="3">
                  <c:v>88.7407895341629</c:v>
                </c:pt>
                <c:pt idx="4">
                  <c:v>88.063889329333207</c:v>
                </c:pt>
                <c:pt idx="5">
                  <c:v>89.767249266821693</c:v>
                </c:pt>
                <c:pt idx="6">
                  <c:v>91.144482929389696</c:v>
                </c:pt>
                <c:pt idx="7">
                  <c:v>90.137468203123419</c:v>
                </c:pt>
                <c:pt idx="8">
                  <c:v>90.468473799914108</c:v>
                </c:pt>
                <c:pt idx="9">
                  <c:v>90.98523428800921</c:v>
                </c:pt>
                <c:pt idx="10">
                  <c:v>90.712245620407714</c:v>
                </c:pt>
                <c:pt idx="11">
                  <c:v>91.713253921730143</c:v>
                </c:pt>
                <c:pt idx="12">
                  <c:v>92.179818790809477</c:v>
                </c:pt>
                <c:pt idx="13">
                  <c:v>93.288848463969401</c:v>
                </c:pt>
                <c:pt idx="14">
                  <c:v>94.174046093039479</c:v>
                </c:pt>
                <c:pt idx="15">
                  <c:v>95.874959862527319</c:v>
                </c:pt>
                <c:pt idx="16">
                  <c:v>96.195238312855196</c:v>
                </c:pt>
                <c:pt idx="17">
                  <c:v>98.699626700581021</c:v>
                </c:pt>
                <c:pt idx="18">
                  <c:v>100.98393445495959</c:v>
                </c:pt>
                <c:pt idx="19">
                  <c:v>103.8433178628771</c:v>
                </c:pt>
                <c:pt idx="20">
                  <c:v>104.857316148829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49-D548-BB61-FAC2CC2C336C}"/>
            </c:ext>
          </c:extLst>
        </c:ser>
        <c:ser>
          <c:idx val="1"/>
          <c:order val="1"/>
          <c:tx>
            <c:strRef>
              <c:f>ws_Volatility_Matched!$G$2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ws_Volatility_Matched!$A$3:$A$23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ws_Volatility_Matched!$G$3:$G$23</c:f>
              <c:numCache>
                <c:formatCode>General</c:formatCode>
                <c:ptCount val="21"/>
                <c:pt idx="0">
                  <c:v>100</c:v>
                </c:pt>
                <c:pt idx="1">
                  <c:v>96.838726228187085</c:v>
                </c:pt>
                <c:pt idx="2">
                  <c:v>98.324791406895457</c:v>
                </c:pt>
                <c:pt idx="3">
                  <c:v>101.7123344806822</c:v>
                </c:pt>
                <c:pt idx="4">
                  <c:v>104.5415616929068</c:v>
                </c:pt>
                <c:pt idx="5">
                  <c:v>107.8751174235113</c:v>
                </c:pt>
                <c:pt idx="6">
                  <c:v>111.7382596585163</c:v>
                </c:pt>
                <c:pt idx="7">
                  <c:v>114.31831767935471</c:v>
                </c:pt>
                <c:pt idx="8">
                  <c:v>116.87261562357079</c:v>
                </c:pt>
                <c:pt idx="9">
                  <c:v>119.2959452237059</c:v>
                </c:pt>
                <c:pt idx="10">
                  <c:v>122.4305272248712</c:v>
                </c:pt>
                <c:pt idx="11">
                  <c:v>125.3640757118788</c:v>
                </c:pt>
                <c:pt idx="12">
                  <c:v>128.31536998299009</c:v>
                </c:pt>
                <c:pt idx="13">
                  <c:v>131.12926657488839</c:v>
                </c:pt>
                <c:pt idx="14">
                  <c:v>135.14178539558341</c:v>
                </c:pt>
                <c:pt idx="15">
                  <c:v>138.1333037286758</c:v>
                </c:pt>
                <c:pt idx="16">
                  <c:v>142.15303332506119</c:v>
                </c:pt>
                <c:pt idx="17">
                  <c:v>145.17632389693321</c:v>
                </c:pt>
                <c:pt idx="18">
                  <c:v>149.14526171787429</c:v>
                </c:pt>
                <c:pt idx="19">
                  <c:v>153.73976176717761</c:v>
                </c:pt>
                <c:pt idx="20">
                  <c:v>158.45924110119859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49-D548-BB61-FAC2CC2C336C}"/>
            </c:ext>
          </c:extLst>
        </c:ser>
        <c:ser>
          <c:idx val="2"/>
          <c:order val="2"/>
          <c:tx>
            <c:strRef>
              <c:f>ws_Volatility_Matched!$H$2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ws_Volatility_Matched!$A$3:$A$23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ws_Volatility_Matched!$H$3:$H$23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106.5694277643799</c:v>
                </c:pt>
                <c:pt idx="2">
                  <c:v>112.85514122597171</c:v>
                </c:pt>
                <c:pt idx="3">
                  <c:v>118.9968110704728</c:v>
                </c:pt>
                <c:pt idx="4">
                  <c:v>125.7572752711628</c:v>
                </c:pt>
                <c:pt idx="5">
                  <c:v>133.18296000878109</c:v>
                </c:pt>
                <c:pt idx="6">
                  <c:v>140.6083401110541</c:v>
                </c:pt>
                <c:pt idx="7">
                  <c:v>148.00449484698061</c:v>
                </c:pt>
                <c:pt idx="8">
                  <c:v>155.37140272426581</c:v>
                </c:pt>
                <c:pt idx="9">
                  <c:v>162.2458099806797</c:v>
                </c:pt>
                <c:pt idx="10">
                  <c:v>169.8120909261462</c:v>
                </c:pt>
                <c:pt idx="11">
                  <c:v>177.47535425196449</c:v>
                </c:pt>
                <c:pt idx="12">
                  <c:v>185.45574799045221</c:v>
                </c:pt>
                <c:pt idx="13">
                  <c:v>193.7512330260337</c:v>
                </c:pt>
                <c:pt idx="14">
                  <c:v>202.43498280693541</c:v>
                </c:pt>
                <c:pt idx="15">
                  <c:v>211.4133580081027</c:v>
                </c:pt>
                <c:pt idx="16">
                  <c:v>220.81232976183389</c:v>
                </c:pt>
                <c:pt idx="17">
                  <c:v>231.12205646133381</c:v>
                </c:pt>
                <c:pt idx="18">
                  <c:v>241.07606361192629</c:v>
                </c:pt>
                <c:pt idx="19">
                  <c:v>252.58096578631341</c:v>
                </c:pt>
                <c:pt idx="20">
                  <c:v>264.41737203631249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149-D548-BB61-FAC2CC2C336C}"/>
            </c:ext>
          </c:extLst>
        </c:ser>
        <c:ser>
          <c:idx val="3"/>
          <c:order val="3"/>
          <c:tx>
            <c:strRef>
              <c:f>ws_Volatility_Matched!$I$2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ws_Volatility_Matched!$A$3:$A$23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ws_Volatility_Matched!$I$3:$I$23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116.4004218715645</c:v>
                </c:pt>
                <c:pt idx="2">
                  <c:v>126.7382321883678</c:v>
                </c:pt>
                <c:pt idx="3">
                  <c:v>136.69175249517599</c:v>
                </c:pt>
                <c:pt idx="4">
                  <c:v>148.73239980037249</c:v>
                </c:pt>
                <c:pt idx="5">
                  <c:v>161.44489009035149</c:v>
                </c:pt>
                <c:pt idx="6">
                  <c:v>173.88784273128459</c:v>
                </c:pt>
                <c:pt idx="7">
                  <c:v>187.36886203744359</c:v>
                </c:pt>
                <c:pt idx="8">
                  <c:v>201.33646290659129</c:v>
                </c:pt>
                <c:pt idx="9">
                  <c:v>215.86974865498121</c:v>
                </c:pt>
                <c:pt idx="10">
                  <c:v>231.12540099772201</c:v>
                </c:pt>
                <c:pt idx="11">
                  <c:v>246.6596003787877</c:v>
                </c:pt>
                <c:pt idx="12">
                  <c:v>263.2196179801465</c:v>
                </c:pt>
                <c:pt idx="13">
                  <c:v>280.0995150385242</c:v>
                </c:pt>
                <c:pt idx="14">
                  <c:v>297.99864985499272</c:v>
                </c:pt>
                <c:pt idx="15">
                  <c:v>316.85954706857081</c:v>
                </c:pt>
                <c:pt idx="16">
                  <c:v>337.3086676737899</c:v>
                </c:pt>
                <c:pt idx="17">
                  <c:v>359.02377064244581</c:v>
                </c:pt>
                <c:pt idx="18">
                  <c:v>380.05010541589797</c:v>
                </c:pt>
                <c:pt idx="19">
                  <c:v>401.96403819999159</c:v>
                </c:pt>
                <c:pt idx="20">
                  <c:v>425.87554723977053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149-D548-BB61-FAC2CC2C33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ws_Volatility_Matched!$N$2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ws_Volatility_Matched!$A$3:$A$23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ws_Volatility_Matched!$N$3:$N$23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E2-B440-A753-0D0602068486}"/>
            </c:ext>
          </c:extLst>
        </c:ser>
        <c:ser>
          <c:idx val="1"/>
          <c:order val="1"/>
          <c:tx>
            <c:strRef>
              <c:f>ws_Volatility_Matched!$O$2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ws_Volatility_Matched!$A$3:$A$23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ws_Volatility_Matched!$O$3:$O$23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E2-B440-A753-0D0602068486}"/>
            </c:ext>
          </c:extLst>
        </c:ser>
        <c:ser>
          <c:idx val="2"/>
          <c:order val="2"/>
          <c:tx>
            <c:strRef>
              <c:f>ws_Volatility_Matched!$P$2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ws_Volatility_Matched!$A$3:$A$23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ws_Volatility_Matched!$P$3:$P$23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E2-B440-A753-0D0602068486}"/>
            </c:ext>
          </c:extLst>
        </c:ser>
        <c:ser>
          <c:idx val="3"/>
          <c:order val="3"/>
          <c:tx>
            <c:strRef>
              <c:f>ws_Volatility_Matched!$Q$2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ws_Volatility_Matched!$A$3:$A$23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ws_Volatility_Matched!$Q$3:$Q$23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CE2-B440-A753-0D0602068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0"/>
  <sheetViews>
    <sheetView tabSelected="1" workbookViewId="0">
      <selection activeCell="E42" sqref="E42:G56"/>
    </sheetView>
  </sheetViews>
  <sheetFormatPr baseColWidth="10" defaultColWidth="8.83203125" defaultRowHeight="15"/>
  <cols>
    <col min="1" max="1" width="29" bestFit="1" customWidth="1"/>
    <col min="2" max="3" width="18" customWidth="1"/>
    <col min="5" max="5" width="29" bestFit="1" customWidth="1"/>
    <col min="6" max="6" width="14.1640625" bestFit="1" customWidth="1"/>
    <col min="7" max="7" width="15.1640625" bestFit="1" customWidth="1"/>
    <col min="9" max="9" width="29" bestFit="1" customWidth="1"/>
    <col min="10" max="10" width="14.1640625" bestFit="1" customWidth="1"/>
    <col min="11" max="11" width="15.1640625" bestFit="1" customWidth="1"/>
    <col min="13" max="13" width="29" bestFit="1" customWidth="1"/>
    <col min="14" max="14" width="14.1640625" bestFit="1" customWidth="1"/>
    <col min="15" max="15" width="15.1640625" bestFit="1" customWidth="1"/>
    <col min="17" max="17" width="29" bestFit="1" customWidth="1"/>
    <col min="18" max="18" width="14.1640625" bestFit="1" customWidth="1"/>
    <col min="19" max="19" width="15.1640625" bestFit="1" customWidth="1"/>
  </cols>
  <sheetData>
    <row r="1" spans="1:19" s="62" customFormat="1" ht="37" customHeight="1">
      <c r="A1" s="1"/>
      <c r="B1" s="2" t="s">
        <v>0</v>
      </c>
      <c r="C1" s="2" t="s">
        <v>1</v>
      </c>
      <c r="F1" s="62" t="s">
        <v>0</v>
      </c>
      <c r="G1" s="62" t="s">
        <v>1</v>
      </c>
      <c r="I1" s="63"/>
      <c r="J1" s="63" t="s">
        <v>0</v>
      </c>
      <c r="K1" s="63" t="s">
        <v>1</v>
      </c>
      <c r="M1" s="63"/>
      <c r="N1" s="63" t="s">
        <v>0</v>
      </c>
      <c r="O1" s="63" t="s">
        <v>1</v>
      </c>
      <c r="Q1" s="63"/>
      <c r="R1" s="63" t="s">
        <v>0</v>
      </c>
      <c r="S1" s="63" t="s">
        <v>1</v>
      </c>
    </row>
    <row r="2" spans="1:19" ht="17" customHeight="1">
      <c r="A2" s="3" t="s">
        <v>2</v>
      </c>
      <c r="B2" s="4">
        <v>0.38</v>
      </c>
      <c r="C2" s="4">
        <v>0.2800261549988553</v>
      </c>
      <c r="E2" s="3" t="s">
        <v>2</v>
      </c>
      <c r="F2" s="4">
        <v>0.38</v>
      </c>
      <c r="G2" s="4">
        <v>0.25144584237703399</v>
      </c>
      <c r="I2" s="3" t="s">
        <v>2</v>
      </c>
      <c r="J2" s="4">
        <v>0.38</v>
      </c>
      <c r="K2" s="4">
        <v>0.255140414112346</v>
      </c>
      <c r="L2" s="61"/>
      <c r="M2" s="3" t="s">
        <v>2</v>
      </c>
      <c r="N2" s="4">
        <v>0.38</v>
      </c>
      <c r="O2" s="4">
        <v>0.25199258391826701</v>
      </c>
      <c r="P2" s="61"/>
      <c r="Q2" s="3" t="s">
        <v>2</v>
      </c>
      <c r="R2" s="4">
        <v>0.38</v>
      </c>
      <c r="S2" s="4">
        <v>0.30063086265426298</v>
      </c>
    </row>
    <row r="3" spans="1:19" ht="17" customHeight="1">
      <c r="A3" s="5" t="s">
        <v>3</v>
      </c>
      <c r="B3" s="6">
        <v>20</v>
      </c>
      <c r="C3" s="6">
        <v>16.50000001614713</v>
      </c>
      <c r="E3" s="5" t="s">
        <v>3</v>
      </c>
      <c r="F3" s="6">
        <v>20</v>
      </c>
      <c r="G3" s="6">
        <v>16.500000208903799</v>
      </c>
      <c r="I3" s="5" t="s">
        <v>3</v>
      </c>
      <c r="J3" s="6">
        <v>20</v>
      </c>
      <c r="K3" s="6">
        <v>16.5000000373226</v>
      </c>
      <c r="L3" s="61"/>
      <c r="M3" s="5" t="s">
        <v>3</v>
      </c>
      <c r="N3" s="6">
        <v>20</v>
      </c>
      <c r="O3" s="6">
        <v>17.8612637642672</v>
      </c>
      <c r="P3" s="61"/>
      <c r="Q3" s="5" t="s">
        <v>3</v>
      </c>
      <c r="R3" s="6">
        <v>20</v>
      </c>
      <c r="S3" s="6">
        <v>16.500000410563899</v>
      </c>
    </row>
    <row r="4" spans="1:19" ht="17" customHeight="1">
      <c r="A4" s="5" t="s">
        <v>4</v>
      </c>
      <c r="B4" s="6">
        <v>18</v>
      </c>
      <c r="C4" s="6">
        <v>1.9276113760619651E-8</v>
      </c>
      <c r="E4" s="5" t="s">
        <v>4</v>
      </c>
      <c r="F4" s="6">
        <v>12</v>
      </c>
      <c r="G4" s="6">
        <v>9.5676871392785006E-8</v>
      </c>
      <c r="I4" s="5" t="s">
        <v>4</v>
      </c>
      <c r="J4" s="6">
        <v>12</v>
      </c>
      <c r="K4" s="6">
        <v>1.8300211177705199E-8</v>
      </c>
      <c r="L4" s="61"/>
      <c r="M4" s="5" t="s">
        <v>4</v>
      </c>
      <c r="N4" s="6">
        <v>12</v>
      </c>
      <c r="O4" s="6">
        <v>3.2300622494592899E-8</v>
      </c>
      <c r="P4" s="61"/>
      <c r="Q4" s="5" t="s">
        <v>4</v>
      </c>
      <c r="R4" s="6">
        <v>12</v>
      </c>
      <c r="S4" s="6">
        <v>2.02623693701476E-7</v>
      </c>
    </row>
    <row r="5" spans="1:19" ht="17" customHeight="1">
      <c r="A5" s="5" t="s">
        <v>5</v>
      </c>
      <c r="B5" s="6">
        <v>0</v>
      </c>
      <c r="C5" s="6">
        <v>11.50261546446229</v>
      </c>
      <c r="E5" s="5" t="s">
        <v>100</v>
      </c>
      <c r="F5" s="6">
        <v>6</v>
      </c>
      <c r="G5" s="6">
        <v>4.90311285049299E-10</v>
      </c>
      <c r="I5" s="5" t="s">
        <v>100</v>
      </c>
      <c r="J5" s="6">
        <v>6</v>
      </c>
      <c r="K5" s="6">
        <v>9.8926562030792994E-11</v>
      </c>
      <c r="L5" s="61"/>
      <c r="M5" s="5" t="s">
        <v>100</v>
      </c>
      <c r="N5" s="6">
        <v>6</v>
      </c>
      <c r="O5" s="6">
        <v>7.9641172370202796E-11</v>
      </c>
      <c r="P5" s="61"/>
      <c r="Q5" s="5" t="s">
        <v>100</v>
      </c>
      <c r="R5" s="6">
        <v>6</v>
      </c>
      <c r="S5" s="6">
        <v>8.9523552205111496</v>
      </c>
    </row>
    <row r="6" spans="1:19" ht="17" customHeight="1">
      <c r="A6" s="5"/>
      <c r="B6" s="6"/>
      <c r="C6" s="6"/>
      <c r="E6" s="5" t="s">
        <v>5</v>
      </c>
      <c r="F6" s="6">
        <v>0</v>
      </c>
      <c r="G6" s="6">
        <v>8.6445839326324592</v>
      </c>
      <c r="I6" s="5" t="s">
        <v>5</v>
      </c>
      <c r="J6" s="6">
        <v>0</v>
      </c>
      <c r="K6" s="6">
        <v>9.01404135551293</v>
      </c>
      <c r="L6" s="61"/>
      <c r="M6" s="5" t="s">
        <v>5</v>
      </c>
      <c r="N6" s="6">
        <v>0</v>
      </c>
      <c r="O6" s="6">
        <v>7.33799459517921</v>
      </c>
      <c r="P6" s="61"/>
      <c r="Q6" s="5" t="s">
        <v>5</v>
      </c>
      <c r="R6" s="6">
        <v>0</v>
      </c>
      <c r="S6" s="6">
        <v>4.6107304317275402</v>
      </c>
    </row>
    <row r="7" spans="1:19" ht="17" customHeight="1">
      <c r="A7" s="3" t="s">
        <v>6</v>
      </c>
      <c r="B7" s="4">
        <v>0</v>
      </c>
      <c r="C7" s="4">
        <v>0.1019966940856197</v>
      </c>
      <c r="E7" s="3" t="s">
        <v>6</v>
      </c>
      <c r="F7" s="4">
        <v>0</v>
      </c>
      <c r="G7" s="4">
        <v>0.16563581742158801</v>
      </c>
      <c r="I7" s="3" t="s">
        <v>6</v>
      </c>
      <c r="J7" s="4">
        <v>0</v>
      </c>
      <c r="K7" s="4">
        <v>0.17097867102145201</v>
      </c>
      <c r="L7" s="61"/>
      <c r="M7" s="3" t="s">
        <v>6</v>
      </c>
      <c r="N7" s="4">
        <v>0</v>
      </c>
      <c r="O7" s="4">
        <v>0.125586571523466</v>
      </c>
      <c r="P7" s="61"/>
      <c r="Q7" s="3" t="s">
        <v>6</v>
      </c>
      <c r="R7" s="4">
        <v>0</v>
      </c>
      <c r="S7" s="4">
        <v>0.115046546653736</v>
      </c>
    </row>
    <row r="8" spans="1:19" ht="17" customHeight="1">
      <c r="A8" s="5" t="s">
        <v>7</v>
      </c>
      <c r="B8" s="6">
        <v>0</v>
      </c>
      <c r="C8" s="6">
        <v>6.6253878560803612</v>
      </c>
      <c r="E8" s="5" t="s">
        <v>7</v>
      </c>
      <c r="F8" s="6">
        <v>0</v>
      </c>
      <c r="G8" s="6">
        <v>10.464067565331501</v>
      </c>
      <c r="I8" s="5" t="s">
        <v>7</v>
      </c>
      <c r="J8" s="6">
        <v>0</v>
      </c>
      <c r="K8" s="6">
        <v>10.841809267719</v>
      </c>
      <c r="L8" s="61"/>
      <c r="M8" s="5" t="s">
        <v>7</v>
      </c>
      <c r="N8" s="6">
        <v>0</v>
      </c>
      <c r="O8" s="6">
        <v>5.7782013213660397</v>
      </c>
      <c r="P8" s="61"/>
      <c r="Q8" s="5" t="s">
        <v>7</v>
      </c>
      <c r="R8" s="6">
        <v>0</v>
      </c>
      <c r="S8" s="6">
        <v>5.0295650974843404</v>
      </c>
    </row>
    <row r="9" spans="1:19" ht="17" customHeight="1">
      <c r="A9" s="5" t="s">
        <v>8</v>
      </c>
      <c r="B9" s="6">
        <v>0</v>
      </c>
      <c r="C9" s="6">
        <v>3.5742815524816129</v>
      </c>
      <c r="E9" s="5" t="s">
        <v>8</v>
      </c>
      <c r="F9" s="6">
        <v>0</v>
      </c>
      <c r="G9" s="6">
        <v>6.0995141768272596</v>
      </c>
      <c r="I9" s="5" t="s">
        <v>8</v>
      </c>
      <c r="J9" s="6">
        <v>0</v>
      </c>
      <c r="K9" s="6">
        <v>6.2560578344261799</v>
      </c>
      <c r="L9" s="61"/>
      <c r="M9" s="5" t="s">
        <v>8</v>
      </c>
      <c r="N9" s="6">
        <v>0</v>
      </c>
      <c r="O9" s="6">
        <v>6.7804558309805998</v>
      </c>
      <c r="P9" s="61"/>
      <c r="Q9" s="5" t="s">
        <v>8</v>
      </c>
      <c r="R9" s="6">
        <v>0</v>
      </c>
      <c r="S9" s="6">
        <v>6.4750895678892997</v>
      </c>
    </row>
    <row r="10" spans="1:19" ht="17" customHeight="1">
      <c r="A10" s="3" t="s">
        <v>9</v>
      </c>
      <c r="B10" s="4">
        <v>0.46</v>
      </c>
      <c r="C10" s="4">
        <v>0.26607773428886838</v>
      </c>
      <c r="E10" s="3" t="s">
        <v>9</v>
      </c>
      <c r="F10" s="4">
        <v>0.46</v>
      </c>
      <c r="G10" s="4">
        <v>0.36189749197386201</v>
      </c>
      <c r="I10" s="3" t="s">
        <v>9</v>
      </c>
      <c r="J10" s="4">
        <v>0.46</v>
      </c>
      <c r="K10" s="4">
        <v>0.343439879532005</v>
      </c>
      <c r="L10" s="61"/>
      <c r="M10" s="3" t="s">
        <v>9</v>
      </c>
      <c r="N10" s="4">
        <v>0.46</v>
      </c>
      <c r="O10" s="4">
        <v>0.34093680647008601</v>
      </c>
      <c r="P10" s="61"/>
      <c r="Q10" s="3" t="s">
        <v>9</v>
      </c>
      <c r="R10" s="4">
        <v>0.46</v>
      </c>
      <c r="S10" s="4">
        <v>0.35298340343565399</v>
      </c>
    </row>
    <row r="11" spans="1:19" ht="17" customHeight="1">
      <c r="A11" s="5" t="s">
        <v>10</v>
      </c>
      <c r="B11" s="6">
        <v>10</v>
      </c>
      <c r="C11" s="6">
        <v>7.602334552319012E-11</v>
      </c>
      <c r="E11" s="5" t="s">
        <v>10</v>
      </c>
      <c r="F11" s="6">
        <v>10</v>
      </c>
      <c r="G11" s="6">
        <v>4.9896087899528098E-10</v>
      </c>
      <c r="I11" s="5" t="s">
        <v>10</v>
      </c>
      <c r="J11" s="6">
        <v>10</v>
      </c>
      <c r="K11" s="6">
        <v>1.01566306358318E-10</v>
      </c>
      <c r="L11" s="61"/>
      <c r="M11" s="5" t="s">
        <v>10</v>
      </c>
      <c r="N11" s="6">
        <v>10</v>
      </c>
      <c r="O11" s="6">
        <v>8.0740534986610598E-11</v>
      </c>
      <c r="P11" s="61"/>
      <c r="Q11" s="5" t="s">
        <v>10</v>
      </c>
      <c r="R11" s="6">
        <v>10</v>
      </c>
      <c r="S11" s="6">
        <v>1.1037364260313601E-9</v>
      </c>
    </row>
    <row r="12" spans="1:19" ht="17" customHeight="1">
      <c r="A12" s="5" t="s">
        <v>11</v>
      </c>
      <c r="B12" s="6">
        <v>6</v>
      </c>
      <c r="C12" s="6">
        <v>3.5923024287882881</v>
      </c>
      <c r="E12" s="5" t="s">
        <v>11</v>
      </c>
      <c r="F12" s="6">
        <v>6</v>
      </c>
      <c r="G12" s="6">
        <v>5.4247704963565804</v>
      </c>
      <c r="I12" s="5" t="s">
        <v>11</v>
      </c>
      <c r="J12" s="6">
        <v>6</v>
      </c>
      <c r="K12" s="6">
        <v>5.6128787638920397</v>
      </c>
      <c r="L12" s="61"/>
      <c r="M12" s="5" t="s">
        <v>11</v>
      </c>
      <c r="N12" s="6">
        <v>6</v>
      </c>
      <c r="O12" s="6">
        <v>5.8265212321443398</v>
      </c>
      <c r="P12" s="61"/>
      <c r="Q12" s="5" t="s">
        <v>11</v>
      </c>
      <c r="R12" s="6">
        <v>6</v>
      </c>
      <c r="S12" s="6">
        <v>6.0244112759816897</v>
      </c>
    </row>
    <row r="13" spans="1:19" ht="17" customHeight="1">
      <c r="A13" s="5" t="s">
        <v>12</v>
      </c>
      <c r="B13" s="6">
        <v>5</v>
      </c>
      <c r="C13" s="6">
        <v>4.0413402323869079</v>
      </c>
      <c r="E13" s="5" t="s">
        <v>12</v>
      </c>
      <c r="F13" s="6">
        <v>5</v>
      </c>
      <c r="G13" s="6">
        <v>6.1028668084017497</v>
      </c>
      <c r="I13" s="5" t="s">
        <v>12</v>
      </c>
      <c r="J13" s="6">
        <v>5</v>
      </c>
      <c r="K13" s="6">
        <v>6.3144886093786798</v>
      </c>
      <c r="L13" s="61"/>
      <c r="M13" s="5" t="s">
        <v>12</v>
      </c>
      <c r="N13" s="6">
        <v>5</v>
      </c>
      <c r="O13" s="6">
        <v>6.5548363861624699</v>
      </c>
      <c r="P13" s="61"/>
      <c r="Q13" s="5" t="s">
        <v>12</v>
      </c>
      <c r="R13" s="6">
        <v>5</v>
      </c>
      <c r="S13" s="6">
        <v>6.7774626854806002</v>
      </c>
    </row>
    <row r="14" spans="1:19" ht="17" customHeight="1">
      <c r="A14" s="5" t="s">
        <v>13</v>
      </c>
      <c r="B14" s="6">
        <v>0</v>
      </c>
      <c r="C14" s="6">
        <v>1.347113410795767</v>
      </c>
      <c r="E14" s="5" t="s">
        <v>13</v>
      </c>
      <c r="F14" s="6">
        <v>0</v>
      </c>
      <c r="G14" s="6">
        <v>2.03428893613455</v>
      </c>
      <c r="I14" s="5" t="s">
        <v>13</v>
      </c>
      <c r="J14" s="6">
        <v>0</v>
      </c>
      <c r="K14" s="6">
        <v>2.1048295364596901</v>
      </c>
      <c r="L14" s="61"/>
      <c r="M14" s="5" t="s">
        <v>13</v>
      </c>
      <c r="N14" s="6">
        <v>0</v>
      </c>
      <c r="O14" s="6">
        <v>2.1849454620542801</v>
      </c>
      <c r="P14" s="61"/>
      <c r="Q14" s="5" t="s">
        <v>13</v>
      </c>
      <c r="R14" s="6">
        <v>0</v>
      </c>
      <c r="S14" s="6">
        <v>2.2591542284955999</v>
      </c>
    </row>
    <row r="15" spans="1:19" ht="17" customHeight="1">
      <c r="A15" s="5" t="s">
        <v>14</v>
      </c>
      <c r="B15" s="6">
        <v>7.0000000000000009</v>
      </c>
      <c r="C15" s="6">
        <v>2.5858575437729701</v>
      </c>
      <c r="E15" s="5" t="s">
        <v>14</v>
      </c>
      <c r="F15" s="6">
        <v>7</v>
      </c>
      <c r="G15" s="6">
        <v>3.2193390283413299</v>
      </c>
      <c r="I15" s="5" t="s">
        <v>14</v>
      </c>
      <c r="J15" s="6">
        <v>7</v>
      </c>
      <c r="K15" s="6">
        <v>3.3795557489005299</v>
      </c>
      <c r="L15" s="61"/>
      <c r="M15" s="5" t="s">
        <v>14</v>
      </c>
      <c r="N15" s="6">
        <v>7</v>
      </c>
      <c r="O15" s="6">
        <v>3.50292629228663</v>
      </c>
      <c r="P15" s="61"/>
      <c r="Q15" s="5" t="s">
        <v>14</v>
      </c>
      <c r="R15" s="6">
        <v>7</v>
      </c>
      <c r="S15" s="6">
        <v>3.7273302653855001</v>
      </c>
    </row>
    <row r="16" spans="1:19" ht="17" customHeight="1">
      <c r="A16" s="5" t="s">
        <v>15</v>
      </c>
      <c r="B16" s="6">
        <v>0</v>
      </c>
      <c r="C16" s="6">
        <v>3.3578172407928109</v>
      </c>
      <c r="E16" s="5" t="s">
        <v>15</v>
      </c>
      <c r="F16" s="6">
        <v>0</v>
      </c>
      <c r="G16" s="6">
        <v>4.9133441176099204</v>
      </c>
      <c r="I16" s="5" t="s">
        <v>15</v>
      </c>
      <c r="J16" s="6">
        <v>0</v>
      </c>
      <c r="K16" s="6">
        <v>5.0973266656750802</v>
      </c>
      <c r="L16" s="61"/>
      <c r="M16" s="5" t="s">
        <v>15</v>
      </c>
      <c r="N16" s="6">
        <v>0</v>
      </c>
      <c r="O16" s="6">
        <v>5.3679561161626896</v>
      </c>
      <c r="P16" s="61"/>
      <c r="Q16" s="5" t="s">
        <v>15</v>
      </c>
      <c r="R16" s="6">
        <v>0</v>
      </c>
      <c r="S16" s="6">
        <v>5.4476896649565001</v>
      </c>
    </row>
    <row r="17" spans="1:19" ht="17" customHeight="1">
      <c r="A17" s="5" t="s">
        <v>16</v>
      </c>
      <c r="B17" s="6">
        <v>4</v>
      </c>
      <c r="C17" s="6">
        <v>0.90660798268083187</v>
      </c>
      <c r="E17" s="5" t="s">
        <v>16</v>
      </c>
      <c r="F17" s="6">
        <v>4</v>
      </c>
      <c r="G17" s="6">
        <v>3.5458477121175898E-2</v>
      </c>
      <c r="I17" s="5" t="s">
        <v>16</v>
      </c>
      <c r="J17" s="6">
        <v>4</v>
      </c>
      <c r="K17" s="6">
        <v>0.13431977558069699</v>
      </c>
      <c r="L17" s="61"/>
      <c r="M17" s="5" t="s">
        <v>16</v>
      </c>
      <c r="N17" s="6">
        <v>4</v>
      </c>
      <c r="O17" s="6">
        <v>0.19478637279676</v>
      </c>
      <c r="P17" s="61"/>
      <c r="Q17" s="5" t="s">
        <v>16</v>
      </c>
      <c r="R17" s="6">
        <v>4</v>
      </c>
      <c r="S17" s="6">
        <v>0.30632642790845799</v>
      </c>
    </row>
    <row r="18" spans="1:19" ht="17" customHeight="1">
      <c r="A18" s="5" t="s">
        <v>17</v>
      </c>
      <c r="B18" s="6">
        <v>8</v>
      </c>
      <c r="C18" s="6">
        <v>2.678646714260815</v>
      </c>
      <c r="E18" s="5" t="s">
        <v>17</v>
      </c>
      <c r="F18" s="6">
        <v>8</v>
      </c>
      <c r="G18" s="6">
        <v>3.9794240026698202</v>
      </c>
      <c r="I18" s="5" t="s">
        <v>17</v>
      </c>
      <c r="J18" s="6">
        <v>8</v>
      </c>
      <c r="K18" s="6">
        <v>4.1099971105257502</v>
      </c>
      <c r="L18" s="61"/>
      <c r="M18" s="5" t="s">
        <v>17</v>
      </c>
      <c r="N18" s="6">
        <v>8</v>
      </c>
      <c r="O18" s="6">
        <v>4.2390579298125299</v>
      </c>
      <c r="P18" s="61"/>
      <c r="Q18" s="5" t="s">
        <v>17</v>
      </c>
      <c r="R18" s="6">
        <v>8</v>
      </c>
      <c r="S18" s="6">
        <v>4.4190242501723098</v>
      </c>
    </row>
    <row r="19" spans="1:19" ht="17" customHeight="1">
      <c r="A19" s="5" t="s">
        <v>18</v>
      </c>
      <c r="B19" s="6">
        <v>6</v>
      </c>
      <c r="C19" s="6">
        <v>2.0352582422984091</v>
      </c>
      <c r="E19" s="5" t="s">
        <v>18</v>
      </c>
      <c r="F19" s="6">
        <v>6</v>
      </c>
      <c r="G19" s="6">
        <v>3.1828322485428999</v>
      </c>
      <c r="I19" s="5" t="s">
        <v>18</v>
      </c>
      <c r="J19" s="6">
        <v>6</v>
      </c>
      <c r="K19" s="6">
        <v>3.26694789355343</v>
      </c>
      <c r="L19" s="61"/>
      <c r="M19" s="5" t="s">
        <v>18</v>
      </c>
      <c r="N19" s="6">
        <v>6</v>
      </c>
      <c r="O19" s="6">
        <v>3.2828010288247098</v>
      </c>
      <c r="P19" s="61"/>
      <c r="Q19" s="5" t="s">
        <v>18</v>
      </c>
      <c r="R19" s="6">
        <v>6</v>
      </c>
      <c r="S19" s="6">
        <v>3.5256509886718601</v>
      </c>
    </row>
    <row r="20" spans="1:19" ht="17" customHeight="1">
      <c r="A20" s="5" t="s">
        <v>19</v>
      </c>
      <c r="B20" s="6">
        <v>0</v>
      </c>
      <c r="C20" s="6">
        <v>3.0314148165182431</v>
      </c>
      <c r="E20" s="5" t="s">
        <v>19</v>
      </c>
      <c r="F20" s="6">
        <v>0</v>
      </c>
      <c r="G20" s="6">
        <v>3.6487125408553802</v>
      </c>
      <c r="I20" s="5" t="s">
        <v>19</v>
      </c>
      <c r="J20" s="6">
        <v>0</v>
      </c>
      <c r="K20" s="6">
        <v>2.1618219245652299</v>
      </c>
      <c r="L20" s="61"/>
      <c r="M20" s="5" t="s">
        <v>19</v>
      </c>
      <c r="N20" s="6">
        <v>0</v>
      </c>
      <c r="O20" s="6">
        <v>1.4699249133402901</v>
      </c>
      <c r="P20" s="61"/>
      <c r="Q20" s="5" t="s">
        <v>19</v>
      </c>
      <c r="R20" s="6">
        <v>0</v>
      </c>
      <c r="S20" s="6">
        <v>1.40564527768684</v>
      </c>
    </row>
    <row r="21" spans="1:19" ht="17" customHeight="1">
      <c r="A21" s="5" t="s">
        <v>20</v>
      </c>
      <c r="B21" s="6">
        <v>0</v>
      </c>
      <c r="C21" s="6">
        <v>3.031414816515777</v>
      </c>
      <c r="E21" s="5" t="s">
        <v>20</v>
      </c>
      <c r="F21" s="6">
        <v>0</v>
      </c>
      <c r="G21" s="6">
        <v>3.6487125408538499</v>
      </c>
      <c r="I21" s="5" t="s">
        <v>20</v>
      </c>
      <c r="J21" s="6">
        <v>0</v>
      </c>
      <c r="K21" s="6">
        <v>2.1618219245678199</v>
      </c>
      <c r="L21" s="61"/>
      <c r="M21" s="5" t="s">
        <v>20</v>
      </c>
      <c r="N21" s="6">
        <v>0</v>
      </c>
      <c r="O21" s="6">
        <v>1.46992491334318</v>
      </c>
      <c r="P21" s="61"/>
      <c r="Q21" s="5" t="s">
        <v>20</v>
      </c>
      <c r="R21" s="6">
        <v>0</v>
      </c>
      <c r="S21" s="6">
        <v>1.4056452777222599</v>
      </c>
    </row>
    <row r="22" spans="1:19" ht="17" customHeight="1">
      <c r="A22" s="3" t="s">
        <v>21</v>
      </c>
      <c r="B22" s="4">
        <v>0.16</v>
      </c>
      <c r="C22" s="4">
        <v>8.4567902694472563E-2</v>
      </c>
      <c r="E22" s="3" t="s">
        <v>21</v>
      </c>
      <c r="F22" s="4">
        <v>0.16</v>
      </c>
      <c r="G22" s="4">
        <v>9.3107376559670302E-2</v>
      </c>
      <c r="I22" s="3" t="s">
        <v>21</v>
      </c>
      <c r="J22" s="4">
        <v>0.16</v>
      </c>
      <c r="K22" s="4">
        <v>9.9939829987312795E-2</v>
      </c>
      <c r="L22" s="61"/>
      <c r="M22" s="3" t="s">
        <v>21</v>
      </c>
      <c r="N22" s="4">
        <v>0.16</v>
      </c>
      <c r="O22" s="4">
        <v>0.14359211021436299</v>
      </c>
      <c r="P22" s="61"/>
      <c r="Q22" s="3" t="s">
        <v>21</v>
      </c>
      <c r="R22" s="4">
        <v>0.16</v>
      </c>
      <c r="S22" s="4">
        <v>9.5910529384384893E-2</v>
      </c>
    </row>
    <row r="23" spans="1:19" ht="17" customHeight="1">
      <c r="A23" s="5" t="s">
        <v>22</v>
      </c>
      <c r="B23" s="6">
        <v>16</v>
      </c>
      <c r="C23" s="6">
        <v>7.2841165426322371E-11</v>
      </c>
      <c r="E23" s="5" t="s">
        <v>22</v>
      </c>
      <c r="F23" s="6">
        <v>16</v>
      </c>
      <c r="G23" s="6">
        <v>4.8465706248121902E-10</v>
      </c>
      <c r="I23" s="5" t="s">
        <v>22</v>
      </c>
      <c r="J23" s="6">
        <v>16</v>
      </c>
      <c r="K23" s="6">
        <v>9.7944855978137201E-11</v>
      </c>
      <c r="L23" s="61"/>
      <c r="M23" s="5" t="s">
        <v>22</v>
      </c>
      <c r="N23" s="6">
        <v>16</v>
      </c>
      <c r="O23" s="6">
        <v>7.8692103007556599E-11</v>
      </c>
      <c r="P23" s="61"/>
      <c r="Q23" s="5" t="s">
        <v>22</v>
      </c>
      <c r="R23" s="6">
        <v>16</v>
      </c>
      <c r="S23" s="6">
        <v>1.0680874123943299E-9</v>
      </c>
    </row>
    <row r="24" spans="1:19" ht="17" customHeight="1">
      <c r="A24" s="5" t="s">
        <v>23</v>
      </c>
      <c r="B24" s="6">
        <v>0</v>
      </c>
      <c r="C24" s="6">
        <v>3.450434389156523</v>
      </c>
      <c r="E24" s="5" t="s">
        <v>23</v>
      </c>
      <c r="F24" s="6">
        <v>0</v>
      </c>
      <c r="G24" s="6">
        <v>2.4768862028365799</v>
      </c>
      <c r="I24" s="5" t="s">
        <v>23</v>
      </c>
      <c r="J24" s="6">
        <v>0</v>
      </c>
      <c r="K24" s="6">
        <v>2.8323643426122498</v>
      </c>
      <c r="L24" s="61"/>
      <c r="M24" s="5" t="s">
        <v>23</v>
      </c>
      <c r="N24" s="6">
        <v>0</v>
      </c>
      <c r="O24" s="6">
        <v>5.0404421153272398</v>
      </c>
      <c r="P24" s="61"/>
      <c r="Q24" s="5" t="s">
        <v>23</v>
      </c>
      <c r="R24" s="6">
        <v>0</v>
      </c>
      <c r="S24" s="6">
        <v>2.6238500033962202</v>
      </c>
    </row>
    <row r="25" spans="1:19" ht="17" customHeight="1">
      <c r="A25" s="5" t="s">
        <v>24</v>
      </c>
      <c r="B25" s="6">
        <v>0</v>
      </c>
      <c r="C25" s="6">
        <v>1.836056318420644</v>
      </c>
      <c r="E25" s="5" t="s">
        <v>24</v>
      </c>
      <c r="F25" s="6">
        <v>0</v>
      </c>
      <c r="G25" s="6">
        <v>0.31240040326108698</v>
      </c>
      <c r="I25" s="5" t="s">
        <v>24</v>
      </c>
      <c r="J25" s="6">
        <v>0</v>
      </c>
      <c r="K25" s="6">
        <v>0.51107143628385698</v>
      </c>
      <c r="L25" s="61"/>
      <c r="M25" s="5" t="s">
        <v>24</v>
      </c>
      <c r="N25" s="6">
        <v>0</v>
      </c>
      <c r="O25" s="6">
        <v>1.2836358314612299</v>
      </c>
      <c r="P25" s="61"/>
      <c r="Q25" s="5" t="s">
        <v>24</v>
      </c>
      <c r="R25" s="6">
        <v>0</v>
      </c>
      <c r="S25" s="6">
        <v>0.57603581085330202</v>
      </c>
    </row>
    <row r="26" spans="1:19" ht="17" customHeight="1">
      <c r="A26" s="5" t="s">
        <v>25</v>
      </c>
      <c r="B26" s="6">
        <v>0</v>
      </c>
      <c r="C26" s="6">
        <v>3.1702995617972491</v>
      </c>
      <c r="E26" s="5" t="s">
        <v>25</v>
      </c>
      <c r="F26" s="6">
        <v>0</v>
      </c>
      <c r="G26" s="6">
        <v>6.5214510493846998</v>
      </c>
      <c r="I26" s="5" t="s">
        <v>25</v>
      </c>
      <c r="J26" s="6">
        <v>0</v>
      </c>
      <c r="K26" s="6">
        <v>6.6505472197372297</v>
      </c>
      <c r="L26" s="61"/>
      <c r="M26" s="5" t="s">
        <v>25</v>
      </c>
      <c r="N26" s="6">
        <v>0</v>
      </c>
      <c r="O26" s="6">
        <v>8.0351330745691492</v>
      </c>
      <c r="P26" s="61"/>
      <c r="Q26" s="5" t="s">
        <v>25</v>
      </c>
      <c r="R26" s="6">
        <v>0</v>
      </c>
      <c r="S26" s="6">
        <v>6.39116712312088</v>
      </c>
    </row>
    <row r="27" spans="1:19" ht="17" customHeight="1">
      <c r="A27" s="3" t="s">
        <v>26</v>
      </c>
      <c r="B27" s="4">
        <v>0</v>
      </c>
      <c r="C27" s="4">
        <v>0.118203784297695</v>
      </c>
      <c r="E27" s="3" t="s">
        <v>26</v>
      </c>
      <c r="F27" s="4">
        <v>0</v>
      </c>
      <c r="G27" s="4">
        <v>5.0929158774266299E-2</v>
      </c>
      <c r="I27" s="3" t="s">
        <v>26</v>
      </c>
      <c r="J27" s="4">
        <v>0</v>
      </c>
      <c r="K27" s="4">
        <v>5.2217913557193199E-2</v>
      </c>
      <c r="L27" s="61"/>
      <c r="M27" s="3" t="s">
        <v>26</v>
      </c>
      <c r="N27" s="4">
        <v>0</v>
      </c>
      <c r="O27" s="4">
        <v>5.4222310196806497E-2</v>
      </c>
      <c r="P27" s="61"/>
      <c r="Q27" s="3" t="s">
        <v>26</v>
      </c>
      <c r="R27" s="4">
        <v>0</v>
      </c>
      <c r="S27" s="4">
        <v>5.5151401762785802E-2</v>
      </c>
    </row>
    <row r="28" spans="1:19" ht="17" customHeight="1">
      <c r="A28" s="5" t="s">
        <v>27</v>
      </c>
      <c r="B28" s="6">
        <v>0</v>
      </c>
      <c r="C28" s="6">
        <v>4.8693516195126296</v>
      </c>
      <c r="E28" s="5" t="s">
        <v>27</v>
      </c>
      <c r="F28" s="6">
        <v>0</v>
      </c>
      <c r="G28" s="6">
        <v>2.1676156152184101</v>
      </c>
      <c r="I28" s="5" t="s">
        <v>27</v>
      </c>
      <c r="J28" s="6">
        <v>0</v>
      </c>
      <c r="K28" s="6">
        <v>2.2194231148024199</v>
      </c>
      <c r="L28" s="61"/>
      <c r="M28" s="5" t="s">
        <v>27</v>
      </c>
      <c r="N28" s="6">
        <v>0</v>
      </c>
      <c r="O28" s="6">
        <v>2.3174621439607002</v>
      </c>
      <c r="P28" s="61"/>
      <c r="Q28" s="5" t="s">
        <v>27</v>
      </c>
      <c r="R28" s="6">
        <v>0</v>
      </c>
      <c r="S28" s="6">
        <v>2.3292505507112802</v>
      </c>
    </row>
    <row r="29" spans="1:19" ht="17" customHeight="1">
      <c r="A29" s="5" t="s">
        <v>28</v>
      </c>
      <c r="B29" s="6">
        <v>0</v>
      </c>
      <c r="C29" s="6">
        <v>3.878731885273262</v>
      </c>
      <c r="E29" s="5" t="s">
        <v>28</v>
      </c>
      <c r="F29" s="6">
        <v>0</v>
      </c>
      <c r="G29" s="6">
        <v>1.6801531391756901</v>
      </c>
      <c r="I29" s="5" t="s">
        <v>28</v>
      </c>
      <c r="J29" s="6">
        <v>0</v>
      </c>
      <c r="K29" s="6">
        <v>1.7214611164495499</v>
      </c>
      <c r="L29" s="61"/>
      <c r="M29" s="5" t="s">
        <v>28</v>
      </c>
      <c r="N29" s="6">
        <v>0</v>
      </c>
      <c r="O29" s="6">
        <v>1.7830793608878801</v>
      </c>
      <c r="P29" s="61"/>
      <c r="Q29" s="5" t="s">
        <v>28</v>
      </c>
      <c r="R29" s="6">
        <v>0</v>
      </c>
      <c r="S29" s="6">
        <v>1.8192047841982599</v>
      </c>
    </row>
    <row r="30" spans="1:19" ht="17" customHeight="1">
      <c r="A30" s="5" t="s">
        <v>29</v>
      </c>
      <c r="B30" s="6">
        <v>0</v>
      </c>
      <c r="C30" s="6">
        <v>3.0722949249836118</v>
      </c>
      <c r="E30" s="5" t="s">
        <v>29</v>
      </c>
      <c r="F30" s="6">
        <v>0</v>
      </c>
      <c r="G30" s="6">
        <v>1.24514712303252</v>
      </c>
      <c r="I30" s="5" t="s">
        <v>29</v>
      </c>
      <c r="J30" s="6">
        <v>0</v>
      </c>
      <c r="K30" s="6">
        <v>1.28090712446734</v>
      </c>
      <c r="L30" s="61"/>
      <c r="M30" s="5" t="s">
        <v>29</v>
      </c>
      <c r="N30" s="6">
        <v>0</v>
      </c>
      <c r="O30" s="6">
        <v>1.32168951483206</v>
      </c>
      <c r="P30" s="61"/>
      <c r="Q30" s="5" t="s">
        <v>29</v>
      </c>
      <c r="R30" s="6">
        <v>0</v>
      </c>
      <c r="S30" s="6">
        <v>1.36668484136903</v>
      </c>
    </row>
    <row r="31" spans="1:19" ht="17" customHeight="1">
      <c r="A31" s="3" t="s">
        <v>30</v>
      </c>
      <c r="B31" s="4">
        <v>0</v>
      </c>
      <c r="C31" s="4">
        <v>0.1491277296344958</v>
      </c>
      <c r="E31" s="3" t="s">
        <v>30</v>
      </c>
      <c r="F31" s="4">
        <v>0</v>
      </c>
      <c r="G31" s="4">
        <v>7.6984312893579696E-2</v>
      </c>
      <c r="I31" s="3" t="s">
        <v>30</v>
      </c>
      <c r="J31" s="4">
        <v>0</v>
      </c>
      <c r="K31" s="4">
        <v>7.8283291789709095E-2</v>
      </c>
      <c r="L31" s="61"/>
      <c r="M31" s="3" t="s">
        <v>30</v>
      </c>
      <c r="N31" s="4">
        <v>0</v>
      </c>
      <c r="O31" s="4">
        <v>8.3669617677016403E-2</v>
      </c>
      <c r="P31" s="61"/>
      <c r="Q31" s="3" t="s">
        <v>30</v>
      </c>
      <c r="R31" s="4">
        <v>0</v>
      </c>
      <c r="S31" s="4">
        <v>8.0277256109216502E-2</v>
      </c>
    </row>
    <row r="32" spans="1:19" ht="17" customHeight="1">
      <c r="A32" s="5" t="s">
        <v>31</v>
      </c>
      <c r="B32" s="6">
        <v>0</v>
      </c>
      <c r="C32" s="6">
        <v>6.5490949770964537</v>
      </c>
      <c r="E32" s="5" t="s">
        <v>31</v>
      </c>
      <c r="F32" s="6">
        <v>0</v>
      </c>
      <c r="G32" s="6">
        <v>3.3223476850290399</v>
      </c>
      <c r="I32" s="5" t="s">
        <v>31</v>
      </c>
      <c r="J32" s="6">
        <v>0</v>
      </c>
      <c r="K32" s="6">
        <v>3.3814585942679898</v>
      </c>
      <c r="L32" s="61"/>
      <c r="M32" s="5" t="s">
        <v>31</v>
      </c>
      <c r="N32" s="6">
        <v>0</v>
      </c>
      <c r="O32" s="6">
        <v>3.6440009632663801</v>
      </c>
      <c r="P32" s="61"/>
      <c r="Q32" s="5" t="s">
        <v>31</v>
      </c>
      <c r="R32" s="6">
        <v>0</v>
      </c>
      <c r="S32" s="6">
        <v>3.4634572528943499</v>
      </c>
    </row>
    <row r="33" spans="1:19" ht="17" customHeight="1">
      <c r="A33" s="5" t="s">
        <v>32</v>
      </c>
      <c r="B33" s="6">
        <v>0</v>
      </c>
      <c r="C33" s="6">
        <v>6.272758489763862</v>
      </c>
      <c r="E33" s="5" t="s">
        <v>32</v>
      </c>
      <c r="F33" s="6">
        <v>0</v>
      </c>
      <c r="G33" s="6">
        <v>3.2820627032410301</v>
      </c>
      <c r="I33" s="5" t="s">
        <v>32</v>
      </c>
      <c r="J33" s="6">
        <v>0</v>
      </c>
      <c r="K33" s="6">
        <v>3.3351529385259502</v>
      </c>
      <c r="L33" s="61"/>
      <c r="M33" s="5" t="s">
        <v>32</v>
      </c>
      <c r="N33" s="6">
        <v>0</v>
      </c>
      <c r="O33" s="6">
        <v>3.5422206033255002</v>
      </c>
      <c r="P33" s="61"/>
      <c r="Q33" s="5" t="s">
        <v>32</v>
      </c>
      <c r="R33" s="6">
        <v>0</v>
      </c>
      <c r="S33" s="6">
        <v>3.4232012685078699</v>
      </c>
    </row>
    <row r="34" spans="1:19" ht="17" customHeight="1">
      <c r="A34" s="5" t="s">
        <v>33</v>
      </c>
      <c r="B34" s="6">
        <v>0</v>
      </c>
      <c r="C34" s="6">
        <v>2.0909194965892639</v>
      </c>
      <c r="E34" s="5" t="s">
        <v>33</v>
      </c>
      <c r="F34" s="6">
        <v>0</v>
      </c>
      <c r="G34" s="6">
        <v>1.0940209010878901</v>
      </c>
      <c r="I34" s="5" t="s">
        <v>33</v>
      </c>
      <c r="J34" s="6">
        <v>0</v>
      </c>
      <c r="K34" s="6">
        <v>1.11171764617696</v>
      </c>
      <c r="L34" s="61"/>
      <c r="M34" s="5" t="s">
        <v>33</v>
      </c>
      <c r="N34" s="6">
        <v>0</v>
      </c>
      <c r="O34" s="6">
        <v>1.1807402011097401</v>
      </c>
      <c r="P34" s="61"/>
      <c r="Q34" s="5" t="s">
        <v>33</v>
      </c>
      <c r="R34" s="6">
        <v>0</v>
      </c>
      <c r="S34" s="6">
        <v>1.1410670895194199</v>
      </c>
    </row>
    <row r="35" spans="1:19" ht="23" customHeight="1">
      <c r="A35" s="7" t="s">
        <v>34</v>
      </c>
      <c r="B35" s="8">
        <v>1</v>
      </c>
      <c r="C35" s="8">
        <v>1</v>
      </c>
      <c r="E35" s="7" t="s">
        <v>34</v>
      </c>
      <c r="F35" s="8">
        <v>1</v>
      </c>
      <c r="G35" s="8">
        <v>1</v>
      </c>
      <c r="I35" s="7" t="s">
        <v>34</v>
      </c>
      <c r="J35" s="8">
        <v>1</v>
      </c>
      <c r="K35" s="8">
        <v>1</v>
      </c>
      <c r="L35" s="61"/>
      <c r="M35" s="7" t="s">
        <v>34</v>
      </c>
      <c r="N35" s="8">
        <v>1</v>
      </c>
      <c r="O35" s="8">
        <v>1</v>
      </c>
      <c r="P35" s="61"/>
      <c r="Q35" s="7" t="s">
        <v>34</v>
      </c>
      <c r="R35" s="8">
        <v>1</v>
      </c>
      <c r="S35" s="8">
        <v>1</v>
      </c>
    </row>
    <row r="36" spans="1:19" ht="3" customHeight="1">
      <c r="A36" s="9"/>
      <c r="B36" s="9"/>
      <c r="C36" s="9"/>
      <c r="E36" s="9"/>
      <c r="F36" s="9"/>
      <c r="G36" s="9"/>
      <c r="I36" s="9"/>
      <c r="J36" s="9"/>
      <c r="K36" s="9"/>
      <c r="L36" s="61"/>
      <c r="M36" s="9"/>
      <c r="N36" s="9"/>
      <c r="O36" s="9"/>
      <c r="P36" s="61"/>
      <c r="Q36" s="9"/>
      <c r="R36" s="9"/>
      <c r="S36" s="9"/>
    </row>
    <row r="37" spans="1:19" ht="23" customHeight="1">
      <c r="A37" s="10" t="s">
        <v>35</v>
      </c>
      <c r="B37" s="11">
        <v>5.3990265611727463E-2</v>
      </c>
      <c r="C37" s="11">
        <v>6.7001946024223727E-2</v>
      </c>
      <c r="E37" s="10" t="s">
        <v>35</v>
      </c>
      <c r="F37" s="11">
        <v>5.4985874832119197E-2</v>
      </c>
      <c r="G37" s="11">
        <v>6.5693741011384296E-2</v>
      </c>
      <c r="I37" s="10" t="s">
        <v>35</v>
      </c>
      <c r="J37" s="11">
        <v>5.4985874832119197E-2</v>
      </c>
      <c r="K37" s="11">
        <v>6.5330674129632602E-2</v>
      </c>
      <c r="L37" s="61"/>
      <c r="M37" s="10" t="s">
        <v>35</v>
      </c>
      <c r="N37" s="11">
        <v>5.4985874832119197E-2</v>
      </c>
      <c r="O37" s="11">
        <v>6.5061254932205603E-2</v>
      </c>
      <c r="P37" s="61"/>
      <c r="Q37" s="10" t="s">
        <v>35</v>
      </c>
      <c r="R37" s="11">
        <v>5.4985874832119197E-2</v>
      </c>
      <c r="S37" s="11">
        <v>6.5171120207632202E-2</v>
      </c>
    </row>
    <row r="38" spans="1:19" ht="23" customHeight="1">
      <c r="A38" s="10" t="s">
        <v>36</v>
      </c>
      <c r="B38" s="12">
        <v>0.39333907606745722</v>
      </c>
      <c r="C38" s="12">
        <v>0.56730030380411034</v>
      </c>
      <c r="E38" s="10" t="s">
        <v>36</v>
      </c>
      <c r="F38" s="12">
        <v>0.40251826388308098</v>
      </c>
      <c r="G38" s="12">
        <v>0.54100385220275904</v>
      </c>
      <c r="I38" s="10" t="s">
        <v>36</v>
      </c>
      <c r="J38" s="12">
        <v>0.40251826388308098</v>
      </c>
      <c r="K38" s="12">
        <v>0.53602621300356501</v>
      </c>
      <c r="L38" s="61"/>
      <c r="M38" s="10" t="s">
        <v>36</v>
      </c>
      <c r="N38" s="12">
        <v>0.40251826388308098</v>
      </c>
      <c r="O38" s="12">
        <v>0.53129447130685004</v>
      </c>
      <c r="P38" s="61"/>
      <c r="Q38" s="10" t="s">
        <v>36</v>
      </c>
      <c r="R38" s="12">
        <v>0.40251826388308098</v>
      </c>
      <c r="S38" s="12">
        <v>0.53409333460853303</v>
      </c>
    </row>
    <row r="39" spans="1:19" ht="3" customHeight="1">
      <c r="A39" s="9"/>
      <c r="B39" s="9"/>
      <c r="C39" s="9"/>
      <c r="E39" s="9"/>
      <c r="F39" s="9"/>
      <c r="G39" s="9"/>
      <c r="I39" s="9"/>
      <c r="J39" s="9"/>
      <c r="K39" s="9"/>
      <c r="L39" s="61"/>
      <c r="M39" s="9"/>
      <c r="N39" s="9"/>
      <c r="O39" s="9"/>
      <c r="P39" s="61"/>
      <c r="Q39" s="9"/>
      <c r="R39" s="9"/>
      <c r="S39" s="9"/>
    </row>
    <row r="40" spans="1:19" ht="23" customHeight="1">
      <c r="A40" s="10" t="s">
        <v>37</v>
      </c>
      <c r="B40" s="11">
        <v>7.3702989038281208E-2</v>
      </c>
      <c r="C40" s="11">
        <v>7.3702988999197444E-2</v>
      </c>
      <c r="E40" s="10" t="s">
        <v>37</v>
      </c>
      <c r="F40" s="11">
        <v>7.4495687581592904E-2</v>
      </c>
      <c r="G40" s="11">
        <v>7.4495687571031394E-2</v>
      </c>
      <c r="I40" s="10" t="s">
        <v>37</v>
      </c>
      <c r="J40" s="11">
        <v>7.4495687581592904E-2</v>
      </c>
      <c r="K40" s="11">
        <v>7.4495687575977396E-2</v>
      </c>
      <c r="L40" s="61"/>
      <c r="M40" s="10" t="s">
        <v>37</v>
      </c>
      <c r="N40" s="11">
        <v>7.4495687581592904E-2</v>
      </c>
      <c r="O40" s="11">
        <v>7.4495687580517306E-2</v>
      </c>
      <c r="P40" s="61"/>
      <c r="Q40" s="10" t="s">
        <v>37</v>
      </c>
      <c r="R40" s="11">
        <v>7.4495687581592904E-2</v>
      </c>
      <c r="S40" s="11">
        <v>7.4495687555072104E-2</v>
      </c>
    </row>
  </sheetData>
  <conditionalFormatting sqref="B3:C34">
    <cfRule type="cellIs" dxfId="8" priority="7" operator="equal">
      <formula>0</formula>
    </cfRule>
  </conditionalFormatting>
  <conditionalFormatting sqref="F3:G34">
    <cfRule type="cellIs" dxfId="5" priority="4" operator="equal">
      <formula>0</formula>
    </cfRule>
  </conditionalFormatting>
  <conditionalFormatting sqref="J3:K34">
    <cfRule type="cellIs" dxfId="4" priority="3" operator="equal">
      <formula>0</formula>
    </cfRule>
  </conditionalFormatting>
  <conditionalFormatting sqref="N3:O34">
    <cfRule type="cellIs" dxfId="3" priority="2" operator="equal">
      <formula>0</formula>
    </cfRule>
  </conditionalFormatting>
  <conditionalFormatting sqref="R3:S34">
    <cfRule type="cellIs" dxfId="2" priority="1" operator="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workbookViewId="0">
      <selection activeCell="D29" sqref="D29"/>
    </sheetView>
  </sheetViews>
  <sheetFormatPr baseColWidth="10" defaultColWidth="8.83203125" defaultRowHeight="15"/>
  <cols>
    <col min="1" max="1" width="40" customWidth="1"/>
    <col min="2" max="5" width="15" customWidth="1"/>
  </cols>
  <sheetData>
    <row r="1" spans="1:5" ht="35" customHeight="1">
      <c r="A1" s="13"/>
      <c r="B1" s="51" t="s">
        <v>0</v>
      </c>
      <c r="C1" s="52"/>
      <c r="D1" s="51" t="s">
        <v>1</v>
      </c>
      <c r="E1" s="52"/>
    </row>
    <row r="2" spans="1:5" ht="20" customHeight="1">
      <c r="A2" s="15" t="s">
        <v>2</v>
      </c>
      <c r="B2" s="53">
        <v>0.38</v>
      </c>
      <c r="C2" s="52"/>
      <c r="D2" s="53">
        <v>0.2800261549988553</v>
      </c>
      <c r="E2" s="52"/>
    </row>
    <row r="3" spans="1:5" ht="16" customHeight="1">
      <c r="A3" s="15" t="s">
        <v>6</v>
      </c>
      <c r="B3" s="53">
        <v>0</v>
      </c>
      <c r="C3" s="52"/>
      <c r="D3" s="53">
        <v>0.1019966940856197</v>
      </c>
      <c r="E3" s="52"/>
    </row>
    <row r="4" spans="1:5" ht="16" customHeight="1">
      <c r="A4" s="15" t="s">
        <v>9</v>
      </c>
      <c r="B4" s="53">
        <v>0.46</v>
      </c>
      <c r="C4" s="52"/>
      <c r="D4" s="53">
        <v>0.26607773428886838</v>
      </c>
      <c r="E4" s="52"/>
    </row>
    <row r="5" spans="1:5" ht="16" customHeight="1">
      <c r="A5" s="15" t="s">
        <v>21</v>
      </c>
      <c r="B5" s="53">
        <v>0.16</v>
      </c>
      <c r="C5" s="52"/>
      <c r="D5" s="53">
        <v>8.4567902694472563E-2</v>
      </c>
      <c r="E5" s="52"/>
    </row>
    <row r="6" spans="1:5" ht="16" customHeight="1">
      <c r="A6" s="15" t="s">
        <v>26</v>
      </c>
      <c r="B6" s="53">
        <v>0</v>
      </c>
      <c r="C6" s="52"/>
      <c r="D6" s="53">
        <v>0.118203784297695</v>
      </c>
      <c r="E6" s="52"/>
    </row>
    <row r="7" spans="1:5" ht="16" customHeight="1">
      <c r="A7" s="15" t="s">
        <v>30</v>
      </c>
      <c r="B7" s="53">
        <v>0</v>
      </c>
      <c r="C7" s="52"/>
      <c r="D7" s="53">
        <v>0.1491277296344958</v>
      </c>
      <c r="E7" s="52"/>
    </row>
    <row r="8" spans="1:5" ht="16" customHeight="1">
      <c r="A8" s="17" t="s">
        <v>35</v>
      </c>
      <c r="B8" s="54">
        <v>5.3990265611727463E-2</v>
      </c>
      <c r="C8" s="55"/>
      <c r="D8" s="54">
        <v>6.7001946024223727E-2</v>
      </c>
      <c r="E8" s="55"/>
    </row>
    <row r="9" spans="1:5" ht="16" customHeight="1">
      <c r="A9" s="15" t="s">
        <v>36</v>
      </c>
      <c r="B9" s="56">
        <v>0.39333907606745722</v>
      </c>
      <c r="C9" s="52"/>
      <c r="D9" s="56">
        <v>0.56730030380411034</v>
      </c>
      <c r="E9" s="52"/>
    </row>
    <row r="10" spans="1:5" ht="16" customHeight="1">
      <c r="A10" s="15" t="s">
        <v>37</v>
      </c>
      <c r="B10" s="53">
        <v>7.3702989038281208E-2</v>
      </c>
      <c r="C10" s="52"/>
      <c r="D10" s="53">
        <v>7.3702988999197444E-2</v>
      </c>
      <c r="E10" s="52"/>
    </row>
    <row r="11" spans="1:5" ht="16" customHeight="1">
      <c r="A11" s="13" t="s">
        <v>38</v>
      </c>
      <c r="B11" s="14"/>
      <c r="C11" s="14"/>
      <c r="D11" s="14"/>
      <c r="E11" s="14"/>
    </row>
    <row r="12" spans="1:5" ht="16" customHeight="1">
      <c r="A12" s="18" t="s">
        <v>39</v>
      </c>
      <c r="B12" s="19" t="s">
        <v>40</v>
      </c>
      <c r="C12" s="19" t="s">
        <v>41</v>
      </c>
      <c r="D12" s="19" t="s">
        <v>40</v>
      </c>
      <c r="E12" s="19" t="s">
        <v>41</v>
      </c>
    </row>
    <row r="13" spans="1:5" ht="20" customHeight="1">
      <c r="A13" s="20" t="s">
        <v>42</v>
      </c>
      <c r="B13" s="16">
        <v>0.17192292589104749</v>
      </c>
      <c r="C13" s="16">
        <v>0.1170376693516153</v>
      </c>
      <c r="D13" s="16">
        <v>0.174082836929214</v>
      </c>
      <c r="E13" s="16">
        <v>0.1190964241884538</v>
      </c>
    </row>
    <row r="14" spans="1:5" ht="16" customHeight="1">
      <c r="A14" s="20" t="s">
        <v>43</v>
      </c>
      <c r="B14" s="16">
        <v>-0.14483801254945641</v>
      </c>
      <c r="C14" s="16">
        <v>-0.27328000394130852</v>
      </c>
      <c r="D14" s="16">
        <v>-0.14407021206963669</v>
      </c>
      <c r="E14" s="16">
        <v>-0.27262752409555202</v>
      </c>
    </row>
    <row r="15" spans="1:5" ht="16" customHeight="1">
      <c r="A15" s="20" t="s">
        <v>44</v>
      </c>
      <c r="B15" s="16">
        <v>0.14089278218308249</v>
      </c>
      <c r="C15" s="16">
        <v>-3.8581176310079401E-2</v>
      </c>
      <c r="D15" s="16">
        <v>7.5275482490502643E-2</v>
      </c>
      <c r="E15" s="16">
        <v>-9.3876211978054624E-2</v>
      </c>
    </row>
    <row r="16" spans="1:5" ht="16" customHeight="1">
      <c r="A16" s="20" t="s">
        <v>45</v>
      </c>
      <c r="B16" s="16">
        <v>3.3694949225525413E-2</v>
      </c>
      <c r="C16" s="16">
        <v>-9.2473682099793786E-2</v>
      </c>
      <c r="D16" s="16">
        <v>0.10583952263251881</v>
      </c>
      <c r="E16" s="16">
        <v>-2.913478399490876E-2</v>
      </c>
    </row>
    <row r="17" spans="1:5" ht="16" customHeight="1">
      <c r="A17" s="20" t="s">
        <v>46</v>
      </c>
      <c r="B17" s="16">
        <v>-9.2492094367075506E-2</v>
      </c>
      <c r="C17" s="16">
        <v>-9.4866958609828744E-2</v>
      </c>
      <c r="D17" s="16">
        <v>-7.8562463261211968E-2</v>
      </c>
      <c r="E17" s="16">
        <v>-8.0973780060050626E-2</v>
      </c>
    </row>
    <row r="18" spans="1:5" ht="16" customHeight="1">
      <c r="A18" s="20" t="s">
        <v>47</v>
      </c>
      <c r="B18" s="16">
        <v>-1.800790865081359E-2</v>
      </c>
      <c r="C18" s="16">
        <v>-4.0952317120729331E-2</v>
      </c>
      <c r="D18" s="16">
        <v>-2.1694404822440672E-2</v>
      </c>
      <c r="E18" s="16">
        <v>-4.4552677696428677E-2</v>
      </c>
    </row>
    <row r="19" spans="1:5" ht="16" customHeight="1">
      <c r="A19" s="20" t="s">
        <v>48</v>
      </c>
      <c r="B19" s="16">
        <v>-8.0106687264717369E-2</v>
      </c>
      <c r="C19" s="16">
        <v>-8.123617403563943E-2</v>
      </c>
      <c r="D19" s="16">
        <v>-7.7393910906388586E-2</v>
      </c>
      <c r="E19" s="16">
        <v>-7.8526728547278712E-2</v>
      </c>
    </row>
    <row r="20" spans="1:5" ht="16" customHeight="1">
      <c r="A20" s="20" t="s">
        <v>49</v>
      </c>
      <c r="B20" s="16">
        <v>-0.19376490842818589</v>
      </c>
      <c r="C20" s="16">
        <v>-0.2374671350378057</v>
      </c>
      <c r="D20" s="16">
        <v>-6.7481754140051087E-2</v>
      </c>
      <c r="E20" s="16">
        <v>-0.11802919882981951</v>
      </c>
    </row>
    <row r="21" spans="1:5" ht="16" customHeight="1">
      <c r="A21" s="20" t="s">
        <v>50</v>
      </c>
      <c r="B21" s="16">
        <v>-0.27355460831394218</v>
      </c>
      <c r="C21" s="16">
        <v>-0.2855606159971591</v>
      </c>
      <c r="D21" s="16">
        <v>-0.27170604926547631</v>
      </c>
      <c r="E21" s="16">
        <v>-0.28374260819782049</v>
      </c>
    </row>
    <row r="22" spans="1:5" ht="16" customHeight="1">
      <c r="A22" s="20" t="s">
        <v>51</v>
      </c>
      <c r="B22" s="16">
        <v>-9.2205775861361916E-2</v>
      </c>
      <c r="C22" s="16">
        <v>-8.8992249958941505E-2</v>
      </c>
      <c r="D22" s="16">
        <v>-0.10152544320613779</v>
      </c>
      <c r="E22" s="16">
        <v>-9.8344908252126162E-2</v>
      </c>
    </row>
    <row r="23" spans="1:5" ht="16" customHeight="1">
      <c r="A23" s="18" t="s">
        <v>52</v>
      </c>
      <c r="B23" s="19"/>
      <c r="C23" s="19"/>
      <c r="D23" s="19"/>
      <c r="E23" s="19"/>
    </row>
    <row r="24" spans="1:5" ht="16" customHeight="1">
      <c r="A24" s="20" t="s">
        <v>53</v>
      </c>
      <c r="B24" s="16">
        <v>5.3102767438950482E-2</v>
      </c>
      <c r="C24" s="16">
        <v>5.5106230134363672E-2</v>
      </c>
      <c r="D24" s="16">
        <v>5.7196853663480041E-2</v>
      </c>
      <c r="E24" s="16">
        <v>5.9191654015461781E-2</v>
      </c>
    </row>
    <row r="25" spans="1:5" ht="16" customHeight="1">
      <c r="A25" s="20" t="s">
        <v>54</v>
      </c>
      <c r="B25" s="16">
        <v>0.17132123066237159</v>
      </c>
      <c r="C25" s="16">
        <v>0.19065281809377871</v>
      </c>
      <c r="D25" s="16">
        <v>0.18898787278605719</v>
      </c>
      <c r="E25" s="16">
        <v>0.2071334833140149</v>
      </c>
    </row>
    <row r="26" spans="1:5" ht="16" customHeight="1">
      <c r="A26" s="20" t="s">
        <v>55</v>
      </c>
      <c r="B26" s="16">
        <v>0.19407783094955511</v>
      </c>
      <c r="C26" s="16">
        <v>0.24433009294119579</v>
      </c>
      <c r="D26" s="16">
        <v>0.1614471353605679</v>
      </c>
      <c r="E26" s="16">
        <v>0.21147833364814719</v>
      </c>
    </row>
    <row r="27" spans="1:5" ht="16" customHeight="1">
      <c r="A27" s="18" t="s">
        <v>56</v>
      </c>
      <c r="B27" s="19"/>
      <c r="C27" s="19"/>
      <c r="D27" s="19"/>
      <c r="E27" s="19"/>
    </row>
    <row r="28" spans="1:5" ht="16" customHeight="1">
      <c r="A28" s="20" t="s">
        <v>53</v>
      </c>
      <c r="B28" s="16">
        <v>7.4840608538578102E-2</v>
      </c>
      <c r="C28" s="16">
        <v>7.6798077907340279E-2</v>
      </c>
      <c r="D28" s="16">
        <v>7.8701881049684008E-2</v>
      </c>
      <c r="E28" s="16">
        <v>8.0651180666580169E-2</v>
      </c>
    </row>
    <row r="29" spans="1:5" ht="16" customHeight="1">
      <c r="A29" s="20" t="s">
        <v>54</v>
      </c>
      <c r="B29" s="16">
        <v>0.2092701813090129</v>
      </c>
      <c r="C29" s="16">
        <v>0.2273215691058684</v>
      </c>
      <c r="D29" s="16">
        <v>0.21362340678220501</v>
      </c>
      <c r="E29" s="16">
        <v>0.23162471451738509</v>
      </c>
    </row>
    <row r="30" spans="1:5" ht="16" customHeight="1">
      <c r="A30" s="20" t="s">
        <v>55</v>
      </c>
      <c r="B30" s="16">
        <v>0.24381044598060661</v>
      </c>
      <c r="C30" s="16">
        <v>0.29139845881200183</v>
      </c>
      <c r="D30" s="16">
        <v>0.21485388555440141</v>
      </c>
      <c r="E30" s="16">
        <v>0.26347874102084001</v>
      </c>
    </row>
    <row r="31" spans="1:5" ht="16" customHeight="1">
      <c r="A31" s="18" t="s">
        <v>57</v>
      </c>
      <c r="B31" s="19"/>
      <c r="C31" s="19"/>
      <c r="D31" s="19"/>
      <c r="E31" s="19"/>
    </row>
    <row r="32" spans="1:5" ht="16" customHeight="1">
      <c r="A32" s="20" t="s">
        <v>53</v>
      </c>
      <c r="B32" s="16">
        <v>0.34200000000000003</v>
      </c>
      <c r="C32" s="16">
        <v>0.38340000000000002</v>
      </c>
      <c r="D32" s="16">
        <v>0.30614999999999998</v>
      </c>
      <c r="E32" s="16">
        <v>0.34794999999999998</v>
      </c>
    </row>
    <row r="33" spans="1:5" ht="16" customHeight="1">
      <c r="A33" s="20" t="s">
        <v>54</v>
      </c>
      <c r="B33" s="16">
        <v>0.18665000000000001</v>
      </c>
      <c r="C33" s="16">
        <v>0.2581</v>
      </c>
      <c r="D33" s="16">
        <v>0.14124999999999999</v>
      </c>
      <c r="E33" s="16">
        <v>0.21010000000000001</v>
      </c>
    </row>
    <row r="34" spans="1:5" ht="16" customHeight="1">
      <c r="A34" s="20" t="s">
        <v>55</v>
      </c>
      <c r="B34" s="16">
        <v>0.1081</v>
      </c>
      <c r="C34" s="16">
        <v>0.19139999999999999</v>
      </c>
      <c r="D34" s="16">
        <v>7.3099999999999998E-2</v>
      </c>
      <c r="E34" s="16">
        <v>0.13575000000000001</v>
      </c>
    </row>
    <row r="35" spans="1:5" ht="16" customHeight="1">
      <c r="A35" s="13" t="s">
        <v>58</v>
      </c>
      <c r="B35" s="14"/>
      <c r="C35" s="14"/>
      <c r="D35" s="14"/>
      <c r="E35" s="14"/>
    </row>
    <row r="36" spans="1:5" ht="16" customHeight="1"/>
    <row r="37" spans="1:5" ht="20" customHeight="1"/>
  </sheetData>
  <mergeCells count="20">
    <mergeCell ref="B10:C10"/>
    <mergeCell ref="D10:E10"/>
    <mergeCell ref="B7:C7"/>
    <mergeCell ref="D7:E7"/>
    <mergeCell ref="B8:C8"/>
    <mergeCell ref="D8:E8"/>
    <mergeCell ref="B9:C9"/>
    <mergeCell ref="D9:E9"/>
    <mergeCell ref="B4:C4"/>
    <mergeCell ref="D4:E4"/>
    <mergeCell ref="B5:C5"/>
    <mergeCell ref="D5:E5"/>
    <mergeCell ref="B6:C6"/>
    <mergeCell ref="D6:E6"/>
    <mergeCell ref="B1:C1"/>
    <mergeCell ref="D1:E1"/>
    <mergeCell ref="B2:C2"/>
    <mergeCell ref="D2:E2"/>
    <mergeCell ref="B3:C3"/>
    <mergeCell ref="D3:E3"/>
  </mergeCells>
  <conditionalFormatting sqref="B13:E22">
    <cfRule type="cellIs" dxfId="1" priority="1" operator="lessThan">
      <formula>0</formula>
    </cfRule>
    <cfRule type="cellIs" dxfId="0" priority="2" operator="greaterThan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4"/>
  <sheetViews>
    <sheetView workbookViewId="0">
      <selection activeCell="F11" sqref="F11"/>
    </sheetView>
  </sheetViews>
  <sheetFormatPr baseColWidth="10" defaultColWidth="8.83203125" defaultRowHeight="15"/>
  <cols>
    <col min="1" max="1" width="40" customWidth="1"/>
    <col min="2" max="4" width="7" customWidth="1"/>
    <col min="5" max="5" width="12" customWidth="1"/>
    <col min="6" max="6" width="14.5" customWidth="1"/>
    <col min="7" max="7" width="26" customWidth="1"/>
    <col min="8" max="8" width="16.5" customWidth="1"/>
    <col min="9" max="10" width="11" customWidth="1"/>
  </cols>
  <sheetData>
    <row r="1" spans="1:12" ht="20" customHeight="1">
      <c r="A1" s="21"/>
      <c r="B1" s="57" t="s">
        <v>59</v>
      </c>
      <c r="C1" s="58"/>
      <c r="D1" s="58"/>
      <c r="E1" s="58"/>
      <c r="F1" s="58"/>
      <c r="G1" s="58"/>
      <c r="H1" s="23"/>
      <c r="I1" s="57" t="s">
        <v>60</v>
      </c>
      <c r="J1" s="58"/>
    </row>
    <row r="2" spans="1:12" ht="49" customHeight="1">
      <c r="A2" s="24"/>
      <c r="B2" s="59" t="s">
        <v>61</v>
      </c>
      <c r="C2" s="58"/>
      <c r="D2" s="58"/>
      <c r="E2" s="22" t="s">
        <v>37</v>
      </c>
      <c r="F2" s="22" t="s">
        <v>36</v>
      </c>
      <c r="G2" s="25" t="s">
        <v>62</v>
      </c>
      <c r="H2" s="22" t="s">
        <v>63</v>
      </c>
      <c r="I2" s="22" t="s">
        <v>64</v>
      </c>
      <c r="J2" s="22" t="s">
        <v>65</v>
      </c>
    </row>
    <row r="3" spans="1:12" ht="17" customHeight="1">
      <c r="A3" s="26" t="s">
        <v>2</v>
      </c>
      <c r="B3" s="27"/>
      <c r="C3" s="27"/>
      <c r="D3" s="27"/>
      <c r="E3" s="27"/>
      <c r="F3" s="28"/>
      <c r="G3" s="27"/>
      <c r="H3" s="27"/>
      <c r="I3" s="27"/>
      <c r="J3" s="27"/>
    </row>
    <row r="4" spans="1:12" ht="17" customHeight="1">
      <c r="A4" s="29" t="s">
        <v>66</v>
      </c>
      <c r="B4" s="30">
        <v>5.7327167405640464E-3</v>
      </c>
      <c r="C4" s="31">
        <v>1.08673517608701E-2</v>
      </c>
      <c r="D4" s="32">
        <v>1.6001986781176161E-2</v>
      </c>
      <c r="E4" s="31">
        <v>3.2110810353131201E-2</v>
      </c>
      <c r="F4" s="33">
        <v>0.33843280942956339</v>
      </c>
      <c r="G4" s="31">
        <v>3.5867351760870102E-2</v>
      </c>
      <c r="H4" s="34">
        <v>0</v>
      </c>
      <c r="I4" s="35">
        <v>26723</v>
      </c>
      <c r="J4" s="35">
        <v>45777</v>
      </c>
    </row>
    <row r="5" spans="1:12" ht="17" customHeight="1">
      <c r="A5" s="29" t="s">
        <v>67</v>
      </c>
      <c r="B5" s="30">
        <v>4.383045164846216E-4</v>
      </c>
      <c r="C5" s="31">
        <v>3.090125303729937E-3</v>
      </c>
      <c r="D5" s="32">
        <v>5.7419460909752511E-3</v>
      </c>
      <c r="E5" s="31">
        <v>1.4730739161551419E-2</v>
      </c>
      <c r="F5" s="33">
        <v>0.20977394751482981</v>
      </c>
      <c r="G5" s="31">
        <v>2.8090125303729941E-2</v>
      </c>
      <c r="H5" s="34">
        <v>0</v>
      </c>
      <c r="I5" s="35">
        <v>33662</v>
      </c>
      <c r="J5" s="35">
        <v>45777</v>
      </c>
    </row>
    <row r="6" spans="1:12" ht="17" customHeight="1">
      <c r="A6" s="29" t="s">
        <v>68</v>
      </c>
      <c r="B6" s="30">
        <v>1.3188133857977581E-2</v>
      </c>
      <c r="C6" s="31">
        <v>1.994219801661444E-2</v>
      </c>
      <c r="D6" s="32">
        <v>2.6696262175251301E-2</v>
      </c>
      <c r="E6" s="31">
        <v>4.2238342638410448E-2</v>
      </c>
      <c r="F6" s="33">
        <v>0.47213495537297723</v>
      </c>
      <c r="G6" s="31">
        <v>4.4942198016614442E-2</v>
      </c>
      <c r="H6" s="34">
        <v>0</v>
      </c>
      <c r="I6" s="35">
        <v>26723</v>
      </c>
      <c r="J6" s="35">
        <v>45777</v>
      </c>
      <c r="K6" s="60">
        <v>4.8000000000000001E-2</v>
      </c>
      <c r="L6">
        <f>C6/K6</f>
        <v>0.41546245867946752</v>
      </c>
    </row>
    <row r="7" spans="1:12" ht="17" customHeight="1">
      <c r="A7" s="36" t="s">
        <v>6</v>
      </c>
      <c r="B7" s="37"/>
      <c r="C7" s="38"/>
      <c r="D7" s="39"/>
      <c r="E7" s="38"/>
      <c r="F7" s="40"/>
      <c r="G7" s="38"/>
      <c r="H7" s="41"/>
      <c r="I7" s="42"/>
      <c r="J7" s="42"/>
    </row>
    <row r="8" spans="1:12" ht="17" customHeight="1">
      <c r="A8" s="29" t="s">
        <v>69</v>
      </c>
      <c r="B8" s="30">
        <v>1.9835862777540909E-2</v>
      </c>
      <c r="C8" s="31">
        <v>3.2957299522559658E-2</v>
      </c>
      <c r="D8" s="32">
        <v>4.6078736267578413E-2</v>
      </c>
      <c r="E8" s="31">
        <v>8.205840633533279E-2</v>
      </c>
      <c r="F8" s="33">
        <v>0.40163221532574261</v>
      </c>
      <c r="G8" s="31">
        <v>5.7957299522559659E-2</v>
      </c>
      <c r="H8" s="34">
        <v>0</v>
      </c>
      <c r="I8" s="35">
        <v>30559</v>
      </c>
      <c r="J8" s="35">
        <v>45777</v>
      </c>
    </row>
    <row r="9" spans="1:12" ht="17" customHeight="1">
      <c r="A9" s="29" t="s">
        <v>70</v>
      </c>
      <c r="B9" s="30">
        <v>2.4425401646782582E-2</v>
      </c>
      <c r="C9" s="31">
        <v>4.711068434546873E-2</v>
      </c>
      <c r="D9" s="32">
        <v>6.9795967044154889E-2</v>
      </c>
      <c r="E9" s="31">
        <v>0.1220196208482812</v>
      </c>
      <c r="F9" s="33">
        <v>0.38609105665101201</v>
      </c>
      <c r="G9" s="31">
        <v>7.2110684345468731E-2</v>
      </c>
      <c r="H9" s="34">
        <v>0</v>
      </c>
      <c r="I9" s="35">
        <v>34365</v>
      </c>
      <c r="J9" s="35">
        <v>45107</v>
      </c>
    </row>
    <row r="10" spans="1:12" ht="17" customHeight="1">
      <c r="A10" s="36" t="s">
        <v>9</v>
      </c>
      <c r="B10" s="37"/>
      <c r="C10" s="38"/>
      <c r="D10" s="39"/>
      <c r="E10" s="38"/>
      <c r="F10" s="40"/>
      <c r="G10" s="38"/>
      <c r="H10" s="41"/>
      <c r="I10" s="42"/>
      <c r="J10" s="42"/>
    </row>
    <row r="11" spans="1:12" ht="17" customHeight="1">
      <c r="A11" s="29" t="s">
        <v>71</v>
      </c>
      <c r="B11" s="30">
        <v>2.1935921675440812E-2</v>
      </c>
      <c r="C11" s="31">
        <v>4.6797853363938761E-2</v>
      </c>
      <c r="D11" s="32">
        <v>7.1659785052436711E-2</v>
      </c>
      <c r="E11" s="31">
        <v>0.1469643018055917</v>
      </c>
      <c r="F11" s="33">
        <v>0.31843007307886378</v>
      </c>
      <c r="G11" s="31">
        <v>7.1797853363938763E-2</v>
      </c>
      <c r="H11" s="34">
        <v>0.7</v>
      </c>
      <c r="I11" s="35">
        <v>32171</v>
      </c>
      <c r="J11" s="35">
        <v>45777</v>
      </c>
    </row>
    <row r="12" spans="1:12" ht="17" customHeight="1">
      <c r="A12" s="29" t="s">
        <v>72</v>
      </c>
      <c r="B12" s="30">
        <v>1.7176160239301099E-2</v>
      </c>
      <c r="C12" s="31">
        <v>4.424482346715447E-2</v>
      </c>
      <c r="D12" s="32">
        <v>7.1313486695007838E-2</v>
      </c>
      <c r="E12" s="31">
        <v>0.16928110917035849</v>
      </c>
      <c r="F12" s="33">
        <v>0.26136893646312331</v>
      </c>
      <c r="G12" s="31">
        <v>6.9244823467154465E-2</v>
      </c>
      <c r="H12" s="34">
        <v>0</v>
      </c>
      <c r="I12" s="35">
        <v>28886</v>
      </c>
      <c r="J12" s="35">
        <v>45777</v>
      </c>
    </row>
    <row r="13" spans="1:12" ht="17" customHeight="1">
      <c r="A13" s="29" t="s">
        <v>73</v>
      </c>
      <c r="B13" s="30">
        <v>3.8328393380117107E-2</v>
      </c>
      <c r="C13" s="31">
        <v>6.1473144644885618E-2</v>
      </c>
      <c r="D13" s="32">
        <v>8.4617895909654142E-2</v>
      </c>
      <c r="E13" s="31">
        <v>0.14474187855499729</v>
      </c>
      <c r="F13" s="33">
        <v>0.42470876610550412</v>
      </c>
      <c r="G13" s="31">
        <v>8.6473144644885619E-2</v>
      </c>
      <c r="H13" s="34">
        <v>0</v>
      </c>
      <c r="I13" s="35">
        <v>28886</v>
      </c>
      <c r="J13" s="35">
        <v>45777</v>
      </c>
    </row>
    <row r="14" spans="1:12" ht="17" customHeight="1">
      <c r="A14" s="29" t="s">
        <v>74</v>
      </c>
      <c r="B14" s="30">
        <v>3.9548088591888853E-2</v>
      </c>
      <c r="C14" s="31">
        <v>7.0287620802001793E-2</v>
      </c>
      <c r="D14" s="32">
        <v>0.10102715301211471</v>
      </c>
      <c r="E14" s="31">
        <v>0.19223786797684969</v>
      </c>
      <c r="F14" s="33">
        <v>0.36562838290771188</v>
      </c>
      <c r="G14" s="31">
        <v>9.5287620802001788E-2</v>
      </c>
      <c r="H14" s="34">
        <v>0</v>
      </c>
      <c r="I14" s="35">
        <v>28886</v>
      </c>
      <c r="J14" s="35">
        <v>45777</v>
      </c>
    </row>
    <row r="15" spans="1:12" ht="17" customHeight="1">
      <c r="A15" s="29" t="s">
        <v>75</v>
      </c>
      <c r="B15" s="30">
        <v>2.1019364331575061E-2</v>
      </c>
      <c r="C15" s="31">
        <v>4.7103364879311882E-2</v>
      </c>
      <c r="D15" s="32">
        <v>7.3187365427048678E-2</v>
      </c>
      <c r="E15" s="31">
        <v>0.16312325832838301</v>
      </c>
      <c r="F15" s="33">
        <v>0.2887593428552549</v>
      </c>
      <c r="G15" s="31">
        <v>7.2103364879311876E-2</v>
      </c>
      <c r="H15" s="34">
        <v>0.7</v>
      </c>
      <c r="I15" s="35">
        <v>25626</v>
      </c>
      <c r="J15" s="35">
        <v>45777</v>
      </c>
    </row>
    <row r="16" spans="1:12" ht="17" customHeight="1">
      <c r="A16" s="29" t="s">
        <v>76</v>
      </c>
      <c r="B16" s="30">
        <v>2.537093070079656E-2</v>
      </c>
      <c r="C16" s="31">
        <v>4.9088970154403527E-2</v>
      </c>
      <c r="D16" s="32">
        <v>7.2807009608010495E-2</v>
      </c>
      <c r="E16" s="31">
        <v>0.1483270892343698</v>
      </c>
      <c r="F16" s="33">
        <v>0.3309508088359952</v>
      </c>
      <c r="G16" s="31">
        <v>7.4088970154403522E-2</v>
      </c>
      <c r="H16" s="34">
        <v>0.7</v>
      </c>
      <c r="I16" s="35">
        <v>25598</v>
      </c>
      <c r="J16" s="35">
        <v>45777</v>
      </c>
    </row>
    <row r="17" spans="1:10" ht="17" customHeight="1">
      <c r="A17" s="29" t="s">
        <v>77</v>
      </c>
      <c r="B17" s="30">
        <v>-1.5284258244867221E-3</v>
      </c>
      <c r="C17" s="31">
        <v>2.794593789750548E-2</v>
      </c>
      <c r="D17" s="32">
        <v>5.7420301619497682E-2</v>
      </c>
      <c r="E17" s="31">
        <v>0.18432579920737729</v>
      </c>
      <c r="F17" s="33">
        <v>0.1516116464308106</v>
      </c>
      <c r="G17" s="31">
        <v>5.2945937897505492E-2</v>
      </c>
      <c r="H17" s="34">
        <v>0.7</v>
      </c>
      <c r="I17" s="35">
        <v>25598</v>
      </c>
      <c r="J17" s="35">
        <v>45777</v>
      </c>
    </row>
    <row r="18" spans="1:10" ht="17" customHeight="1">
      <c r="A18" s="29" t="s">
        <v>78</v>
      </c>
      <c r="B18" s="30">
        <v>2.752917685078872E-2</v>
      </c>
      <c r="C18" s="31">
        <v>5.6461831660523182E-2</v>
      </c>
      <c r="D18" s="32">
        <v>8.5394486470257644E-2</v>
      </c>
      <c r="E18" s="31">
        <v>0.17102723419765431</v>
      </c>
      <c r="F18" s="33">
        <v>0.33013357156481221</v>
      </c>
      <c r="G18" s="31">
        <v>8.1461831660523176E-2</v>
      </c>
      <c r="H18" s="34">
        <v>0.7</v>
      </c>
      <c r="I18" s="35">
        <v>25626</v>
      </c>
      <c r="J18" s="35">
        <v>45777</v>
      </c>
    </row>
    <row r="19" spans="1:10" ht="17" customHeight="1">
      <c r="A19" s="29" t="s">
        <v>79</v>
      </c>
      <c r="B19" s="30">
        <v>3.5868022051295953E-2</v>
      </c>
      <c r="C19" s="31">
        <v>7.5245769473422777E-2</v>
      </c>
      <c r="D19" s="32">
        <v>0.1146235168955496</v>
      </c>
      <c r="E19" s="31">
        <v>0.23277045521153711</v>
      </c>
      <c r="F19" s="33">
        <v>0.32326168458553273</v>
      </c>
      <c r="G19" s="31">
        <v>0.1002457694734228</v>
      </c>
      <c r="H19" s="34">
        <v>0</v>
      </c>
      <c r="I19" s="35">
        <v>32171</v>
      </c>
      <c r="J19" s="35">
        <v>45777</v>
      </c>
    </row>
    <row r="20" spans="1:10" ht="17" customHeight="1">
      <c r="A20" s="29" t="s">
        <v>80</v>
      </c>
      <c r="B20" s="30">
        <v>3.4888825869154892E-2</v>
      </c>
      <c r="C20" s="31">
        <v>5.8342310196128892E-2</v>
      </c>
      <c r="D20" s="32">
        <v>8.1795794523102885E-2</v>
      </c>
      <c r="E20" s="31">
        <v>0.1356219911958427</v>
      </c>
      <c r="F20" s="33">
        <v>0.43018325923176148</v>
      </c>
      <c r="G20" s="31">
        <v>8.3342310196128894E-2</v>
      </c>
      <c r="H20" s="34">
        <v>0.7</v>
      </c>
      <c r="I20" s="35">
        <v>32720</v>
      </c>
      <c r="J20" s="35">
        <v>44925</v>
      </c>
    </row>
    <row r="21" spans="1:10" ht="17" customHeight="1">
      <c r="A21" s="29" t="s">
        <v>81</v>
      </c>
      <c r="B21" s="30">
        <v>1.6888386115265861E-2</v>
      </c>
      <c r="C21" s="31">
        <v>4.5625590064520903E-2</v>
      </c>
      <c r="D21" s="32">
        <v>7.4362794013775935E-2</v>
      </c>
      <c r="E21" s="31">
        <v>0.1405898501681038</v>
      </c>
      <c r="F21" s="33">
        <v>0.3245297580868477</v>
      </c>
      <c r="G21" s="31">
        <v>7.0625590064520904E-2</v>
      </c>
      <c r="H21" s="34">
        <v>0.7</v>
      </c>
      <c r="I21" s="35">
        <v>36189</v>
      </c>
      <c r="J21" s="35">
        <v>45777</v>
      </c>
    </row>
    <row r="22" spans="1:10" ht="17" customHeight="1">
      <c r="A22" s="36" t="s">
        <v>21</v>
      </c>
      <c r="B22" s="37"/>
      <c r="C22" s="38"/>
      <c r="D22" s="39"/>
      <c r="E22" s="38"/>
      <c r="F22" s="40"/>
      <c r="G22" s="38"/>
      <c r="H22" s="41"/>
      <c r="I22" s="42"/>
      <c r="J22" s="42"/>
    </row>
    <row r="23" spans="1:10" ht="17" customHeight="1">
      <c r="A23" s="29" t="s">
        <v>82</v>
      </c>
      <c r="B23" s="30">
        <v>5.3661960981587313E-3</v>
      </c>
      <c r="C23" s="31">
        <v>1.5035468559470929E-2</v>
      </c>
      <c r="D23" s="32">
        <v>2.4704741020783131E-2</v>
      </c>
      <c r="E23" s="31">
        <v>5.5490336347120132E-2</v>
      </c>
      <c r="F23" s="33">
        <v>0.27095652232879741</v>
      </c>
      <c r="G23" s="31">
        <v>4.0035468559470933E-2</v>
      </c>
      <c r="H23" s="34">
        <v>1</v>
      </c>
      <c r="I23" s="35">
        <v>32904</v>
      </c>
      <c r="J23" s="35">
        <v>45777</v>
      </c>
    </row>
    <row r="24" spans="1:10" ht="17" customHeight="1">
      <c r="A24" s="29" t="s">
        <v>83</v>
      </c>
      <c r="B24" s="30">
        <v>7.8845227205770647E-3</v>
      </c>
      <c r="C24" s="31">
        <v>1.9381268325582329E-2</v>
      </c>
      <c r="D24" s="32">
        <v>3.0878013930587589E-2</v>
      </c>
      <c r="E24" s="31">
        <v>6.1838706545769943E-2</v>
      </c>
      <c r="F24" s="33">
        <v>0.31341645723519901</v>
      </c>
      <c r="G24" s="31">
        <v>4.4381268325582333E-2</v>
      </c>
      <c r="H24" s="34">
        <v>1</v>
      </c>
      <c r="I24" s="35">
        <v>34365</v>
      </c>
      <c r="J24" s="35">
        <v>45777</v>
      </c>
    </row>
    <row r="25" spans="1:10" ht="17" customHeight="1">
      <c r="A25" s="29" t="s">
        <v>84</v>
      </c>
      <c r="B25" s="30">
        <v>4.352380054283532E-3</v>
      </c>
      <c r="C25" s="31">
        <v>2.0773446286426561E-2</v>
      </c>
      <c r="D25" s="32">
        <v>3.7194512518569589E-2</v>
      </c>
      <c r="E25" s="31">
        <v>8.8325647168886814E-2</v>
      </c>
      <c r="F25" s="33">
        <v>0.2351915548006776</v>
      </c>
      <c r="G25" s="31">
        <v>4.5773446286426558E-2</v>
      </c>
      <c r="H25" s="34">
        <v>1</v>
      </c>
      <c r="I25" s="35">
        <v>34365</v>
      </c>
      <c r="J25" s="35">
        <v>45777</v>
      </c>
    </row>
    <row r="26" spans="1:10" ht="17" customHeight="1">
      <c r="A26" s="29" t="s">
        <v>85</v>
      </c>
      <c r="B26" s="30">
        <v>1.069289996815624E-2</v>
      </c>
      <c r="C26" s="31">
        <v>2.7968658495309971E-2</v>
      </c>
      <c r="D26" s="32">
        <v>4.5244417022463707E-2</v>
      </c>
      <c r="E26" s="31">
        <v>7.3138510600272974E-2</v>
      </c>
      <c r="F26" s="33">
        <v>0.38240672753330018</v>
      </c>
      <c r="G26" s="31">
        <v>5.2968658495309982E-2</v>
      </c>
      <c r="H26" s="34">
        <v>1</v>
      </c>
      <c r="I26" s="35">
        <v>38383</v>
      </c>
      <c r="J26" s="35">
        <v>45777</v>
      </c>
    </row>
    <row r="27" spans="1:10" ht="17" customHeight="1">
      <c r="A27" s="36" t="s">
        <v>26</v>
      </c>
      <c r="B27" s="37"/>
      <c r="C27" s="38"/>
      <c r="D27" s="39"/>
      <c r="E27" s="38"/>
      <c r="F27" s="40"/>
      <c r="G27" s="38"/>
      <c r="H27" s="41"/>
      <c r="I27" s="42"/>
      <c r="J27" s="42"/>
    </row>
    <row r="28" spans="1:10" ht="17" customHeight="1">
      <c r="A28" s="29" t="s">
        <v>86</v>
      </c>
      <c r="B28" s="30">
        <v>4.1697572444111743E-2</v>
      </c>
      <c r="C28" s="31">
        <v>6.5301867527006729E-2</v>
      </c>
      <c r="D28" s="32">
        <v>8.8906162609901723E-2</v>
      </c>
      <c r="E28" s="31">
        <v>0.1377719846412887</v>
      </c>
      <c r="F28" s="33">
        <v>0.47398509716638371</v>
      </c>
      <c r="G28" s="31">
        <v>9.0301867527006724E-2</v>
      </c>
      <c r="H28" s="34">
        <v>0</v>
      </c>
      <c r="I28" s="35">
        <v>25598</v>
      </c>
      <c r="J28" s="35">
        <v>45777</v>
      </c>
    </row>
    <row r="29" spans="1:10" ht="17" customHeight="1">
      <c r="A29" s="29" t="s">
        <v>87</v>
      </c>
      <c r="B29" s="30">
        <v>4.0293566469616897E-2</v>
      </c>
      <c r="C29" s="31">
        <v>6.7090635723618383E-2</v>
      </c>
      <c r="D29" s="32">
        <v>9.3887704977619862E-2</v>
      </c>
      <c r="E29" s="31">
        <v>0.15640735725123131</v>
      </c>
      <c r="F29" s="33">
        <v>0.4289480808492479</v>
      </c>
      <c r="G29" s="31">
        <v>9.2090635723618391E-2</v>
      </c>
      <c r="H29" s="34">
        <v>0</v>
      </c>
      <c r="I29" s="35">
        <v>28886</v>
      </c>
      <c r="J29" s="35">
        <v>45777</v>
      </c>
    </row>
    <row r="30" spans="1:10" ht="17" customHeight="1">
      <c r="A30" s="29" t="s">
        <v>88</v>
      </c>
      <c r="B30" s="30">
        <v>3.3516969552060877E-2</v>
      </c>
      <c r="C30" s="31">
        <v>6.2172068187196533E-2</v>
      </c>
      <c r="D30" s="32">
        <v>9.0827166822332175E-2</v>
      </c>
      <c r="E30" s="31">
        <v>0.16725217996089919</v>
      </c>
      <c r="F30" s="33">
        <v>0.37172650426279252</v>
      </c>
      <c r="G30" s="31">
        <v>8.7172068187196528E-2</v>
      </c>
      <c r="H30" s="34">
        <v>0</v>
      </c>
      <c r="I30" s="35">
        <v>30680</v>
      </c>
      <c r="J30" s="35">
        <v>44925</v>
      </c>
    </row>
    <row r="31" spans="1:10" ht="17" customHeight="1">
      <c r="A31" s="36" t="s">
        <v>30</v>
      </c>
      <c r="B31" s="37"/>
      <c r="C31" s="38"/>
      <c r="D31" s="39"/>
      <c r="E31" s="38"/>
      <c r="F31" s="40"/>
      <c r="G31" s="38"/>
      <c r="H31" s="41"/>
      <c r="I31" s="42"/>
      <c r="J31" s="42"/>
    </row>
    <row r="32" spans="1:10" ht="17" customHeight="1">
      <c r="A32" s="29" t="s">
        <v>89</v>
      </c>
      <c r="B32" s="30">
        <v>3.9932017589412519E-2</v>
      </c>
      <c r="C32" s="31">
        <v>5.9395006840754223E-2</v>
      </c>
      <c r="D32" s="32">
        <v>7.8857996092095914E-2</v>
      </c>
      <c r="E32" s="31">
        <v>0.1136002853206385</v>
      </c>
      <c r="F32" s="33">
        <v>0.52284205689370356</v>
      </c>
      <c r="G32" s="31">
        <v>8.4395006840754211E-2</v>
      </c>
      <c r="H32" s="34">
        <v>0</v>
      </c>
      <c r="I32" s="35">
        <v>30589</v>
      </c>
      <c r="J32" s="35">
        <v>45777</v>
      </c>
    </row>
    <row r="33" spans="1:10" ht="17" customHeight="1">
      <c r="A33" s="29" t="s">
        <v>90</v>
      </c>
      <c r="B33" s="30">
        <v>5.3793531235283007E-2</v>
      </c>
      <c r="C33" s="31">
        <v>7.8592057555021813E-2</v>
      </c>
      <c r="D33" s="32">
        <v>0.10339058387476061</v>
      </c>
      <c r="E33" s="31">
        <v>0.14474239435031749</v>
      </c>
      <c r="F33" s="33">
        <v>0.54297884118737738</v>
      </c>
      <c r="G33" s="31">
        <v>0.10359205755502179</v>
      </c>
      <c r="H33" s="34">
        <v>0</v>
      </c>
      <c r="I33" s="35">
        <v>32720</v>
      </c>
      <c r="J33" s="35">
        <v>44925</v>
      </c>
    </row>
    <row r="34" spans="1:10" ht="17" customHeight="1">
      <c r="A34" s="43" t="s">
        <v>91</v>
      </c>
      <c r="B34" s="44">
        <v>3.5363100085226813E-2</v>
      </c>
      <c r="C34" s="45">
        <v>6.0402182003979593E-2</v>
      </c>
      <c r="D34" s="46">
        <v>8.544126392273238E-2</v>
      </c>
      <c r="E34" s="45">
        <v>0.14614645332248091</v>
      </c>
      <c r="F34" s="47">
        <v>0.41329899310453039</v>
      </c>
      <c r="G34" s="45">
        <v>8.5402182003979588E-2</v>
      </c>
      <c r="H34" s="48">
        <v>0</v>
      </c>
      <c r="I34" s="49">
        <v>36189</v>
      </c>
      <c r="J34" s="49">
        <v>45777</v>
      </c>
    </row>
  </sheetData>
  <mergeCells count="3">
    <mergeCell ref="B1:G1"/>
    <mergeCell ref="I1:J1"/>
    <mergeCell ref="B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92</v>
      </c>
      <c r="C1" s="50" t="s">
        <v>92</v>
      </c>
      <c r="D1" s="50" t="s">
        <v>92</v>
      </c>
      <c r="E1" s="50" t="s">
        <v>92</v>
      </c>
      <c r="F1" s="50" t="s">
        <v>93</v>
      </c>
      <c r="G1" s="50" t="s">
        <v>93</v>
      </c>
      <c r="H1" s="50" t="s">
        <v>93</v>
      </c>
      <c r="I1" s="50" t="s">
        <v>93</v>
      </c>
      <c r="J1" s="50" t="s">
        <v>94</v>
      </c>
      <c r="K1" s="50" t="s">
        <v>94</v>
      </c>
      <c r="L1" s="50" t="s">
        <v>94</v>
      </c>
      <c r="M1" s="50" t="s">
        <v>94</v>
      </c>
      <c r="N1" s="50" t="s">
        <v>95</v>
      </c>
      <c r="O1" s="50" t="s">
        <v>95</v>
      </c>
      <c r="P1" s="50" t="s">
        <v>95</v>
      </c>
      <c r="Q1" s="50" t="s">
        <v>95</v>
      </c>
    </row>
    <row r="2" spans="1:17">
      <c r="A2" s="50"/>
      <c r="B2" s="50" t="s">
        <v>96</v>
      </c>
      <c r="C2" s="50" t="s">
        <v>97</v>
      </c>
      <c r="D2" s="50" t="s">
        <v>98</v>
      </c>
      <c r="E2" s="50" t="s">
        <v>99</v>
      </c>
      <c r="F2" s="50" t="s">
        <v>96</v>
      </c>
      <c r="G2" s="50" t="s">
        <v>97</v>
      </c>
      <c r="H2" s="50" t="s">
        <v>98</v>
      </c>
      <c r="I2" s="50" t="s">
        <v>99</v>
      </c>
      <c r="J2" s="50" t="s">
        <v>96</v>
      </c>
      <c r="K2" s="50" t="s">
        <v>97</v>
      </c>
      <c r="L2" s="50" t="s">
        <v>98</v>
      </c>
      <c r="M2" s="50" t="s">
        <v>99</v>
      </c>
      <c r="N2" s="50" t="s">
        <v>96</v>
      </c>
      <c r="O2" s="50" t="s">
        <v>97</v>
      </c>
      <c r="P2" s="50" t="s">
        <v>98</v>
      </c>
      <c r="Q2" s="50" t="s">
        <v>99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89.37627521800249</v>
      </c>
      <c r="C4" s="50">
        <v>96.952993008192365</v>
      </c>
      <c r="D4" s="50">
        <v>106.3877612327809</v>
      </c>
      <c r="E4" s="50">
        <v>115.07534661828829</v>
      </c>
      <c r="F4" s="50">
        <v>86.599151962486374</v>
      </c>
      <c r="G4" s="50">
        <v>94.609358596883737</v>
      </c>
      <c r="H4" s="50">
        <v>104.0491651432106</v>
      </c>
      <c r="I4" s="50">
        <v>112.7641457110424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89.961069362661306</v>
      </c>
      <c r="C5" s="50">
        <v>99.165543249287808</v>
      </c>
      <c r="D5" s="50">
        <v>111.9832310352589</v>
      </c>
      <c r="E5" s="50">
        <v>125.2361851573403</v>
      </c>
      <c r="F5" s="50">
        <v>85.243312664046073</v>
      </c>
      <c r="G5" s="50">
        <v>94.278229463948293</v>
      </c>
      <c r="H5" s="50">
        <v>107.0455655048445</v>
      </c>
      <c r="I5" s="50">
        <v>119.9901762596535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90.583139887972777</v>
      </c>
      <c r="C6" s="50">
        <v>102.114406466647</v>
      </c>
      <c r="D6" s="50">
        <v>117.8987137670578</v>
      </c>
      <c r="E6" s="50">
        <v>134.90248903326039</v>
      </c>
      <c r="F6" s="50">
        <v>84.01338677148027</v>
      </c>
      <c r="G6" s="50">
        <v>95.029204741319546</v>
      </c>
      <c r="H6" s="50">
        <v>110.2138631039397</v>
      </c>
      <c r="I6" s="50">
        <v>126.5105150192592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90.542391560589905</v>
      </c>
      <c r="C7" s="50">
        <v>105.2220869527324</v>
      </c>
      <c r="D7" s="50">
        <v>124.9679338747021</v>
      </c>
      <c r="E7" s="50">
        <v>147.07286041884669</v>
      </c>
      <c r="F7" s="50">
        <v>82.031414481336128</v>
      </c>
      <c r="G7" s="50">
        <v>95.881122492809553</v>
      </c>
      <c r="H7" s="50">
        <v>114.266497409181</v>
      </c>
      <c r="I7" s="50">
        <v>135.0276050340417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91.472440980662171</v>
      </c>
      <c r="C8" s="50">
        <v>108.86349714037721</v>
      </c>
      <c r="D8" s="50">
        <v>132.82976939991559</v>
      </c>
      <c r="E8" s="50">
        <v>159.9807496166793</v>
      </c>
      <c r="F8" s="50">
        <v>81.128911360141416</v>
      </c>
      <c r="G8" s="50">
        <v>97.004758809234076</v>
      </c>
      <c r="H8" s="50">
        <v>118.9247424818771</v>
      </c>
      <c r="I8" s="50">
        <v>143.89406476752049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92.24383773733976</v>
      </c>
      <c r="C9" s="50">
        <v>112.6706512886463</v>
      </c>
      <c r="D9" s="50">
        <v>140.60286309231591</v>
      </c>
      <c r="E9" s="50">
        <v>172.7002987726396</v>
      </c>
      <c r="F9" s="50">
        <v>80.948826979556969</v>
      </c>
      <c r="G9" s="50">
        <v>98.463160809038172</v>
      </c>
      <c r="H9" s="50">
        <v>123.318207118933</v>
      </c>
      <c r="I9" s="50">
        <v>152.01605937372099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91.062074647786616</v>
      </c>
      <c r="C10" s="50">
        <v>115.91462462147931</v>
      </c>
      <c r="D10" s="50">
        <v>149.2442498696042</v>
      </c>
      <c r="E10" s="50">
        <v>187.66917745648439</v>
      </c>
      <c r="F10" s="50">
        <v>78.369817072791662</v>
      </c>
      <c r="G10" s="50">
        <v>99.265074424194935</v>
      </c>
      <c r="H10" s="50">
        <v>128.24597950444419</v>
      </c>
      <c r="I10" s="50">
        <v>161.79689464084569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92.280867448127324</v>
      </c>
      <c r="C11" s="50">
        <v>119.1703323153767</v>
      </c>
      <c r="D11" s="50">
        <v>157.6893664732292</v>
      </c>
      <c r="E11" s="50">
        <v>203.00985731074289</v>
      </c>
      <c r="F11" s="50">
        <v>78.14524504470883</v>
      </c>
      <c r="G11" s="50">
        <v>100.1806306947321</v>
      </c>
      <c r="H11" s="50">
        <v>132.86497058838171</v>
      </c>
      <c r="I11" s="50">
        <v>171.82263691027191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92.294997757054148</v>
      </c>
      <c r="C12" s="50">
        <v>122.3430077594022</v>
      </c>
      <c r="D12" s="50">
        <v>166.67053472296979</v>
      </c>
      <c r="E12" s="50">
        <v>218.44485818224601</v>
      </c>
      <c r="F12" s="50">
        <v>77.055750262358146</v>
      </c>
      <c r="G12" s="50">
        <v>100.9846332699268</v>
      </c>
      <c r="H12" s="50">
        <v>137.47625981885781</v>
      </c>
      <c r="I12" s="50">
        <v>180.89721513853311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93.298752297170751</v>
      </c>
      <c r="C13" s="50">
        <v>126.4038696539487</v>
      </c>
      <c r="D13" s="50">
        <v>175.49154622421131</v>
      </c>
      <c r="E13" s="50">
        <v>235.26005541555119</v>
      </c>
      <c r="F13" s="50">
        <v>76.492472305284238</v>
      </c>
      <c r="G13" s="50">
        <v>102.07305173208979</v>
      </c>
      <c r="H13" s="50">
        <v>141.89525104718979</v>
      </c>
      <c r="I13" s="50">
        <v>190.6965260006445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94.721450166574286</v>
      </c>
      <c r="C14" s="50">
        <v>129.57642085546411</v>
      </c>
      <c r="D14" s="50">
        <v>184.81641867029211</v>
      </c>
      <c r="E14" s="50">
        <v>253.29271107094991</v>
      </c>
      <c r="F14" s="50">
        <v>75.638152013391505</v>
      </c>
      <c r="G14" s="50">
        <v>102.8305001911647</v>
      </c>
      <c r="H14" s="50">
        <v>146.39968824412739</v>
      </c>
      <c r="I14" s="50">
        <v>201.13885949340829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94.539978435410603</v>
      </c>
      <c r="C15" s="50">
        <v>133.45830437373081</v>
      </c>
      <c r="D15" s="50">
        <v>194.29593151838949</v>
      </c>
      <c r="E15" s="50">
        <v>273.03854448922613</v>
      </c>
      <c r="F15" s="50">
        <v>74.117675550072676</v>
      </c>
      <c r="G15" s="50">
        <v>103.7141285784726</v>
      </c>
      <c r="H15" s="50">
        <v>150.955989399365</v>
      </c>
      <c r="I15" s="50">
        <v>212.37300544229879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95.640195481184918</v>
      </c>
      <c r="C16" s="50">
        <v>137.27319249989819</v>
      </c>
      <c r="D16" s="50">
        <v>204.10045149540269</v>
      </c>
      <c r="E16" s="50">
        <v>293.44811164169897</v>
      </c>
      <c r="F16" s="50">
        <v>73.649031601513386</v>
      </c>
      <c r="G16" s="50">
        <v>104.957606322956</v>
      </c>
      <c r="H16" s="50">
        <v>155.72537989109</v>
      </c>
      <c r="I16" s="50">
        <v>224.16320320884651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97.219618947633265</v>
      </c>
      <c r="C17" s="50">
        <v>141.78278648045821</v>
      </c>
      <c r="D17" s="50">
        <v>214.83836441672759</v>
      </c>
      <c r="E17" s="50">
        <v>317.52253312277429</v>
      </c>
      <c r="F17" s="50">
        <v>73.850279775879144</v>
      </c>
      <c r="G17" s="50">
        <v>106.40614786415161</v>
      </c>
      <c r="H17" s="50">
        <v>160.47737862608071</v>
      </c>
      <c r="I17" s="50">
        <v>235.80004148271499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98.601396219308896</v>
      </c>
      <c r="C18" s="50">
        <v>146.13390431965101</v>
      </c>
      <c r="D18" s="50">
        <v>225.9373854434958</v>
      </c>
      <c r="E18" s="50">
        <v>338.73058310423067</v>
      </c>
      <c r="F18" s="50">
        <v>73.734024720057775</v>
      </c>
      <c r="G18" s="50">
        <v>107.5916248412486</v>
      </c>
      <c r="H18" s="50">
        <v>165.49761190093361</v>
      </c>
      <c r="I18" s="50">
        <v>247.55463321999889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101.3523926828192</v>
      </c>
      <c r="C19" s="50">
        <v>151.02289569006831</v>
      </c>
      <c r="D19" s="50">
        <v>237.6279970774481</v>
      </c>
      <c r="E19" s="50">
        <v>363.87085400514582</v>
      </c>
      <c r="F19" s="50">
        <v>73.975550811397923</v>
      </c>
      <c r="G19" s="50">
        <v>108.77721464730951</v>
      </c>
      <c r="H19" s="50">
        <v>170.85153191312381</v>
      </c>
      <c r="I19" s="50">
        <v>260.35316368090452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103.726471560948</v>
      </c>
      <c r="C20" s="50">
        <v>156.34809315878519</v>
      </c>
      <c r="D20" s="50">
        <v>249.781440765089</v>
      </c>
      <c r="E20" s="50">
        <v>390.28890587454362</v>
      </c>
      <c r="F20" s="50">
        <v>73.582756301752923</v>
      </c>
      <c r="G20" s="50">
        <v>110.5911514733713</v>
      </c>
      <c r="H20" s="50">
        <v>176.00924788216531</v>
      </c>
      <c r="I20" s="50">
        <v>273.73694486233649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106.516181414267</v>
      </c>
      <c r="C21" s="50">
        <v>162.10699907711131</v>
      </c>
      <c r="D21" s="50">
        <v>262.19607940141992</v>
      </c>
      <c r="E21" s="50">
        <v>417.93303931330371</v>
      </c>
      <c r="F21" s="50">
        <v>74.230683932559742</v>
      </c>
      <c r="G21" s="50">
        <v>112.6186726971288</v>
      </c>
      <c r="H21" s="50">
        <v>181.36847319387641</v>
      </c>
      <c r="I21" s="50">
        <v>286.64857716874241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109.71817008954631</v>
      </c>
      <c r="C22" s="50">
        <v>167.19269577973299</v>
      </c>
      <c r="D22" s="50">
        <v>276.43659648601829</v>
      </c>
      <c r="E22" s="50">
        <v>447.4060777248834</v>
      </c>
      <c r="F22" s="50">
        <v>75.218297763743294</v>
      </c>
      <c r="G22" s="50">
        <v>113.90800504693679</v>
      </c>
      <c r="H22" s="50">
        <v>187.29099991074261</v>
      </c>
      <c r="I22" s="50">
        <v>300.5114773933102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110.881345134778</v>
      </c>
      <c r="C23" s="50">
        <v>172.92288802873779</v>
      </c>
      <c r="D23" s="50">
        <v>290.11641323702668</v>
      </c>
      <c r="E23" s="50">
        <v>477.63989108434799</v>
      </c>
      <c r="F23" s="50">
        <v>74.903725885641506</v>
      </c>
      <c r="G23" s="50">
        <v>115.5438783211731</v>
      </c>
      <c r="H23" s="50">
        <v>193.10206069595321</v>
      </c>
      <c r="I23" s="50">
        <v>314.06422771595101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92</v>
      </c>
      <c r="C1" s="50" t="s">
        <v>92</v>
      </c>
      <c r="D1" s="50" t="s">
        <v>92</v>
      </c>
      <c r="E1" s="50" t="s">
        <v>92</v>
      </c>
      <c r="F1" s="50" t="s">
        <v>93</v>
      </c>
      <c r="G1" s="50" t="s">
        <v>93</v>
      </c>
      <c r="H1" s="50" t="s">
        <v>93</v>
      </c>
      <c r="I1" s="50" t="s">
        <v>93</v>
      </c>
      <c r="J1" s="50" t="s">
        <v>94</v>
      </c>
      <c r="K1" s="50" t="s">
        <v>94</v>
      </c>
      <c r="L1" s="50" t="s">
        <v>94</v>
      </c>
      <c r="M1" s="50" t="s">
        <v>94</v>
      </c>
      <c r="N1" s="50" t="s">
        <v>95</v>
      </c>
      <c r="O1" s="50" t="s">
        <v>95</v>
      </c>
      <c r="P1" s="50" t="s">
        <v>95</v>
      </c>
      <c r="Q1" s="50" t="s">
        <v>95</v>
      </c>
    </row>
    <row r="2" spans="1:17">
      <c r="A2" s="50"/>
      <c r="B2" s="50" t="s">
        <v>96</v>
      </c>
      <c r="C2" s="50" t="s">
        <v>97</v>
      </c>
      <c r="D2" s="50" t="s">
        <v>98</v>
      </c>
      <c r="E2" s="50" t="s">
        <v>99</v>
      </c>
      <c r="F2" s="50" t="s">
        <v>96</v>
      </c>
      <c r="G2" s="50" t="s">
        <v>97</v>
      </c>
      <c r="H2" s="50" t="s">
        <v>98</v>
      </c>
      <c r="I2" s="50" t="s">
        <v>99</v>
      </c>
      <c r="J2" s="50" t="s">
        <v>96</v>
      </c>
      <c r="K2" s="50" t="s">
        <v>97</v>
      </c>
      <c r="L2" s="50" t="s">
        <v>98</v>
      </c>
      <c r="M2" s="50" t="s">
        <v>99</v>
      </c>
      <c r="N2" s="50" t="s">
        <v>96</v>
      </c>
      <c r="O2" s="50" t="s">
        <v>97</v>
      </c>
      <c r="P2" s="50" t="s">
        <v>98</v>
      </c>
      <c r="Q2" s="50" t="s">
        <v>99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90.213725127033072</v>
      </c>
      <c r="C4" s="50">
        <v>99.334269241927274</v>
      </c>
      <c r="D4" s="50">
        <v>108.9446038145085</v>
      </c>
      <c r="E4" s="50">
        <v>118.70588861380919</v>
      </c>
      <c r="F4" s="50">
        <v>87.184347555207268</v>
      </c>
      <c r="G4" s="50">
        <v>96.838726228187085</v>
      </c>
      <c r="H4" s="50">
        <v>106.5694277643799</v>
      </c>
      <c r="I4" s="50">
        <v>116.4004218715645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93.54136010037162</v>
      </c>
      <c r="C5" s="50">
        <v>103.5121705047834</v>
      </c>
      <c r="D5" s="50">
        <v>118.10826668023689</v>
      </c>
      <c r="E5" s="50">
        <v>131.93630060879599</v>
      </c>
      <c r="F5" s="50">
        <v>88.321850280828883</v>
      </c>
      <c r="G5" s="50">
        <v>98.324791406895457</v>
      </c>
      <c r="H5" s="50">
        <v>112.85514122597171</v>
      </c>
      <c r="I5" s="50">
        <v>126.7382321883678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96.478139556234254</v>
      </c>
      <c r="C6" s="50">
        <v>109.58478845989779</v>
      </c>
      <c r="D6" s="50">
        <v>127.22437487408961</v>
      </c>
      <c r="E6" s="50">
        <v>145.41651472691569</v>
      </c>
      <c r="F6" s="50">
        <v>88.7407895341629</v>
      </c>
      <c r="G6" s="50">
        <v>101.7123344806822</v>
      </c>
      <c r="H6" s="50">
        <v>118.9968110704728</v>
      </c>
      <c r="I6" s="50">
        <v>136.69175249517599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97.423987604775348</v>
      </c>
      <c r="C7" s="50">
        <v>115.18065378612449</v>
      </c>
      <c r="D7" s="50">
        <v>137.41696179212951</v>
      </c>
      <c r="E7" s="50">
        <v>161.47939389840781</v>
      </c>
      <c r="F7" s="50">
        <v>88.063889329333207</v>
      </c>
      <c r="G7" s="50">
        <v>104.5415616929068</v>
      </c>
      <c r="H7" s="50">
        <v>125.7572752711628</v>
      </c>
      <c r="I7" s="50">
        <v>148.73239980037249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101.3219245384297</v>
      </c>
      <c r="C8" s="50">
        <v>121.64343928892561</v>
      </c>
      <c r="D8" s="50">
        <v>148.78845901494489</v>
      </c>
      <c r="E8" s="50">
        <v>178.787677189177</v>
      </c>
      <c r="F8" s="50">
        <v>89.767249266821693</v>
      </c>
      <c r="G8" s="50">
        <v>107.8751174235113</v>
      </c>
      <c r="H8" s="50">
        <v>133.18296000878109</v>
      </c>
      <c r="I8" s="50">
        <v>161.44489009035149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104.5748656144293</v>
      </c>
      <c r="C9" s="50">
        <v>128.5613431898343</v>
      </c>
      <c r="D9" s="50">
        <v>160.29338194481579</v>
      </c>
      <c r="E9" s="50">
        <v>196.67597636431921</v>
      </c>
      <c r="F9" s="50">
        <v>91.144482929389696</v>
      </c>
      <c r="G9" s="50">
        <v>111.7382596585163</v>
      </c>
      <c r="H9" s="50">
        <v>140.6083401110541</v>
      </c>
      <c r="I9" s="50">
        <v>173.88784273128459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106.16676293213069</v>
      </c>
      <c r="C10" s="50">
        <v>134.19629646669981</v>
      </c>
      <c r="D10" s="50">
        <v>172.2871117686914</v>
      </c>
      <c r="E10" s="50">
        <v>216.58413364687991</v>
      </c>
      <c r="F10" s="50">
        <v>90.137468203123419</v>
      </c>
      <c r="G10" s="50">
        <v>114.31831767935471</v>
      </c>
      <c r="H10" s="50">
        <v>148.00449484698061</v>
      </c>
      <c r="I10" s="50">
        <v>187.36886203744359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108.7585305968055</v>
      </c>
      <c r="C11" s="50">
        <v>139.99490010341879</v>
      </c>
      <c r="D11" s="50">
        <v>184.47560065209609</v>
      </c>
      <c r="E11" s="50">
        <v>237.2322451391411</v>
      </c>
      <c r="F11" s="50">
        <v>90.468473799914108</v>
      </c>
      <c r="G11" s="50">
        <v>116.87261562357079</v>
      </c>
      <c r="H11" s="50">
        <v>155.37140272426581</v>
      </c>
      <c r="I11" s="50">
        <v>201.33646290659129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110.524557290364</v>
      </c>
      <c r="C12" s="50">
        <v>145.76618879381519</v>
      </c>
      <c r="D12" s="50">
        <v>197.01464657817931</v>
      </c>
      <c r="E12" s="50">
        <v>258.90506806827011</v>
      </c>
      <c r="F12" s="50">
        <v>90.98523428800921</v>
      </c>
      <c r="G12" s="50">
        <v>119.2959452237059</v>
      </c>
      <c r="H12" s="50">
        <v>162.2458099806797</v>
      </c>
      <c r="I12" s="50">
        <v>215.86974865498121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112.0416113502793</v>
      </c>
      <c r="C13" s="50">
        <v>152.29671736068829</v>
      </c>
      <c r="D13" s="50">
        <v>210.36111773231389</v>
      </c>
      <c r="E13" s="50">
        <v>283.13115470656112</v>
      </c>
      <c r="F13" s="50">
        <v>90.712245620407714</v>
      </c>
      <c r="G13" s="50">
        <v>122.4305272248712</v>
      </c>
      <c r="H13" s="50">
        <v>169.8120909261462</v>
      </c>
      <c r="I13" s="50">
        <v>231.12540099772201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115.3414917421252</v>
      </c>
      <c r="C14" s="50">
        <v>158.51265712565291</v>
      </c>
      <c r="D14" s="50">
        <v>223.5188551194739</v>
      </c>
      <c r="E14" s="50">
        <v>307.89459922193288</v>
      </c>
      <c r="F14" s="50">
        <v>91.713253921730143</v>
      </c>
      <c r="G14" s="50">
        <v>125.3640757118788</v>
      </c>
      <c r="H14" s="50">
        <v>177.47535425196449</v>
      </c>
      <c r="I14" s="50">
        <v>246.6596003787877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118.31785302161551</v>
      </c>
      <c r="C15" s="50">
        <v>165.81356445214749</v>
      </c>
      <c r="D15" s="50">
        <v>238.24626988310339</v>
      </c>
      <c r="E15" s="50">
        <v>336.00938439450198</v>
      </c>
      <c r="F15" s="50">
        <v>92.179818790809477</v>
      </c>
      <c r="G15" s="50">
        <v>128.31536998299009</v>
      </c>
      <c r="H15" s="50">
        <v>185.45574799045221</v>
      </c>
      <c r="I15" s="50">
        <v>263.2196179801465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123.0890796389837</v>
      </c>
      <c r="C16" s="50">
        <v>172.87962530579651</v>
      </c>
      <c r="D16" s="50">
        <v>254.17305089362509</v>
      </c>
      <c r="E16" s="50">
        <v>364.42187892438511</v>
      </c>
      <c r="F16" s="50">
        <v>93.288848463969401</v>
      </c>
      <c r="G16" s="50">
        <v>131.12926657488839</v>
      </c>
      <c r="H16" s="50">
        <v>193.7512330260337</v>
      </c>
      <c r="I16" s="50">
        <v>280.0995150385242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126.01951275681201</v>
      </c>
      <c r="C17" s="50">
        <v>181.36634223113839</v>
      </c>
      <c r="D17" s="50">
        <v>270.9508743548389</v>
      </c>
      <c r="E17" s="50">
        <v>396.8155985810123</v>
      </c>
      <c r="F17" s="50">
        <v>94.174046093039479</v>
      </c>
      <c r="G17" s="50">
        <v>135.14178539558341</v>
      </c>
      <c r="H17" s="50">
        <v>202.43498280693541</v>
      </c>
      <c r="I17" s="50">
        <v>297.99864985499272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129.90895491290831</v>
      </c>
      <c r="C18" s="50">
        <v>189.46632281668431</v>
      </c>
      <c r="D18" s="50">
        <v>288.46827843019543</v>
      </c>
      <c r="E18" s="50">
        <v>429.40518857770689</v>
      </c>
      <c r="F18" s="50">
        <v>95.874959862527319</v>
      </c>
      <c r="G18" s="50">
        <v>138.1333037286758</v>
      </c>
      <c r="H18" s="50">
        <v>211.4133580081027</v>
      </c>
      <c r="I18" s="50">
        <v>316.85954706857081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134.07262976271289</v>
      </c>
      <c r="C19" s="50">
        <v>198.69411153002019</v>
      </c>
      <c r="D19" s="50">
        <v>307.46909454137881</v>
      </c>
      <c r="E19" s="50">
        <v>465.09971156743211</v>
      </c>
      <c r="F19" s="50">
        <v>96.195238312855196</v>
      </c>
      <c r="G19" s="50">
        <v>142.15303332506119</v>
      </c>
      <c r="H19" s="50">
        <v>220.81232976183389</v>
      </c>
      <c r="I19" s="50">
        <v>337.3086676737899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139.8434704342738</v>
      </c>
      <c r="C20" s="50">
        <v>207.88699546325381</v>
      </c>
      <c r="D20" s="50">
        <v>327.52220001043139</v>
      </c>
      <c r="E20" s="50">
        <v>506.34250439283721</v>
      </c>
      <c r="F20" s="50">
        <v>98.699626700581021</v>
      </c>
      <c r="G20" s="50">
        <v>145.17632389693321</v>
      </c>
      <c r="H20" s="50">
        <v>231.12205646133381</v>
      </c>
      <c r="I20" s="50">
        <v>359.02377064244581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145.8845419585123</v>
      </c>
      <c r="C21" s="50">
        <v>217.1056475084192</v>
      </c>
      <c r="D21" s="50">
        <v>349.42073100130079</v>
      </c>
      <c r="E21" s="50">
        <v>549.5865268196103</v>
      </c>
      <c r="F21" s="50">
        <v>100.98393445495959</v>
      </c>
      <c r="G21" s="50">
        <v>149.14526171787429</v>
      </c>
      <c r="H21" s="50">
        <v>241.07606361192629</v>
      </c>
      <c r="I21" s="50">
        <v>380.05010541589797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153.1885852717933</v>
      </c>
      <c r="C22" s="50">
        <v>227.64569850504111</v>
      </c>
      <c r="D22" s="50">
        <v>372.23408916519861</v>
      </c>
      <c r="E22" s="50">
        <v>593.52722025744401</v>
      </c>
      <c r="F22" s="50">
        <v>103.8433178628771</v>
      </c>
      <c r="G22" s="50">
        <v>153.73976176717761</v>
      </c>
      <c r="H22" s="50">
        <v>252.58096578631341</v>
      </c>
      <c r="I22" s="50">
        <v>401.96403819999159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157.43859938088659</v>
      </c>
      <c r="C23" s="50">
        <v>238.96051383992051</v>
      </c>
      <c r="D23" s="50">
        <v>397.27041069465099</v>
      </c>
      <c r="E23" s="50">
        <v>642.95696971017708</v>
      </c>
      <c r="F23" s="50">
        <v>104.857316148829</v>
      </c>
      <c r="G23" s="50">
        <v>158.45924110119859</v>
      </c>
      <c r="H23" s="50">
        <v>264.41737203631249</v>
      </c>
      <c r="I23" s="50">
        <v>425.87554723977053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portfolios</vt:lpstr>
      <vt:lpstr>risk_dashboard</vt:lpstr>
      <vt:lpstr>assumptions</vt:lpstr>
      <vt:lpstr>ws_Current_Portfolio</vt:lpstr>
      <vt:lpstr>ws_Volatility_Matched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Barker</cp:lastModifiedBy>
  <dcterms:created xsi:type="dcterms:W3CDTF">2025-07-01T08:47:04Z</dcterms:created>
  <dcterms:modified xsi:type="dcterms:W3CDTF">2025-07-01T11:17:39Z</dcterms:modified>
</cp:coreProperties>
</file>