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s" sheetId="1" state="visible" r:id="rId1"/>
    <sheet xmlns:r="http://schemas.openxmlformats.org/officeDocument/2006/relationships" name="risk_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ws_Current_Portfolio" sheetId="4" state="visible" r:id="rId4"/>
    <sheet xmlns:r="http://schemas.openxmlformats.org/officeDocument/2006/relationships" name="ws_Volatility_Match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 h:mm:ss"/>
  </numFmts>
  <fonts count="13">
    <font>
      <name val="Calibri"/>
      <family val="2"/>
      <color theme="1"/>
      <sz val="11"/>
      <scheme val="minor"/>
    </font>
    <font>
      <name val="Calibri Light"/>
      <sz val="12.5"/>
    </font>
    <font>
      <name val="Arial"/>
      <sz val="12.5"/>
    </font>
    <font>
      <name val="Calibri"/>
      <color rgb="00FFFFFF"/>
      <sz val="12.5"/>
    </font>
    <font>
      <name val="Aptos Narrow"/>
      <color rgb="FFFFFFFF"/>
      <sz val="12"/>
    </font>
    <font>
      <name val="Aptos Narrow"/>
      <sz val="12"/>
    </font>
    <font>
      <name val="Aptos Narrow"/>
      <b val="1"/>
      <color rgb="FF092539"/>
      <sz val="12"/>
    </font>
    <font>
      <name val="Grotesque"/>
      <sz val="11"/>
    </font>
    <font>
      <name val="Calibri"/>
      <sz val="11"/>
    </font>
    <font>
      <name val="Grotesque"/>
      <b val="1"/>
      <color rgb="FF0F243E"/>
      <sz val="11"/>
    </font>
    <font>
      <name val="Grotesque"/>
      <color rgb="FFC00000"/>
      <sz val="11"/>
    </font>
    <font>
      <name val="Grotesque"/>
      <color rgb="FF039644"/>
      <sz val="11"/>
    </font>
    <font>
      <name val="Grotesque"/>
      <b val="1"/>
      <color rgb="FF039644"/>
      <sz val="1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FFD3DDEA"/>
      </patternFill>
    </fill>
    <fill>
      <patternFill patternType="solid">
        <fgColor rgb="00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dotted"/>
    </border>
    <border>
      <left/>
      <right/>
      <top/>
      <bottom/>
    </border>
    <border>
      <left/>
      <right/>
      <top style="dotted"/>
      <bottom/>
    </border>
    <border>
      <left/>
      <right/>
      <top style="dotted">
        <color rgb="00A9A9A9"/>
      </top>
      <bottom/>
    </border>
    <border>
      <top style="dotted">
        <color rgb="00A9A9A9"/>
      </top>
    </border>
    <border>
      <left/>
      <right/>
      <top style="dotted">
        <color rgb="00A9A9A9"/>
      </top>
      <bottom/>
      <diagonal/>
    </border>
    <border>
      <left/>
      <right/>
      <top/>
      <bottom style="thin"/>
    </border>
    <border>
      <left/>
      <right/>
      <top style="hair">
        <color rgb="FF737373"/>
      </top>
      <bottom/>
    </border>
    <border>
      <left/>
      <right/>
      <top/>
      <bottom style="thin"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164" fontId="1" fillId="3" borderId="2" applyAlignment="1" pivotButton="0" quotePrefix="0" xfId="0">
      <alignment horizontal="right" vertical="center" indent="4"/>
    </xf>
    <xf numFmtId="0" fontId="1" fillId="2" borderId="2" applyAlignment="1" pivotButton="0" quotePrefix="0" xfId="0">
      <alignment horizontal="left" vertical="center"/>
    </xf>
    <xf numFmtId="165" fontId="1" fillId="2" borderId="2" applyAlignment="1" pivotButton="0" quotePrefix="0" xfId="0">
      <alignment horizontal="right" vertical="center" indent="4"/>
    </xf>
    <xf numFmtId="0" fontId="1" fillId="2" borderId="3" pivotButton="0" quotePrefix="0" xfId="0"/>
    <xf numFmtId="164" fontId="1" fillId="2" borderId="3" applyAlignment="1" pivotButton="0" quotePrefix="0" xfId="0">
      <alignment horizontal="right" indent="4"/>
    </xf>
    <xf numFmtId="0" fontId="2" fillId="2" borderId="2" pivotButton="0" quotePrefix="0" xfId="0"/>
    <xf numFmtId="164" fontId="3" fillId="4" borderId="2" applyAlignment="1" pivotButton="0" quotePrefix="0" xfId="0">
      <alignment vertical="center"/>
    </xf>
    <xf numFmtId="164" fontId="3" fillId="4" borderId="2" applyAlignment="1" pivotButton="0" quotePrefix="0" xfId="0">
      <alignment horizontal="right" vertical="center" indent="4"/>
    </xf>
    <xf numFmtId="2" fontId="3" fillId="4" borderId="2" applyAlignment="1" pivotButton="0" quotePrefix="0" xfId="0">
      <alignment horizontal="right" vertical="center" indent="4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horizontal="center" vertical="center"/>
    </xf>
    <xf numFmtId="0" fontId="5" fillId="6" borderId="2" pivotButton="0" quotePrefix="0" xfId="0"/>
    <xf numFmtId="164" fontId="5" fillId="6" borderId="2" applyAlignment="1" pivotButton="0" quotePrefix="0" xfId="0">
      <alignment horizontal="center"/>
    </xf>
    <xf numFmtId="0" fontId="5" fillId="6" borderId="5" pivotButton="0" quotePrefix="0" xfId="0"/>
    <xf numFmtId="164" fontId="5" fillId="6" borderId="5" applyAlignment="1" pivotButton="0" quotePrefix="0" xfId="0">
      <alignment horizontal="center"/>
    </xf>
    <xf numFmtId="0" fontId="0" fillId="0" borderId="6" pivotButton="0" quotePrefix="0" xfId="0"/>
    <xf numFmtId="2" fontId="5" fillId="6" borderId="2" applyAlignment="1" pivotButton="0" quotePrefix="0" xfId="0">
      <alignment horizontal="center"/>
    </xf>
    <xf numFmtId="0" fontId="6" fillId="6" borderId="4" pivotButton="0" quotePrefix="0" xfId="0"/>
    <xf numFmtId="0" fontId="5" fillId="6" borderId="4" applyAlignment="1" pivotButton="0" quotePrefix="0" xfId="0">
      <alignment horizontal="center"/>
    </xf>
    <xf numFmtId="0" fontId="5" fillId="6" borderId="2" applyAlignment="1" pivotButton="0" quotePrefix="0" xfId="0">
      <alignment horizontal="left" indent="1"/>
    </xf>
    <xf numFmtId="0" fontId="7" fillId="6" borderId="2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/>
    </xf>
    <xf numFmtId="0" fontId="0" fillId="0" borderId="9" pivotButton="0" quotePrefix="0" xfId="0"/>
    <xf numFmtId="0" fontId="7" fillId="6" borderId="2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 wrapText="1"/>
    </xf>
    <xf numFmtId="0" fontId="9" fillId="6" borderId="2" pivotButton="0" quotePrefix="0" xfId="0"/>
    <xf numFmtId="0" fontId="9" fillId="6" borderId="2" applyAlignment="1" pivotButton="0" quotePrefix="0" xfId="0">
      <alignment horizontal="center"/>
    </xf>
    <xf numFmtId="2" fontId="9" fillId="6" borderId="2" applyAlignment="1" pivotButton="0" quotePrefix="0" xfId="0">
      <alignment horizontal="center"/>
    </xf>
    <xf numFmtId="0" fontId="7" fillId="6" borderId="2" pivotButton="0" quotePrefix="0" xfId="0"/>
    <xf numFmtId="164" fontId="10" fillId="6" borderId="2" applyAlignment="1" pivotButton="0" quotePrefix="0" xfId="0">
      <alignment horizontal="right"/>
    </xf>
    <xf numFmtId="164" fontId="7" fillId="6" borderId="2" applyAlignment="1" pivotButton="0" quotePrefix="0" xfId="0">
      <alignment horizontal="center"/>
    </xf>
    <xf numFmtId="164" fontId="11" fillId="6" borderId="2" applyAlignment="1" pivotButton="0" quotePrefix="0" xfId="0">
      <alignment horizontal="left"/>
    </xf>
    <xf numFmtId="2" fontId="7" fillId="6" borderId="2" applyAlignment="1" pivotButton="0" quotePrefix="0" xfId="0">
      <alignment horizontal="center"/>
    </xf>
    <xf numFmtId="9" fontId="7" fillId="6" borderId="2" applyAlignment="1" pivotButton="0" quotePrefix="0" xfId="0">
      <alignment horizontal="center"/>
    </xf>
    <xf numFmtId="17" fontId="7" fillId="6" borderId="2" applyAlignment="1" pivotButton="0" quotePrefix="0" xfId="0">
      <alignment horizontal="center"/>
    </xf>
    <xf numFmtId="0" fontId="9" fillId="6" borderId="8" pivotButton="0" quotePrefix="0" xfId="0"/>
    <xf numFmtId="164" fontId="9" fillId="6" borderId="8" applyAlignment="1" pivotButton="0" quotePrefix="0" xfId="0">
      <alignment horizontal="right"/>
    </xf>
    <xf numFmtId="164" fontId="9" fillId="6" borderId="8" applyAlignment="1" pivotButton="0" quotePrefix="0" xfId="0">
      <alignment horizontal="center"/>
    </xf>
    <xf numFmtId="164" fontId="12" fillId="6" borderId="8" applyAlignment="1" pivotButton="0" quotePrefix="0" xfId="0">
      <alignment horizontal="left"/>
    </xf>
    <xf numFmtId="2" fontId="9" fillId="6" borderId="8" applyAlignment="1" pivotButton="0" quotePrefix="0" xfId="0">
      <alignment horizontal="center"/>
    </xf>
    <xf numFmtId="9" fontId="9" fillId="6" borderId="8" applyAlignment="1" pivotButton="0" quotePrefix="0" xfId="0">
      <alignment horizontal="center"/>
    </xf>
    <xf numFmtId="17" fontId="9" fillId="6" borderId="8" applyAlignment="1" pivotButton="0" quotePrefix="0" xfId="0">
      <alignment horizontal="center"/>
    </xf>
    <xf numFmtId="0" fontId="7" fillId="6" borderId="7" pivotButton="0" quotePrefix="0" xfId="0"/>
    <xf numFmtId="164" fontId="10" fillId="6" borderId="7" applyAlignment="1" pivotButton="0" quotePrefix="0" xfId="0">
      <alignment horizontal="right"/>
    </xf>
    <xf numFmtId="164" fontId="7" fillId="6" borderId="7" applyAlignment="1" pivotButton="0" quotePrefix="0" xfId="0">
      <alignment horizontal="center"/>
    </xf>
    <xf numFmtId="164" fontId="11" fillId="6" borderId="7" applyAlignment="1" pivotButton="0" quotePrefix="0" xfId="0">
      <alignment horizontal="left"/>
    </xf>
    <xf numFmtId="2" fontId="7" fillId="6" borderId="7" applyAlignment="1" pivotButton="0" quotePrefix="0" xfId="0">
      <alignment horizontal="center"/>
    </xf>
    <xf numFmtId="9" fontId="7" fillId="6" borderId="7" applyAlignment="1" pivotButton="0" quotePrefix="0" xfId="0">
      <alignment horizontal="center"/>
    </xf>
    <xf numFmtId="17" fontId="7" fillId="6" borderId="7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'ws_Current_Portfolio'!J2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'ws_Current_Portfolio'!$J$3:$J$23</f>
            </numRef>
          </val>
        </ser>
        <ser>
          <idx val="1"/>
          <order val="1"/>
          <tx>
            <strRef>
              <f>'ws_Current_Portfolio'!K2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'ws_Current_Portfolio'!$K$3:$K$23</f>
            </numRef>
          </val>
        </ser>
        <ser>
          <idx val="2"/>
          <order val="2"/>
          <tx>
            <strRef>
              <f>'ws_Current_Portfolio'!L2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'ws_Current_Portfolio'!$L$3:$L$23</f>
            </numRef>
          </val>
        </ser>
        <ser>
          <idx val="3"/>
          <order val="3"/>
          <tx>
            <strRef>
              <f>'ws_Current_Portfolio'!M2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'ws_Current_Portfolio'!B2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'ws_Current_Portfolio'!$B$3:$B$23</f>
            </numRef>
          </val>
        </ser>
        <ser>
          <idx val="1"/>
          <order val="1"/>
          <tx>
            <strRef>
              <f>'ws_Current_Portfolio'!C2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'ws_Current_Portfolio'!$C$3:$C$23</f>
            </numRef>
          </val>
        </ser>
        <ser>
          <idx val="2"/>
          <order val="2"/>
          <tx>
            <strRef>
              <f>'ws_Current_Portfolio'!D2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'ws_Current_Portfolio'!$D$3:$D$23</f>
            </numRef>
          </val>
        </ser>
        <ser>
          <idx val="3"/>
          <order val="3"/>
          <tx>
            <strRef>
              <f>'ws_Current_Portfolio'!E2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'ws_Current_Portfolio'!F2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'ws_Current_Portfolio'!$F$3:$F$23</f>
            </numRef>
          </val>
        </ser>
        <ser>
          <idx val="1"/>
          <order val="1"/>
          <tx>
            <strRef>
              <f>'ws_Current_Portfolio'!G2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'ws_Current_Portfolio'!$G$3:$G$23</f>
            </numRef>
          </val>
        </ser>
        <ser>
          <idx val="2"/>
          <order val="2"/>
          <tx>
            <strRef>
              <f>'ws_Current_Portfolio'!H2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'ws_Current_Portfolio'!$H$3:$H$23</f>
            </numRef>
          </val>
        </ser>
        <ser>
          <idx val="3"/>
          <order val="3"/>
          <tx>
            <strRef>
              <f>'ws_Current_Portfolio'!I2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'ws_Current_Portfolio'!N2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'ws_Current_Portfolio'!$N$3:$N$23</f>
            </numRef>
          </val>
        </ser>
        <ser>
          <idx val="1"/>
          <order val="1"/>
          <tx>
            <strRef>
              <f>'ws_Current_Portfolio'!O2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'ws_Current_Portfolio'!$O$3:$O$23</f>
            </numRef>
          </val>
        </ser>
        <ser>
          <idx val="2"/>
          <order val="2"/>
          <tx>
            <strRef>
              <f>'ws_Current_Portfolio'!P2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'ws_Current_Portfolio'!$P$3:$P$23</f>
            </numRef>
          </val>
        </ser>
        <ser>
          <idx val="3"/>
          <order val="3"/>
          <tx>
            <strRef>
              <f>'ws_Current_Portfolio'!Q2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'ws_Current_Portfolio'!$A$3:$A$23</f>
            </numRef>
          </cat>
          <val>
            <numRef>
              <f>'ws_Current_Portfolio'!$Q$3:$Q$23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'ws_Volatility_Matched'!J2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'ws_Volatility_Matched'!$J$3:$J$23</f>
            </numRef>
          </val>
        </ser>
        <ser>
          <idx val="1"/>
          <order val="1"/>
          <tx>
            <strRef>
              <f>'ws_Volatility_Matched'!K2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'ws_Volatility_Matched'!$K$3:$K$23</f>
            </numRef>
          </val>
        </ser>
        <ser>
          <idx val="2"/>
          <order val="2"/>
          <tx>
            <strRef>
              <f>'ws_Volatility_Matched'!L2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'ws_Volatility_Matched'!$L$3:$L$23</f>
            </numRef>
          </val>
        </ser>
        <ser>
          <idx val="3"/>
          <order val="3"/>
          <tx>
            <strRef>
              <f>'ws_Volatility_Matched'!M2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'ws_Volatility_Matched'!$M$3:$M$23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'ws_Volatility_Matched'!B2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'ws_Volatility_Matched'!$B$3:$B$23</f>
            </numRef>
          </val>
        </ser>
        <ser>
          <idx val="1"/>
          <order val="1"/>
          <tx>
            <strRef>
              <f>'ws_Volatility_Matched'!C2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'ws_Volatility_Matched'!$C$3:$C$23</f>
            </numRef>
          </val>
        </ser>
        <ser>
          <idx val="2"/>
          <order val="2"/>
          <tx>
            <strRef>
              <f>'ws_Volatility_Matched'!D2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'ws_Volatility_Matched'!$D$3:$D$23</f>
            </numRef>
          </val>
        </ser>
        <ser>
          <idx val="3"/>
          <order val="3"/>
          <tx>
            <strRef>
              <f>'ws_Volatility_Matched'!E2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'ws_Volatility_Matched'!$E$3:$E$23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'ws_Volatility_Matched'!F2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'ws_Volatility_Matched'!$F$3:$F$23</f>
            </numRef>
          </val>
        </ser>
        <ser>
          <idx val="1"/>
          <order val="1"/>
          <tx>
            <strRef>
              <f>'ws_Volatility_Matched'!G2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'ws_Volatility_Matched'!$G$3:$G$23</f>
            </numRef>
          </val>
        </ser>
        <ser>
          <idx val="2"/>
          <order val="2"/>
          <tx>
            <strRef>
              <f>'ws_Volatility_Matched'!H2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'ws_Volatility_Matched'!$H$3:$H$23</f>
            </numRef>
          </val>
        </ser>
        <ser>
          <idx val="3"/>
          <order val="3"/>
          <tx>
            <strRef>
              <f>'ws_Volatility_Matched'!I2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'ws_Volatility_Matched'!$I$3:$I$23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'ws_Volatility_Matched'!N2</f>
            </strRef>
          </tx>
          <spPr>
            <a:ln xmlns:a="http://schemas.openxmlformats.org/drawingml/2006/main" w="127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'ws_Volatility_Matched'!$N$3:$N$23</f>
            </numRef>
          </val>
        </ser>
        <ser>
          <idx val="1"/>
          <order val="1"/>
          <tx>
            <strRef>
              <f>'ws_Volatility_Matched'!O2</f>
            </strRef>
          </tx>
          <spPr>
            <a:ln xmlns:a="http://schemas.openxmlformats.org/drawingml/2006/main" w="12700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'ws_Volatility_Matched'!$O$3:$O$23</f>
            </numRef>
          </val>
        </ser>
        <ser>
          <idx val="2"/>
          <order val="2"/>
          <tx>
            <strRef>
              <f>'ws_Volatility_Matched'!P2</f>
            </strRef>
          </tx>
          <spPr>
            <a:ln xmlns:a="http://schemas.openxmlformats.org/drawingml/2006/main" w="12700">
              <a:solidFill>
                <a:srgbClr val="37609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'ws_Volatility_Matched'!$P$3:$P$23</f>
            </numRef>
          </val>
        </ser>
        <ser>
          <idx val="3"/>
          <order val="3"/>
          <tx>
            <strRef>
              <f>'ws_Volatility_Matched'!Q2</f>
            </strRef>
          </tx>
          <spPr>
            <a:ln xmlns:a="http://schemas.openxmlformats.org/drawingml/2006/main" w="12700">
              <a:solidFill>
                <a:srgbClr val="7793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'ws_Volatility_Matched'!$A$3:$A$23</f>
            </numRef>
          </cat>
          <val>
            <numRef>
              <f>'ws_Volatility_Matched'!$Q$3:$Q$23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none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0"/>
        <crosses val="autoZero"/>
        <lblOffset val="100"/>
        <tickLblSkip val="5"/>
        <tickMarkSkip val="5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rich>
          </tx>
          <txPr>
            <a:bodyPr xmlns:a="http://schemas.openxmlformats.org/drawingml/2006/main"/>
            <a:p xmlns:a="http://schemas.openxmlformats.org/drawingml/2006/main">
              <a:pPr>
                <a:defRPr sz="900" b="0">
                  <a:latin typeface="Aptos"/>
                </a:defRPr>
              </a:pPr>
              <a:r>
                <a:t/>
              </a:r>
              <a:endParaRPr sz="900" b="0">
                <a:latin typeface="Aptos"/>
              </a:endParaRPr>
            </a:p>
          </txPr>
        </title>
        <majorTickMark val="cross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ptos"/>
              </a:defRPr>
            </a:pPr>
            <a:r>
              <a:t/>
            </a:r>
            <a:endParaRPr sz="900" b="0">
              <a:latin typeface="Aptos"/>
            </a:endParaRPr>
          </a:p>
        </txPr>
        <crossAx val="10"/>
      </valAx>
    </plotArea>
    <legend>
      <legendPos val="t"/>
      <layout>
        <manualLayout>
          <xMode val="factor"/>
          <yMode val="factor"/>
          <wMode val="factor"/>
          <hMode val="factor"/>
          <x val="0.25"/>
          <y val="0"/>
          <w val="1"/>
          <h val="0.1"/>
        </manualLayout>
      </layout>
      <txPr>
        <a:bodyPr xmlns:a="http://schemas.openxmlformats.org/drawingml/2006/main"/>
        <a:p xmlns:a="http://schemas.openxmlformats.org/drawingml/2006/main">
          <a:pPr>
            <a:defRPr sz="900" b="0">
              <a:latin typeface="Aptos"/>
            </a:defRPr>
          </a:pPr>
          <a:r>
            <a:t/>
          </a:r>
          <a:endParaRPr sz="900" b="0">
            <a:latin typeface="Aptos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27</row>
      <rowOff>0</rowOff>
    </from>
    <ext cx="4320000" cy="286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27</row>
      <rowOff>0</rowOff>
    </from>
    <ext cx="4320000" cy="286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27</row>
      <rowOff>0</rowOff>
    </from>
    <ext cx="4320000" cy="286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27</row>
      <rowOff>0</rowOff>
    </from>
    <ext cx="4320000" cy="286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8" customWidth="1" min="2" max="2"/>
    <col width="18" customWidth="1" min="3" max="3"/>
  </cols>
  <sheetData>
    <row r="1" ht="37" customHeight="1">
      <c r="A1" s="1" t="n"/>
      <c r="B1" s="2" t="inlineStr">
        <is>
          <t>Current Portfolio</t>
        </is>
      </c>
      <c r="C1" s="2" t="inlineStr">
        <is>
          <t>Volatility Matched</t>
        </is>
      </c>
    </row>
    <row r="2" ht="17" customHeight="1">
      <c r="A2" s="3" t="inlineStr">
        <is>
          <t>Investment Grade Fixed Income</t>
        </is>
      </c>
      <c r="B2" s="4" t="n">
        <v>0.38</v>
      </c>
      <c r="C2" s="4" t="n">
        <v>0.2800261549988553</v>
      </c>
    </row>
    <row r="3" ht="17" customHeight="1">
      <c r="A3" s="5" t="inlineStr">
        <is>
          <t xml:space="preserve">  US Dollar Debt</t>
        </is>
      </c>
      <c r="B3" s="6" t="n">
        <v>20</v>
      </c>
      <c r="C3" s="6" t="n">
        <v>16.50000001614713</v>
      </c>
    </row>
    <row r="4" ht="17" customHeight="1">
      <c r="A4" s="5" t="inlineStr">
        <is>
          <t xml:space="preserve">  US Short Duration Debt</t>
        </is>
      </c>
      <c r="B4" s="6" t="n">
        <v>18</v>
      </c>
      <c r="C4" s="6" t="n">
        <v>1.927611376061965e-08</v>
      </c>
    </row>
    <row r="5" ht="17" customHeight="1">
      <c r="A5" s="5" t="inlineStr">
        <is>
          <t xml:space="preserve">  US Corporate Bonds</t>
        </is>
      </c>
      <c r="B5" s="6" t="n">
        <v>0</v>
      </c>
      <c r="C5" s="6" t="n">
        <v>11.50261546446229</v>
      </c>
    </row>
    <row r="6" ht="17" customHeight="1">
      <c r="A6" s="3" t="inlineStr">
        <is>
          <t>Other Fixed Income</t>
        </is>
      </c>
      <c r="B6" s="4" t="n">
        <v>0</v>
      </c>
      <c r="C6" s="4" t="n">
        <v>0.1019966940856197</v>
      </c>
    </row>
    <row r="7" ht="17" customHeight="1">
      <c r="A7" s="5" t="inlineStr">
        <is>
          <t xml:space="preserve">  US High Yield</t>
        </is>
      </c>
      <c r="B7" s="6" t="n">
        <v>0</v>
      </c>
      <c r="C7" s="6" t="n">
        <v>6.625387856080361</v>
      </c>
    </row>
    <row r="8" ht="17" customHeight="1">
      <c r="A8" s="5" t="inlineStr">
        <is>
          <t xml:space="preserve">  EM External Debt</t>
        </is>
      </c>
      <c r="B8" s="6" t="n">
        <v>0</v>
      </c>
      <c r="C8" s="6" t="n">
        <v>3.574281552481613</v>
      </c>
    </row>
    <row r="9" ht="17" customHeight="1">
      <c r="A9" s="3" t="inlineStr">
        <is>
          <t>Public Equity</t>
        </is>
      </c>
      <c r="B9" s="4" t="n">
        <v>0.46</v>
      </c>
      <c r="C9" s="4" t="n">
        <v>0.2660777342888684</v>
      </c>
    </row>
    <row r="10" ht="17" customHeight="1">
      <c r="A10" s="5" t="inlineStr">
        <is>
          <t xml:space="preserve">  Global Equities (ACWI)</t>
        </is>
      </c>
      <c r="B10" s="6" t="n">
        <v>10</v>
      </c>
      <c r="C10" s="6" t="n">
        <v>7.602334552319012e-11</v>
      </c>
    </row>
    <row r="11" ht="17" customHeight="1">
      <c r="A11" s="5" t="inlineStr">
        <is>
          <t xml:space="preserve">  US Large Cap Growth Equity</t>
        </is>
      </c>
      <c r="B11" s="6" t="n">
        <v>6</v>
      </c>
      <c r="C11" s="6" t="n">
        <v>3.592302428788288</v>
      </c>
    </row>
    <row r="12" ht="17" customHeight="1">
      <c r="A12" s="5" t="inlineStr">
        <is>
          <t xml:space="preserve">  US Large Cap Value Equity</t>
        </is>
      </c>
      <c r="B12" s="6" t="n">
        <v>5</v>
      </c>
      <c r="C12" s="6" t="n">
        <v>4.041340232386908</v>
      </c>
    </row>
    <row r="13" ht="17" customHeight="1">
      <c r="A13" s="5" t="inlineStr">
        <is>
          <t xml:space="preserve">  US Small Cap Equity</t>
        </is>
      </c>
      <c r="B13" s="6" t="n">
        <v>0</v>
      </c>
      <c r="C13" s="6" t="n">
        <v>1.347113410795767</v>
      </c>
    </row>
    <row r="14" ht="17" customHeight="1">
      <c r="A14" s="5" t="inlineStr">
        <is>
          <t xml:space="preserve">  Europe ex-UK Equity</t>
        </is>
      </c>
      <c r="B14" s="6" t="n">
        <v>7.000000000000001</v>
      </c>
      <c r="C14" s="6" t="n">
        <v>2.58585754377297</v>
      </c>
    </row>
    <row r="15" ht="17" customHeight="1">
      <c r="A15" s="5" t="inlineStr">
        <is>
          <t xml:space="preserve">  UK Equity</t>
        </is>
      </c>
      <c r="B15" s="6" t="n">
        <v>0</v>
      </c>
      <c r="C15" s="6" t="n">
        <v>3.357817240792811</v>
      </c>
    </row>
    <row r="16" ht="17" customHeight="1">
      <c r="A16" s="5" t="inlineStr">
        <is>
          <t xml:space="preserve">  Japanese Equity</t>
        </is>
      </c>
      <c r="B16" s="6" t="n">
        <v>4</v>
      </c>
      <c r="C16" s="6" t="n">
        <v>0.9066079826808319</v>
      </c>
    </row>
    <row r="17" ht="17" customHeight="1">
      <c r="A17" s="5" t="inlineStr">
        <is>
          <t xml:space="preserve">  Asia-Pacific Equity</t>
        </is>
      </c>
      <c r="B17" s="6" t="n">
        <v>8</v>
      </c>
      <c r="C17" s="6" t="n">
        <v>2.678646714260815</v>
      </c>
    </row>
    <row r="18" ht="17" customHeight="1">
      <c r="A18" s="5" t="inlineStr">
        <is>
          <t xml:space="preserve">  Emerging Market Equity</t>
        </is>
      </c>
      <c r="B18" s="6" t="n">
        <v>6</v>
      </c>
      <c r="C18" s="6" t="n">
        <v>2.035258242298409</v>
      </c>
    </row>
    <row r="19" ht="17" customHeight="1">
      <c r="A19" s="5" t="inlineStr">
        <is>
          <t xml:space="preserve">  Global REITs</t>
        </is>
      </c>
      <c r="B19" s="6" t="n">
        <v>0</v>
      </c>
      <c r="C19" s="6" t="n">
        <v>3.031414816518243</v>
      </c>
    </row>
    <row r="20" ht="17" customHeight="1">
      <c r="A20" s="5" t="inlineStr">
        <is>
          <t xml:space="preserve">  Infrastructure Equity</t>
        </is>
      </c>
      <c r="B20" s="6" t="n">
        <v>0</v>
      </c>
      <c r="C20" s="6" t="n">
        <v>3.031414816515777</v>
      </c>
    </row>
    <row r="21" ht="17" customHeight="1">
      <c r="A21" s="3" t="inlineStr">
        <is>
          <t>Hedge Funds</t>
        </is>
      </c>
      <c r="B21" s="4" t="n">
        <v>0.16</v>
      </c>
      <c r="C21" s="4" t="n">
        <v>0.08456790269447256</v>
      </c>
    </row>
    <row r="22" ht="17" customHeight="1">
      <c r="A22" s="5" t="inlineStr">
        <is>
          <t xml:space="preserve">  Multi-Strategy</t>
        </is>
      </c>
      <c r="B22" s="6" t="n">
        <v>16</v>
      </c>
      <c r="C22" s="6" t="n">
        <v>7.284116542632237e-11</v>
      </c>
    </row>
    <row r="23" ht="17" customHeight="1">
      <c r="A23" s="5" t="inlineStr">
        <is>
          <t xml:space="preserve">  Event Driven</t>
        </is>
      </c>
      <c r="B23" s="6" t="n">
        <v>0</v>
      </c>
      <c r="C23" s="6" t="n">
        <v>3.450434389156523</v>
      </c>
    </row>
    <row r="24" ht="17" customHeight="1">
      <c r="A24" s="5" t="inlineStr">
        <is>
          <t xml:space="preserve">  Equity Long/Short</t>
        </is>
      </c>
      <c r="B24" s="6" t="n">
        <v>0</v>
      </c>
      <c r="C24" s="6" t="n">
        <v>1.836056318420644</v>
      </c>
    </row>
    <row r="25" ht="17" customHeight="1">
      <c r="A25" s="5" t="inlineStr">
        <is>
          <t xml:space="preserve">  Tactical Trading</t>
        </is>
      </c>
      <c r="B25" s="6" t="n">
        <v>0</v>
      </c>
      <c r="C25" s="6" t="n">
        <v>3.170299561797249</v>
      </c>
    </row>
    <row r="26" ht="17" customHeight="1">
      <c r="A26" s="3" t="inlineStr">
        <is>
          <t>Private Equity</t>
        </is>
      </c>
      <c r="B26" s="4" t="n">
        <v>0</v>
      </c>
      <c r="C26" s="4" t="n">
        <v>0.118203784297695</v>
      </c>
    </row>
    <row r="27" ht="17" customHeight="1">
      <c r="A27" s="5" t="inlineStr">
        <is>
          <t xml:space="preserve">  Buyout</t>
        </is>
      </c>
      <c r="B27" s="6" t="n">
        <v>0</v>
      </c>
      <c r="C27" s="6" t="n">
        <v>4.86935161951263</v>
      </c>
    </row>
    <row r="28" ht="17" customHeight="1">
      <c r="A28" s="5" t="inlineStr">
        <is>
          <t xml:space="preserve">  Growth</t>
        </is>
      </c>
      <c r="B28" s="6" t="n">
        <v>0</v>
      </c>
      <c r="C28" s="6" t="n">
        <v>3.878731885273262</v>
      </c>
    </row>
    <row r="29" ht="17" customHeight="1">
      <c r="A29" s="5" t="inlineStr">
        <is>
          <t xml:space="preserve">  Venture</t>
        </is>
      </c>
      <c r="B29" s="6" t="n">
        <v>0</v>
      </c>
      <c r="C29" s="6" t="n">
        <v>3.072294924983612</v>
      </c>
    </row>
    <row r="30" ht="17" customHeight="1">
      <c r="A30" s="3" t="inlineStr">
        <is>
          <t>Other Private Assets</t>
        </is>
      </c>
      <c r="B30" s="4" t="n">
        <v>0</v>
      </c>
      <c r="C30" s="4" t="n">
        <v>0.1491277296344958</v>
      </c>
    </row>
    <row r="31" ht="17" customHeight="1">
      <c r="A31" s="5" t="inlineStr">
        <is>
          <t xml:space="preserve">  Private Credit</t>
        </is>
      </c>
      <c r="B31" s="6" t="n">
        <v>0</v>
      </c>
      <c r="C31" s="6" t="n">
        <v>6.549094977096454</v>
      </c>
    </row>
    <row r="32" ht="17" customHeight="1">
      <c r="A32" s="5" t="inlineStr">
        <is>
          <t xml:space="preserve">  Core Real Estate</t>
        </is>
      </c>
      <c r="B32" s="6" t="n">
        <v>0</v>
      </c>
      <c r="C32" s="6" t="n">
        <v>6.272758489763862</v>
      </c>
    </row>
    <row r="33" ht="17" customHeight="1">
      <c r="A33" s="5" t="inlineStr">
        <is>
          <t xml:space="preserve">  Infrastructure</t>
        </is>
      </c>
      <c r="B33" s="6" t="n">
        <v>0</v>
      </c>
      <c r="C33" s="6" t="n">
        <v>2.090919496589264</v>
      </c>
    </row>
    <row r="34" ht="23" customHeight="1">
      <c r="A34" s="7" t="inlineStr">
        <is>
          <t>TOTAL</t>
        </is>
      </c>
      <c r="B34" s="8" t="n">
        <v>1</v>
      </c>
      <c r="C34" s="8" t="n">
        <v>1</v>
      </c>
    </row>
    <row r="35" ht="3" customHeight="1">
      <c r="A35" s="9" t="inlineStr"/>
      <c r="B35" s="9" t="n">
        <v/>
      </c>
      <c r="C35" s="9" t="n">
        <v/>
      </c>
    </row>
    <row r="36" ht="23" customHeight="1">
      <c r="A36" s="10" t="inlineStr">
        <is>
          <t>Estimated Mean Return</t>
        </is>
      </c>
      <c r="B36" s="11" t="n">
        <v>0.05399026561172746</v>
      </c>
      <c r="C36" s="11" t="n">
        <v>0.06700194602422373</v>
      </c>
    </row>
    <row r="37" ht="23" customHeight="1">
      <c r="A37" s="10" t="inlineStr">
        <is>
          <t>Sharpe Ratio</t>
        </is>
      </c>
      <c r="B37" s="12" t="n">
        <v>0.3933390760674572</v>
      </c>
      <c r="C37" s="12" t="n">
        <v>0.5673003038041103</v>
      </c>
    </row>
    <row r="38" ht="3" customHeight="1">
      <c r="A38" s="9" t="inlineStr"/>
      <c r="B38" s="9" t="n">
        <v/>
      </c>
      <c r="C38" s="9" t="n">
        <v/>
      </c>
    </row>
    <row r="39" ht="23" customHeight="1">
      <c r="A39" s="10" t="inlineStr">
        <is>
          <t>Volatility</t>
        </is>
      </c>
      <c r="B39" s="11" t="n">
        <v>0.07370298903828121</v>
      </c>
      <c r="C39" s="11" t="n">
        <v>0.07370298899919744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3" t="n"/>
      <c r="B1" s="14" t="inlineStr">
        <is>
          <t>Current Portfolio</t>
        </is>
      </c>
      <c r="D1" s="14" t="inlineStr">
        <is>
          <t>Volatility Matched</t>
        </is>
      </c>
    </row>
    <row r="2" ht="20" customHeight="1">
      <c r="A2" s="15" t="inlineStr">
        <is>
          <t>Investment Grade Fixed Income</t>
        </is>
      </c>
      <c r="B2" s="16" t="n">
        <v>0.38</v>
      </c>
      <c r="D2" s="16" t="n">
        <v>0.2800261549988553</v>
      </c>
    </row>
    <row r="3" ht="16" customHeight="1">
      <c r="A3" s="15" t="inlineStr">
        <is>
          <t>Other Fixed Income</t>
        </is>
      </c>
      <c r="B3" s="16" t="n">
        <v>0</v>
      </c>
      <c r="D3" s="16" t="n">
        <v>0.1019966940856197</v>
      </c>
    </row>
    <row r="4" ht="16" customHeight="1">
      <c r="A4" s="15" t="inlineStr">
        <is>
          <t>Public Equity</t>
        </is>
      </c>
      <c r="B4" s="16" t="n">
        <v>0.46</v>
      </c>
      <c r="D4" s="16" t="n">
        <v>0.2660777342888684</v>
      </c>
    </row>
    <row r="5" ht="16" customHeight="1">
      <c r="A5" s="15" t="inlineStr">
        <is>
          <t>Hedge Funds</t>
        </is>
      </c>
      <c r="B5" s="16" t="n">
        <v>0.16</v>
      </c>
      <c r="D5" s="16" t="n">
        <v>0.08456790269447256</v>
      </c>
    </row>
    <row r="6" ht="16" customHeight="1">
      <c r="A6" s="15" t="inlineStr">
        <is>
          <t>Private Equity</t>
        </is>
      </c>
      <c r="B6" s="16" t="n">
        <v>0</v>
      </c>
      <c r="D6" s="16" t="n">
        <v>0.118203784297695</v>
      </c>
    </row>
    <row r="7" ht="16" customHeight="1">
      <c r="A7" s="15" t="inlineStr">
        <is>
          <t>Other Private Assets</t>
        </is>
      </c>
      <c r="B7" s="16" t="n">
        <v>0</v>
      </c>
      <c r="D7" s="16" t="n">
        <v>0.1491277296344958</v>
      </c>
    </row>
    <row r="8" ht="16" customHeight="1">
      <c r="A8" s="17" t="inlineStr">
        <is>
          <t>Estimated Mean Return</t>
        </is>
      </c>
      <c r="B8" s="18" t="n">
        <v>0.05399026561172746</v>
      </c>
      <c r="C8" s="19" t="n"/>
      <c r="D8" s="18" t="n">
        <v>0.06700194602422373</v>
      </c>
      <c r="E8" s="19" t="n"/>
    </row>
    <row r="9" ht="16" customHeight="1">
      <c r="A9" s="15" t="inlineStr">
        <is>
          <t>Sharpe Ratio</t>
        </is>
      </c>
      <c r="B9" s="20" t="n">
        <v>0.3933390760674572</v>
      </c>
      <c r="D9" s="20" t="n">
        <v>0.5673003038041103</v>
      </c>
    </row>
    <row r="10" ht="16" customHeight="1">
      <c r="A10" s="15" t="inlineStr">
        <is>
          <t>Volatility</t>
        </is>
      </c>
      <c r="B10" s="16" t="n">
        <v>0.07370298903828121</v>
      </c>
      <c r="D10" s="16" t="n">
        <v>0.07370298899919744</v>
      </c>
    </row>
    <row r="11" ht="16" customHeight="1">
      <c r="A11" s="13" t="inlineStr">
        <is>
          <t>Factor Based Risk Analytics</t>
        </is>
      </c>
      <c r="B11" s="14" t="n"/>
      <c r="C11" s="14" t="n"/>
      <c r="D11" s="14" t="n"/>
      <c r="E11" s="14" t="n"/>
    </row>
    <row r="12" ht="16" customHeight="1">
      <c r="A12" s="21" t="inlineStr">
        <is>
          <t>Predicted Performance Over Stress Periods</t>
        </is>
      </c>
      <c r="B12" s="22" t="inlineStr">
        <is>
          <t>Nominal</t>
        </is>
      </c>
      <c r="C12" s="22" t="inlineStr">
        <is>
          <t>Real</t>
        </is>
      </c>
      <c r="D12" s="22" t="inlineStr">
        <is>
          <t>Nominal</t>
        </is>
      </c>
      <c r="E12" s="22" t="inlineStr">
        <is>
          <t>Real</t>
        </is>
      </c>
    </row>
    <row r="13" ht="20" customHeight="1">
      <c r="A13" s="23" t="inlineStr">
        <is>
          <t xml:space="preserve">  Bretton Woods Collapse</t>
        </is>
      </c>
      <c r="B13" s="16" t="n">
        <v>0.1719229258910475</v>
      </c>
      <c r="C13" s="16" t="n">
        <v>0.1170376693516153</v>
      </c>
      <c r="D13" s="16" t="n">
        <v>0.174082836929214</v>
      </c>
      <c r="E13" s="16" t="n">
        <v>0.1190964241884538</v>
      </c>
    </row>
    <row r="14" ht="16" customHeight="1">
      <c r="A14" s="23" t="inlineStr">
        <is>
          <t xml:space="preserve">  Oil Embargo</t>
        </is>
      </c>
      <c r="B14" s="16" t="n">
        <v>-0.1448380125494564</v>
      </c>
      <c r="C14" s="16" t="n">
        <v>-0.2732800039413085</v>
      </c>
      <c r="D14" s="16" t="n">
        <v>-0.1440702120696367</v>
      </c>
      <c r="E14" s="16" t="n">
        <v>-0.272627524095552</v>
      </c>
    </row>
    <row r="15" ht="16" customHeight="1">
      <c r="A15" s="23" t="inlineStr">
        <is>
          <t xml:space="preserve">  US Inflation / Iranian Revolution</t>
        </is>
      </c>
      <c r="B15" s="16" t="n">
        <v>0.1408927821830825</v>
      </c>
      <c r="C15" s="16" t="n">
        <v>-0.0385811763100794</v>
      </c>
      <c r="D15" s="16" t="n">
        <v>0.07527548249050264</v>
      </c>
      <c r="E15" s="16" t="n">
        <v>-0.09387621197805462</v>
      </c>
    </row>
    <row r="16" ht="16" customHeight="1">
      <c r="A16" s="23" t="inlineStr">
        <is>
          <t xml:space="preserve">  US Stagflation</t>
        </is>
      </c>
      <c r="B16" s="16" t="n">
        <v>0.03369494922552541</v>
      </c>
      <c r="C16" s="16" t="n">
        <v>-0.09247368209979379</v>
      </c>
      <c r="D16" s="16" t="n">
        <v>0.1058395226325188</v>
      </c>
      <c r="E16" s="16" t="n">
        <v>-0.02913478399490876</v>
      </c>
    </row>
    <row r="17" ht="16" customHeight="1">
      <c r="A17" s="23" t="inlineStr">
        <is>
          <t xml:space="preserve">  Black Monday</t>
        </is>
      </c>
      <c r="B17" s="16" t="n">
        <v>-0.09249209436707551</v>
      </c>
      <c r="C17" s="16" t="n">
        <v>-0.09486695860982874</v>
      </c>
      <c r="D17" s="16" t="n">
        <v>-0.07856246326121197</v>
      </c>
      <c r="E17" s="16" t="n">
        <v>-0.08097378006005063</v>
      </c>
    </row>
    <row r="18" ht="16" customHeight="1">
      <c r="A18" s="23" t="inlineStr">
        <is>
          <t xml:space="preserve">  Bond Crisis</t>
        </is>
      </c>
      <c r="B18" s="16" t="n">
        <v>-0.01800790865081359</v>
      </c>
      <c r="C18" s="16" t="n">
        <v>-0.04095231712072933</v>
      </c>
      <c r="D18" s="16" t="n">
        <v>-0.02169440482244067</v>
      </c>
      <c r="E18" s="16" t="n">
        <v>-0.04455267769642868</v>
      </c>
    </row>
    <row r="19" ht="16" customHeight="1">
      <c r="A19" s="23" t="inlineStr">
        <is>
          <t xml:space="preserve">  Russian Default / LTCM Collapse</t>
        </is>
      </c>
      <c r="B19" s="16" t="n">
        <v>-0.08010668726471737</v>
      </c>
      <c r="C19" s="16" t="n">
        <v>-0.08123617403563943</v>
      </c>
      <c r="D19" s="16" t="n">
        <v>-0.07739391090638859</v>
      </c>
      <c r="E19" s="16" t="n">
        <v>-0.07852672854727871</v>
      </c>
    </row>
    <row r="20" ht="16" customHeight="1">
      <c r="A20" s="23" t="inlineStr">
        <is>
          <t xml:space="preserve">  Tech Meltdown</t>
        </is>
      </c>
      <c r="B20" s="16" t="n">
        <v>-0.1937649084281859</v>
      </c>
      <c r="C20" s="16" t="n">
        <v>-0.2374671350378057</v>
      </c>
      <c r="D20" s="16" t="n">
        <v>-0.06748175414005109</v>
      </c>
      <c r="E20" s="16" t="n">
        <v>-0.1180291988298195</v>
      </c>
    </row>
    <row r="21" ht="16" customHeight="1">
      <c r="A21" s="23" t="inlineStr">
        <is>
          <t xml:space="preserve">  Financial Crisis</t>
        </is>
      </c>
      <c r="B21" s="16" t="n">
        <v>-0.2735546083139422</v>
      </c>
      <c r="C21" s="16" t="n">
        <v>-0.2855606159971591</v>
      </c>
      <c r="D21" s="16" t="n">
        <v>-0.2717060492654763</v>
      </c>
      <c r="E21" s="16" t="n">
        <v>-0.2837426081978205</v>
      </c>
    </row>
    <row r="22" ht="16" customHeight="1">
      <c r="A22" s="23" t="inlineStr">
        <is>
          <t xml:space="preserve">  Covid-19</t>
        </is>
      </c>
      <c r="B22" s="16" t="n">
        <v>-0.09220577586136192</v>
      </c>
      <c r="C22" s="16" t="n">
        <v>-0.08899224995894151</v>
      </c>
      <c r="D22" s="16" t="n">
        <v>-0.1015254432061378</v>
      </c>
      <c r="E22" s="16" t="n">
        <v>-0.09834490825212616</v>
      </c>
    </row>
    <row r="23" ht="16" customHeight="1">
      <c r="A23" s="21" t="inlineStr">
        <is>
          <t>Value at Risk with 99% Confidence</t>
        </is>
      </c>
      <c r="B23" s="22" t="n">
        <v/>
      </c>
      <c r="C23" s="22" t="n">
        <v/>
      </c>
      <c r="D23" s="22" t="n">
        <v/>
      </c>
      <c r="E23" s="22" t="n">
        <v/>
      </c>
    </row>
    <row r="24" ht="16" customHeight="1">
      <c r="A24" s="23" t="inlineStr">
        <is>
          <t xml:space="preserve">  Over 1 Month</t>
        </is>
      </c>
      <c r="B24" s="16" t="n">
        <v>0.05310276743895048</v>
      </c>
      <c r="C24" s="16" t="n">
        <v>0.05510623013436367</v>
      </c>
      <c r="D24" s="16" t="n">
        <v>0.05719685366348004</v>
      </c>
      <c r="E24" s="16" t="n">
        <v>0.05919165401546178</v>
      </c>
    </row>
    <row r="25" ht="16" customHeight="1">
      <c r="A25" s="23" t="inlineStr">
        <is>
          <t xml:space="preserve">  Over 1 Year</t>
        </is>
      </c>
      <c r="B25" s="16" t="n">
        <v>0.1713212306623716</v>
      </c>
      <c r="C25" s="16" t="n">
        <v>0.1906528180937787</v>
      </c>
      <c r="D25" s="16" t="n">
        <v>0.1889878727860572</v>
      </c>
      <c r="E25" s="16" t="n">
        <v>0.2071334833140149</v>
      </c>
    </row>
    <row r="26" ht="16" customHeight="1">
      <c r="A26" s="23" t="inlineStr">
        <is>
          <t xml:space="preserve">  Over 3 Years</t>
        </is>
      </c>
      <c r="B26" s="16" t="n">
        <v>0.1940778309495551</v>
      </c>
      <c r="C26" s="16" t="n">
        <v>0.2443300929411958</v>
      </c>
      <c r="D26" s="16" t="n">
        <v>0.1614471353605679</v>
      </c>
      <c r="E26" s="16" t="n">
        <v>0.2114783336481472</v>
      </c>
    </row>
    <row r="27" ht="16" customHeight="1">
      <c r="A27" s="21" t="inlineStr">
        <is>
          <t>Conditional Value at Risk with 99% Confidence</t>
        </is>
      </c>
      <c r="B27" s="22" t="n">
        <v/>
      </c>
      <c r="C27" s="22" t="n">
        <v/>
      </c>
      <c r="D27" s="22" t="n">
        <v/>
      </c>
      <c r="E27" s="22" t="n">
        <v/>
      </c>
    </row>
    <row r="28" ht="16" customHeight="1">
      <c r="A28" s="23" t="inlineStr">
        <is>
          <t xml:space="preserve">  Over 1 Month</t>
        </is>
      </c>
      <c r="B28" s="16" t="n">
        <v>0.0748406085385781</v>
      </c>
      <c r="C28" s="16" t="n">
        <v>0.07679807790734028</v>
      </c>
      <c r="D28" s="16" t="n">
        <v>0.07870188104968401</v>
      </c>
      <c r="E28" s="16" t="n">
        <v>0.08065118066658017</v>
      </c>
    </row>
    <row r="29" ht="16" customHeight="1">
      <c r="A29" s="23" t="inlineStr">
        <is>
          <t xml:space="preserve">  Over 1 Year</t>
        </is>
      </c>
      <c r="B29" s="16" t="n">
        <v>0.2092701813090129</v>
      </c>
      <c r="C29" s="16" t="n">
        <v>0.2273215691058684</v>
      </c>
      <c r="D29" s="16" t="n">
        <v>0.213623406782205</v>
      </c>
      <c r="E29" s="16" t="n">
        <v>0.2316247145173851</v>
      </c>
    </row>
    <row r="30" ht="16" customHeight="1">
      <c r="A30" s="23" t="inlineStr">
        <is>
          <t xml:space="preserve">  Over 3 Years</t>
        </is>
      </c>
      <c r="B30" s="16" t="n">
        <v>0.2438104459806066</v>
      </c>
      <c r="C30" s="16" t="n">
        <v>0.2913984588120018</v>
      </c>
      <c r="D30" s="16" t="n">
        <v>0.2148538855544014</v>
      </c>
      <c r="E30" s="16" t="n">
        <v>0.26347874102084</v>
      </c>
    </row>
    <row r="31" ht="16" customHeight="1">
      <c r="A31" s="21" t="inlineStr">
        <is>
          <t>Probability of Loss</t>
        </is>
      </c>
      <c r="B31" s="22" t="n">
        <v/>
      </c>
      <c r="C31" s="22" t="n">
        <v/>
      </c>
      <c r="D31" s="22" t="n">
        <v/>
      </c>
      <c r="E31" s="22" t="n">
        <v/>
      </c>
    </row>
    <row r="32" ht="16" customHeight="1">
      <c r="A32" s="23" t="inlineStr">
        <is>
          <t xml:space="preserve">  Over 1 Month</t>
        </is>
      </c>
      <c r="B32" s="16" t="n">
        <v>0.342</v>
      </c>
      <c r="C32" s="16" t="n">
        <v>0.3834</v>
      </c>
      <c r="D32" s="16" t="n">
        <v>0.30615</v>
      </c>
      <c r="E32" s="16" t="n">
        <v>0.34795</v>
      </c>
    </row>
    <row r="33" ht="16" customHeight="1">
      <c r="A33" s="23" t="inlineStr">
        <is>
          <t xml:space="preserve">  Over 1 Year</t>
        </is>
      </c>
      <c r="B33" s="16" t="n">
        <v>0.18665</v>
      </c>
      <c r="C33" s="16" t="n">
        <v>0.2581</v>
      </c>
      <c r="D33" s="16" t="n">
        <v>0.14125</v>
      </c>
      <c r="E33" s="16" t="n">
        <v>0.2101</v>
      </c>
    </row>
    <row r="34" ht="16" customHeight="1">
      <c r="A34" s="23" t="inlineStr">
        <is>
          <t xml:space="preserve">  Over 3 Years</t>
        </is>
      </c>
      <c r="B34" s="16" t="n">
        <v>0.1081</v>
      </c>
      <c r="C34" s="16" t="n">
        <v>0.1914</v>
      </c>
      <c r="D34" s="16" t="n">
        <v>0.0731</v>
      </c>
      <c r="E34" s="16" t="n">
        <v>0.13575</v>
      </c>
    </row>
    <row r="35" ht="16" customHeight="1">
      <c r="A35" s="13" t="inlineStr">
        <is>
          <t>Portfolio Risk Premia</t>
        </is>
      </c>
      <c r="B35" s="14" t="n"/>
      <c r="C35" s="14" t="n"/>
      <c r="D35" s="14" t="n"/>
      <c r="E35" s="14" t="n"/>
    </row>
    <row r="36" ht="16" customHeight="1"/>
    <row r="37" ht="20" customHeight="1"/>
  </sheetData>
  <mergeCells count="20">
    <mergeCell ref="B1:C1"/>
    <mergeCell ref="D1:E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</mergeCells>
  <conditionalFormatting sqref="B13:E2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7" customWidth="1" min="2" max="2"/>
    <col width="7" customWidth="1" min="3" max="3"/>
    <col width="7" customWidth="1" min="4" max="4"/>
    <col width="12" customWidth="1" min="5" max="5"/>
    <col width="14.5" customWidth="1" min="6" max="6"/>
    <col width="26" customWidth="1" min="7" max="7"/>
    <col width="16.5" customWidth="1" min="8" max="8"/>
    <col width="11" customWidth="1" min="9" max="9"/>
    <col width="11" customWidth="1" min="10" max="10"/>
  </cols>
  <sheetData>
    <row r="1" ht="20" customHeight="1">
      <c r="A1" s="24" t="n"/>
      <c r="B1" s="25" t="inlineStr">
        <is>
          <t>Long-Term Estimates</t>
        </is>
      </c>
      <c r="C1" s="26" t="n"/>
      <c r="D1" s="26" t="n"/>
      <c r="E1" s="26" t="n"/>
      <c r="F1" s="26" t="n"/>
      <c r="G1" s="26" t="n"/>
      <c r="H1" s="27" t="inlineStr"/>
      <c r="I1" s="25" t="inlineStr">
        <is>
          <t>Modelling Dates</t>
        </is>
      </c>
      <c r="J1" s="26" t="n"/>
    </row>
    <row r="2" ht="49" customHeight="1">
      <c r="A2" s="28" t="inlineStr"/>
      <c r="B2" s="29" t="inlineStr">
        <is>
          <t>Risk Premia
 with Estimated Range</t>
        </is>
      </c>
      <c r="C2" s="26" t="n"/>
      <c r="D2" s="26" t="n"/>
      <c r="E2" s="25" t="inlineStr">
        <is>
          <t>Volatility</t>
        </is>
      </c>
      <c r="F2" s="25" t="inlineStr">
        <is>
          <t>Sharpe Ratio</t>
        </is>
      </c>
      <c r="G2" s="29" t="inlineStr">
        <is>
          <t>Estimated Mean Return
(2.5% Risk Free Rate)</t>
        </is>
      </c>
      <c r="H2" s="25" t="inlineStr">
        <is>
          <t>Hedging Ratio</t>
        </is>
      </c>
      <c r="I2" s="25" t="inlineStr">
        <is>
          <t>From</t>
        </is>
      </c>
      <c r="J2" s="25" t="inlineStr">
        <is>
          <t>To</t>
        </is>
      </c>
    </row>
    <row r="3" ht="17" customHeight="1">
      <c r="A3" s="30" t="inlineStr">
        <is>
          <t>Investment Grade Fixed Income</t>
        </is>
      </c>
      <c r="B3" s="31" t="n">
        <v/>
      </c>
      <c r="C3" s="31" t="n">
        <v/>
      </c>
      <c r="D3" s="31" t="n">
        <v/>
      </c>
      <c r="E3" s="31" t="n">
        <v/>
      </c>
      <c r="F3" s="32" t="n">
        <v/>
      </c>
      <c r="G3" s="31" t="n">
        <v/>
      </c>
      <c r="H3" s="31" t="n">
        <v/>
      </c>
      <c r="I3" s="31" t="n"/>
      <c r="J3" s="31" t="n"/>
    </row>
    <row r="4" ht="17" customHeight="1">
      <c r="A4" s="33" t="inlineStr">
        <is>
          <t xml:space="preserve">    US Dollar Debt</t>
        </is>
      </c>
      <c r="B4" s="34" t="n">
        <v>0.005732716740564046</v>
      </c>
      <c r="C4" s="35" t="n">
        <v>0.0108673517608701</v>
      </c>
      <c r="D4" s="36" t="n">
        <v>0.01600198678117616</v>
      </c>
      <c r="E4" s="35" t="n">
        <v>0.0321108103531312</v>
      </c>
      <c r="F4" s="37" t="n">
        <v>0.3384328094295634</v>
      </c>
      <c r="G4" s="35" t="n">
        <v>0.0358673517608701</v>
      </c>
      <c r="H4" s="38" t="n">
        <v>0</v>
      </c>
      <c r="I4" s="39" t="n">
        <v>26723</v>
      </c>
      <c r="J4" s="39" t="n">
        <v>45777</v>
      </c>
    </row>
    <row r="5" ht="17" customHeight="1">
      <c r="A5" s="33" t="inlineStr">
        <is>
          <t xml:space="preserve">    US Short Duration Debt</t>
        </is>
      </c>
      <c r="B5" s="34" t="n">
        <v>0.0004383045164846216</v>
      </c>
      <c r="C5" s="35" t="n">
        <v>0.003090125303729937</v>
      </c>
      <c r="D5" s="36" t="n">
        <v>0.005741946090975251</v>
      </c>
      <c r="E5" s="35" t="n">
        <v>0.01473073916155142</v>
      </c>
      <c r="F5" s="37" t="n">
        <v>0.2097739475148298</v>
      </c>
      <c r="G5" s="35" t="n">
        <v>0.02809012530372994</v>
      </c>
      <c r="H5" s="38" t="n">
        <v>0</v>
      </c>
      <c r="I5" s="39" t="n">
        <v>33662</v>
      </c>
      <c r="J5" s="39" t="n">
        <v>45777</v>
      </c>
    </row>
    <row r="6" ht="17" customHeight="1">
      <c r="A6" s="33" t="inlineStr">
        <is>
          <t xml:space="preserve">    US Corporate Bonds</t>
        </is>
      </c>
      <c r="B6" s="34" t="n">
        <v>0.01318813385797758</v>
      </c>
      <c r="C6" s="35" t="n">
        <v>0.01994219801661444</v>
      </c>
      <c r="D6" s="36" t="n">
        <v>0.0266962621752513</v>
      </c>
      <c r="E6" s="35" t="n">
        <v>0.04223834263841045</v>
      </c>
      <c r="F6" s="37" t="n">
        <v>0.4721349553729772</v>
      </c>
      <c r="G6" s="35" t="n">
        <v>0.04494219801661444</v>
      </c>
      <c r="H6" s="38" t="n">
        <v>0</v>
      </c>
      <c r="I6" s="39" t="n">
        <v>26723</v>
      </c>
      <c r="J6" s="39" t="n">
        <v>45777</v>
      </c>
    </row>
    <row r="7" ht="17" customHeight="1">
      <c r="A7" s="40" t="inlineStr">
        <is>
          <t>Other Fixed Income</t>
        </is>
      </c>
      <c r="B7" s="41" t="n">
        <v/>
      </c>
      <c r="C7" s="42" t="n">
        <v/>
      </c>
      <c r="D7" s="43" t="n">
        <v/>
      </c>
      <c r="E7" s="42" t="n">
        <v/>
      </c>
      <c r="F7" s="44" t="n">
        <v/>
      </c>
      <c r="G7" s="42" t="n">
        <v/>
      </c>
      <c r="H7" s="45" t="n">
        <v/>
      </c>
      <c r="I7" s="46" t="n"/>
      <c r="J7" s="46" t="n"/>
    </row>
    <row r="8" ht="17" customHeight="1">
      <c r="A8" s="33" t="inlineStr">
        <is>
          <t xml:space="preserve">    US High Yield</t>
        </is>
      </c>
      <c r="B8" s="34" t="n">
        <v>0.01983586277754091</v>
      </c>
      <c r="C8" s="35" t="n">
        <v>0.03295729952255966</v>
      </c>
      <c r="D8" s="36" t="n">
        <v>0.04607873626757841</v>
      </c>
      <c r="E8" s="35" t="n">
        <v>0.08205840633533279</v>
      </c>
      <c r="F8" s="37" t="n">
        <v>0.4016322153257426</v>
      </c>
      <c r="G8" s="35" t="n">
        <v>0.05795729952255966</v>
      </c>
      <c r="H8" s="38" t="n">
        <v>0</v>
      </c>
      <c r="I8" s="39" t="n">
        <v>30559</v>
      </c>
      <c r="J8" s="39" t="n">
        <v>45777</v>
      </c>
    </row>
    <row r="9" ht="17" customHeight="1">
      <c r="A9" s="33" t="inlineStr">
        <is>
          <t xml:space="preserve">    EM External Debt</t>
        </is>
      </c>
      <c r="B9" s="34" t="n">
        <v>0.02442540164678258</v>
      </c>
      <c r="C9" s="35" t="n">
        <v>0.04711068434546873</v>
      </c>
      <c r="D9" s="36" t="n">
        <v>0.06979596704415489</v>
      </c>
      <c r="E9" s="35" t="n">
        <v>0.1220196208482812</v>
      </c>
      <c r="F9" s="37" t="n">
        <v>0.386091056651012</v>
      </c>
      <c r="G9" s="35" t="n">
        <v>0.07211068434546873</v>
      </c>
      <c r="H9" s="38" t="n">
        <v>0</v>
      </c>
      <c r="I9" s="39" t="n">
        <v>34365</v>
      </c>
      <c r="J9" s="39" t="n">
        <v>45107</v>
      </c>
    </row>
    <row r="10" ht="17" customHeight="1">
      <c r="A10" s="40" t="inlineStr">
        <is>
          <t>Public Equity</t>
        </is>
      </c>
      <c r="B10" s="41" t="n">
        <v/>
      </c>
      <c r="C10" s="42" t="n">
        <v/>
      </c>
      <c r="D10" s="43" t="n">
        <v/>
      </c>
      <c r="E10" s="42" t="n">
        <v/>
      </c>
      <c r="F10" s="44" t="n">
        <v/>
      </c>
      <c r="G10" s="42" t="n">
        <v/>
      </c>
      <c r="H10" s="45" t="n">
        <v/>
      </c>
      <c r="I10" s="46" t="n"/>
      <c r="J10" s="46" t="n"/>
    </row>
    <row r="11" ht="17" customHeight="1">
      <c r="A11" s="33" t="inlineStr">
        <is>
          <t xml:space="preserve">    Global Equities (ACWI)</t>
        </is>
      </c>
      <c r="B11" s="34" t="n">
        <v>0.02193592167544081</v>
      </c>
      <c r="C11" s="35" t="n">
        <v>0.04679785336393876</v>
      </c>
      <c r="D11" s="36" t="n">
        <v>0.07165978505243671</v>
      </c>
      <c r="E11" s="35" t="n">
        <v>0.1469643018055917</v>
      </c>
      <c r="F11" s="37" t="n">
        <v>0.3184300730788638</v>
      </c>
      <c r="G11" s="35" t="n">
        <v>0.07179785336393876</v>
      </c>
      <c r="H11" s="38" t="n">
        <v>0.7</v>
      </c>
      <c r="I11" s="39" t="n">
        <v>32171</v>
      </c>
      <c r="J11" s="39" t="n">
        <v>45777</v>
      </c>
    </row>
    <row r="12" ht="17" customHeight="1">
      <c r="A12" s="33" t="inlineStr">
        <is>
          <t xml:space="preserve">    US Large Cap Growth Equity</t>
        </is>
      </c>
      <c r="B12" s="34" t="n">
        <v>0.0171761602393011</v>
      </c>
      <c r="C12" s="35" t="n">
        <v>0.04424482346715447</v>
      </c>
      <c r="D12" s="36" t="n">
        <v>0.07131348669500784</v>
      </c>
      <c r="E12" s="35" t="n">
        <v>0.1692811091703585</v>
      </c>
      <c r="F12" s="37" t="n">
        <v>0.2613689364631233</v>
      </c>
      <c r="G12" s="35" t="n">
        <v>0.06924482346715446</v>
      </c>
      <c r="H12" s="38" t="n">
        <v>0</v>
      </c>
      <c r="I12" s="39" t="n">
        <v>28886</v>
      </c>
      <c r="J12" s="39" t="n">
        <v>45777</v>
      </c>
    </row>
    <row r="13" ht="17" customHeight="1">
      <c r="A13" s="33" t="inlineStr">
        <is>
          <t xml:space="preserve">    US Large Cap Value Equity</t>
        </is>
      </c>
      <c r="B13" s="34" t="n">
        <v>0.03832839338011711</v>
      </c>
      <c r="C13" s="35" t="n">
        <v>0.06147314464488562</v>
      </c>
      <c r="D13" s="36" t="n">
        <v>0.08461789590965414</v>
      </c>
      <c r="E13" s="35" t="n">
        <v>0.1447418785549973</v>
      </c>
      <c r="F13" s="37" t="n">
        <v>0.4247087661055041</v>
      </c>
      <c r="G13" s="35" t="n">
        <v>0.08647314464488562</v>
      </c>
      <c r="H13" s="38" t="n">
        <v>0</v>
      </c>
      <c r="I13" s="39" t="n">
        <v>28886</v>
      </c>
      <c r="J13" s="39" t="n">
        <v>45777</v>
      </c>
    </row>
    <row r="14" ht="17" customHeight="1">
      <c r="A14" s="33" t="inlineStr">
        <is>
          <t xml:space="preserve">    US Small Cap Equity</t>
        </is>
      </c>
      <c r="B14" s="34" t="n">
        <v>0.03954808859188885</v>
      </c>
      <c r="C14" s="35" t="n">
        <v>0.07028762080200179</v>
      </c>
      <c r="D14" s="36" t="n">
        <v>0.1010271530121147</v>
      </c>
      <c r="E14" s="35" t="n">
        <v>0.1922378679768497</v>
      </c>
      <c r="F14" s="37" t="n">
        <v>0.3656283829077119</v>
      </c>
      <c r="G14" s="35" t="n">
        <v>0.09528762080200179</v>
      </c>
      <c r="H14" s="38" t="n">
        <v>0</v>
      </c>
      <c r="I14" s="39" t="n">
        <v>28886</v>
      </c>
      <c r="J14" s="39" t="n">
        <v>45777</v>
      </c>
    </row>
    <row r="15" ht="17" customHeight="1">
      <c r="A15" s="33" t="inlineStr">
        <is>
          <t xml:space="preserve">    Europe ex-UK Equity</t>
        </is>
      </c>
      <c r="B15" s="34" t="n">
        <v>0.02101936433157506</v>
      </c>
      <c r="C15" s="35" t="n">
        <v>0.04710336487931188</v>
      </c>
      <c r="D15" s="36" t="n">
        <v>0.07318736542704868</v>
      </c>
      <c r="E15" s="35" t="n">
        <v>0.163123258328383</v>
      </c>
      <c r="F15" s="37" t="n">
        <v>0.2887593428552549</v>
      </c>
      <c r="G15" s="35" t="n">
        <v>0.07210336487931188</v>
      </c>
      <c r="H15" s="38" t="n">
        <v>0.7</v>
      </c>
      <c r="I15" s="39" t="n">
        <v>25626</v>
      </c>
      <c r="J15" s="39" t="n">
        <v>45777</v>
      </c>
    </row>
    <row r="16" ht="17" customHeight="1">
      <c r="A16" s="33" t="inlineStr">
        <is>
          <t xml:space="preserve">    UK Equity</t>
        </is>
      </c>
      <c r="B16" s="34" t="n">
        <v>0.02537093070079656</v>
      </c>
      <c r="C16" s="35" t="n">
        <v>0.04908897015440353</v>
      </c>
      <c r="D16" s="36" t="n">
        <v>0.0728070096080105</v>
      </c>
      <c r="E16" s="35" t="n">
        <v>0.1483270892343698</v>
      </c>
      <c r="F16" s="37" t="n">
        <v>0.3309508088359952</v>
      </c>
      <c r="G16" s="35" t="n">
        <v>0.07408897015440352</v>
      </c>
      <c r="H16" s="38" t="n">
        <v>0.7</v>
      </c>
      <c r="I16" s="39" t="n">
        <v>25598</v>
      </c>
      <c r="J16" s="39" t="n">
        <v>45777</v>
      </c>
    </row>
    <row r="17" ht="17" customHeight="1">
      <c r="A17" s="33" t="inlineStr">
        <is>
          <t xml:space="preserve">    Japanese Equity</t>
        </is>
      </c>
      <c r="B17" s="34" t="n">
        <v>-0.001528425824486722</v>
      </c>
      <c r="C17" s="35" t="n">
        <v>0.02794593789750548</v>
      </c>
      <c r="D17" s="36" t="n">
        <v>0.05742030161949768</v>
      </c>
      <c r="E17" s="35" t="n">
        <v>0.1843257992073773</v>
      </c>
      <c r="F17" s="37" t="n">
        <v>0.1516116464308106</v>
      </c>
      <c r="G17" s="35" t="n">
        <v>0.05294593789750549</v>
      </c>
      <c r="H17" s="38" t="n">
        <v>0.7</v>
      </c>
      <c r="I17" s="39" t="n">
        <v>25598</v>
      </c>
      <c r="J17" s="39" t="n">
        <v>45777</v>
      </c>
    </row>
    <row r="18" ht="17" customHeight="1">
      <c r="A18" s="33" t="inlineStr">
        <is>
          <t xml:space="preserve">    Asia-Pacific Equity</t>
        </is>
      </c>
      <c r="B18" s="34" t="n">
        <v>0.02752917685078872</v>
      </c>
      <c r="C18" s="35" t="n">
        <v>0.05646183166052318</v>
      </c>
      <c r="D18" s="36" t="n">
        <v>0.08539448647025764</v>
      </c>
      <c r="E18" s="35" t="n">
        <v>0.1710272341976543</v>
      </c>
      <c r="F18" s="37" t="n">
        <v>0.3301335715648122</v>
      </c>
      <c r="G18" s="35" t="n">
        <v>0.08146183166052318</v>
      </c>
      <c r="H18" s="38" t="n">
        <v>0.7</v>
      </c>
      <c r="I18" s="39" t="n">
        <v>25626</v>
      </c>
      <c r="J18" s="39" t="n">
        <v>45777</v>
      </c>
    </row>
    <row r="19" ht="17" customHeight="1">
      <c r="A19" s="33" t="inlineStr">
        <is>
          <t xml:space="preserve">    Emerging Market Equity</t>
        </is>
      </c>
      <c r="B19" s="34" t="n">
        <v>0.03586802205129595</v>
      </c>
      <c r="C19" s="35" t="n">
        <v>0.07524576947342278</v>
      </c>
      <c r="D19" s="36" t="n">
        <v>0.1146235168955496</v>
      </c>
      <c r="E19" s="35" t="n">
        <v>0.2327704552115371</v>
      </c>
      <c r="F19" s="37" t="n">
        <v>0.3232616845855327</v>
      </c>
      <c r="G19" s="35" t="n">
        <v>0.1002457694734228</v>
      </c>
      <c r="H19" s="38" t="n">
        <v>0</v>
      </c>
      <c r="I19" s="39" t="n">
        <v>32171</v>
      </c>
      <c r="J19" s="39" t="n">
        <v>45777</v>
      </c>
    </row>
    <row r="20" ht="17" customHeight="1">
      <c r="A20" s="33" t="inlineStr">
        <is>
          <t xml:space="preserve">    Global REITs</t>
        </is>
      </c>
      <c r="B20" s="34" t="n">
        <v>0.03488882586915489</v>
      </c>
      <c r="C20" s="35" t="n">
        <v>0.05834231019612889</v>
      </c>
      <c r="D20" s="36" t="n">
        <v>0.08179579452310289</v>
      </c>
      <c r="E20" s="35" t="n">
        <v>0.1356219911958427</v>
      </c>
      <c r="F20" s="37" t="n">
        <v>0.4301832592317615</v>
      </c>
      <c r="G20" s="35" t="n">
        <v>0.08334231019612889</v>
      </c>
      <c r="H20" s="38" t="n">
        <v>0.7</v>
      </c>
      <c r="I20" s="39" t="n">
        <v>32720</v>
      </c>
      <c r="J20" s="39" t="n">
        <v>44925</v>
      </c>
    </row>
    <row r="21" ht="17" customHeight="1">
      <c r="A21" s="33" t="inlineStr">
        <is>
          <t xml:space="preserve">    Infrastructure Equity</t>
        </is>
      </c>
      <c r="B21" s="34" t="n">
        <v>0.01688838611526586</v>
      </c>
      <c r="C21" s="35" t="n">
        <v>0.0456255900645209</v>
      </c>
      <c r="D21" s="36" t="n">
        <v>0.07436279401377593</v>
      </c>
      <c r="E21" s="35" t="n">
        <v>0.1405898501681038</v>
      </c>
      <c r="F21" s="37" t="n">
        <v>0.3245297580868477</v>
      </c>
      <c r="G21" s="35" t="n">
        <v>0.0706255900645209</v>
      </c>
      <c r="H21" s="38" t="n">
        <v>0.7</v>
      </c>
      <c r="I21" s="39" t="n">
        <v>36189</v>
      </c>
      <c r="J21" s="39" t="n">
        <v>45777</v>
      </c>
    </row>
    <row r="22" ht="17" customHeight="1">
      <c r="A22" s="40" t="inlineStr">
        <is>
          <t>Hedge Funds</t>
        </is>
      </c>
      <c r="B22" s="41" t="n">
        <v/>
      </c>
      <c r="C22" s="42" t="n">
        <v/>
      </c>
      <c r="D22" s="43" t="n">
        <v/>
      </c>
      <c r="E22" s="42" t="n">
        <v/>
      </c>
      <c r="F22" s="44" t="n">
        <v/>
      </c>
      <c r="G22" s="42" t="n">
        <v/>
      </c>
      <c r="H22" s="45" t="n">
        <v/>
      </c>
      <c r="I22" s="46" t="n"/>
      <c r="J22" s="46" t="n"/>
    </row>
    <row r="23" ht="17" customHeight="1">
      <c r="A23" s="33" t="inlineStr">
        <is>
          <t xml:space="preserve">    Multi-Strategy</t>
        </is>
      </c>
      <c r="B23" s="34" t="n">
        <v>0.005366196098158731</v>
      </c>
      <c r="C23" s="35" t="n">
        <v>0.01503546855947093</v>
      </c>
      <c r="D23" s="36" t="n">
        <v>0.02470474102078313</v>
      </c>
      <c r="E23" s="35" t="n">
        <v>0.05549033634712013</v>
      </c>
      <c r="F23" s="37" t="n">
        <v>0.2709565223287974</v>
      </c>
      <c r="G23" s="35" t="n">
        <v>0.04003546855947093</v>
      </c>
      <c r="H23" s="38" t="n">
        <v>1</v>
      </c>
      <c r="I23" s="39" t="n">
        <v>32904</v>
      </c>
      <c r="J23" s="39" t="n">
        <v>45777</v>
      </c>
    </row>
    <row r="24" ht="17" customHeight="1">
      <c r="A24" s="33" t="inlineStr">
        <is>
          <t xml:space="preserve">    Event Driven</t>
        </is>
      </c>
      <c r="B24" s="34" t="n">
        <v>0.007884522720577065</v>
      </c>
      <c r="C24" s="35" t="n">
        <v>0.01938126832558233</v>
      </c>
      <c r="D24" s="36" t="n">
        <v>0.03087801393058759</v>
      </c>
      <c r="E24" s="35" t="n">
        <v>0.06183870654576994</v>
      </c>
      <c r="F24" s="37" t="n">
        <v>0.313416457235199</v>
      </c>
      <c r="G24" s="35" t="n">
        <v>0.04438126832558233</v>
      </c>
      <c r="H24" s="38" t="n">
        <v>1</v>
      </c>
      <c r="I24" s="39" t="n">
        <v>34365</v>
      </c>
      <c r="J24" s="39" t="n">
        <v>45777</v>
      </c>
    </row>
    <row r="25" ht="17" customHeight="1">
      <c r="A25" s="33" t="inlineStr">
        <is>
          <t xml:space="preserve">    Equity Long/Short</t>
        </is>
      </c>
      <c r="B25" s="34" t="n">
        <v>0.004352380054283532</v>
      </c>
      <c r="C25" s="35" t="n">
        <v>0.02077344628642656</v>
      </c>
      <c r="D25" s="36" t="n">
        <v>0.03719451251856959</v>
      </c>
      <c r="E25" s="35" t="n">
        <v>0.08832564716888681</v>
      </c>
      <c r="F25" s="37" t="n">
        <v>0.2351915548006776</v>
      </c>
      <c r="G25" s="35" t="n">
        <v>0.04577344628642656</v>
      </c>
      <c r="H25" s="38" t="n">
        <v>1</v>
      </c>
      <c r="I25" s="39" t="n">
        <v>34365</v>
      </c>
      <c r="J25" s="39" t="n">
        <v>45777</v>
      </c>
    </row>
    <row r="26" ht="17" customHeight="1">
      <c r="A26" s="33" t="inlineStr">
        <is>
          <t xml:space="preserve">    Tactical Trading</t>
        </is>
      </c>
      <c r="B26" s="34" t="n">
        <v>0.01069289996815624</v>
      </c>
      <c r="C26" s="35" t="n">
        <v>0.02796865849530997</v>
      </c>
      <c r="D26" s="36" t="n">
        <v>0.04524441702246371</v>
      </c>
      <c r="E26" s="35" t="n">
        <v>0.07313851060027297</v>
      </c>
      <c r="F26" s="37" t="n">
        <v>0.3824067275333002</v>
      </c>
      <c r="G26" s="35" t="n">
        <v>0.05296865849530998</v>
      </c>
      <c r="H26" s="38" t="n">
        <v>1</v>
      </c>
      <c r="I26" s="39" t="n">
        <v>38383</v>
      </c>
      <c r="J26" s="39" t="n">
        <v>45777</v>
      </c>
    </row>
    <row r="27" ht="17" customHeight="1">
      <c r="A27" s="40" t="inlineStr">
        <is>
          <t>Private Equity</t>
        </is>
      </c>
      <c r="B27" s="41" t="n">
        <v/>
      </c>
      <c r="C27" s="42" t="n">
        <v/>
      </c>
      <c r="D27" s="43" t="n">
        <v/>
      </c>
      <c r="E27" s="42" t="n">
        <v/>
      </c>
      <c r="F27" s="44" t="n">
        <v/>
      </c>
      <c r="G27" s="42" t="n">
        <v/>
      </c>
      <c r="H27" s="45" t="n">
        <v/>
      </c>
      <c r="I27" s="46" t="n"/>
      <c r="J27" s="46" t="n"/>
    </row>
    <row r="28" ht="17" customHeight="1">
      <c r="A28" s="33" t="inlineStr">
        <is>
          <t xml:space="preserve">    Buyout</t>
        </is>
      </c>
      <c r="B28" s="34" t="n">
        <v>0.04169757244411174</v>
      </c>
      <c r="C28" s="35" t="n">
        <v>0.06530186752700673</v>
      </c>
      <c r="D28" s="36" t="n">
        <v>0.08890616260990172</v>
      </c>
      <c r="E28" s="35" t="n">
        <v>0.1377719846412887</v>
      </c>
      <c r="F28" s="37" t="n">
        <v>0.4739850971663837</v>
      </c>
      <c r="G28" s="35" t="n">
        <v>0.09030186752700672</v>
      </c>
      <c r="H28" s="38" t="n">
        <v>0</v>
      </c>
      <c r="I28" s="39" t="n">
        <v>25598</v>
      </c>
      <c r="J28" s="39" t="n">
        <v>45777</v>
      </c>
    </row>
    <row r="29" ht="17" customHeight="1">
      <c r="A29" s="33" t="inlineStr">
        <is>
          <t xml:space="preserve">    Growth</t>
        </is>
      </c>
      <c r="B29" s="34" t="n">
        <v>0.0402935664696169</v>
      </c>
      <c r="C29" s="35" t="n">
        <v>0.06709063572361838</v>
      </c>
      <c r="D29" s="36" t="n">
        <v>0.09388770497761986</v>
      </c>
      <c r="E29" s="35" t="n">
        <v>0.1564073572512313</v>
      </c>
      <c r="F29" s="37" t="n">
        <v>0.4289480808492479</v>
      </c>
      <c r="G29" s="35" t="n">
        <v>0.09209063572361839</v>
      </c>
      <c r="H29" s="38" t="n">
        <v>0</v>
      </c>
      <c r="I29" s="39" t="n">
        <v>28886</v>
      </c>
      <c r="J29" s="39" t="n">
        <v>45777</v>
      </c>
    </row>
    <row r="30" ht="17" customHeight="1">
      <c r="A30" s="33" t="inlineStr">
        <is>
          <t xml:space="preserve">    Venture</t>
        </is>
      </c>
      <c r="B30" s="34" t="n">
        <v>0.03351696955206088</v>
      </c>
      <c r="C30" s="35" t="n">
        <v>0.06217206818719653</v>
      </c>
      <c r="D30" s="36" t="n">
        <v>0.09082716682233218</v>
      </c>
      <c r="E30" s="35" t="n">
        <v>0.1672521799608992</v>
      </c>
      <c r="F30" s="37" t="n">
        <v>0.3717265042627925</v>
      </c>
      <c r="G30" s="35" t="n">
        <v>0.08717206818719653</v>
      </c>
      <c r="H30" s="38" t="n">
        <v>0</v>
      </c>
      <c r="I30" s="39" t="n">
        <v>30680</v>
      </c>
      <c r="J30" s="39" t="n">
        <v>44925</v>
      </c>
    </row>
    <row r="31" ht="17" customHeight="1">
      <c r="A31" s="40" t="inlineStr">
        <is>
          <t>Other Private Assets</t>
        </is>
      </c>
      <c r="B31" s="41" t="n">
        <v/>
      </c>
      <c r="C31" s="42" t="n">
        <v/>
      </c>
      <c r="D31" s="43" t="n">
        <v/>
      </c>
      <c r="E31" s="42" t="n">
        <v/>
      </c>
      <c r="F31" s="44" t="n">
        <v/>
      </c>
      <c r="G31" s="42" t="n">
        <v/>
      </c>
      <c r="H31" s="45" t="n">
        <v/>
      </c>
      <c r="I31" s="46" t="n"/>
      <c r="J31" s="46" t="n"/>
    </row>
    <row r="32" ht="17" customHeight="1">
      <c r="A32" s="33" t="inlineStr">
        <is>
          <t xml:space="preserve">    Private Credit</t>
        </is>
      </c>
      <c r="B32" s="34" t="n">
        <v>0.03993201758941252</v>
      </c>
      <c r="C32" s="35" t="n">
        <v>0.05939500684075422</v>
      </c>
      <c r="D32" s="36" t="n">
        <v>0.07885799609209591</v>
      </c>
      <c r="E32" s="35" t="n">
        <v>0.1136002853206385</v>
      </c>
      <c r="F32" s="37" t="n">
        <v>0.5228420568937036</v>
      </c>
      <c r="G32" s="35" t="n">
        <v>0.08439500684075421</v>
      </c>
      <c r="H32" s="38" t="n">
        <v>0</v>
      </c>
      <c r="I32" s="39" t="n">
        <v>30589</v>
      </c>
      <c r="J32" s="39" t="n">
        <v>45777</v>
      </c>
    </row>
    <row r="33" ht="17" customHeight="1">
      <c r="A33" s="33" t="inlineStr">
        <is>
          <t xml:space="preserve">    Core Real Estate</t>
        </is>
      </c>
      <c r="B33" s="34" t="n">
        <v>0.05379353123528301</v>
      </c>
      <c r="C33" s="35" t="n">
        <v>0.07859205755502181</v>
      </c>
      <c r="D33" s="36" t="n">
        <v>0.1033905838747606</v>
      </c>
      <c r="E33" s="35" t="n">
        <v>0.1447423943503175</v>
      </c>
      <c r="F33" s="37" t="n">
        <v>0.5429788411873774</v>
      </c>
      <c r="G33" s="35" t="n">
        <v>0.1035920575550218</v>
      </c>
      <c r="H33" s="38" t="n">
        <v>0</v>
      </c>
      <c r="I33" s="39" t="n">
        <v>32720</v>
      </c>
      <c r="J33" s="39" t="n">
        <v>44925</v>
      </c>
    </row>
    <row r="34" ht="17" customHeight="1">
      <c r="A34" s="47" t="inlineStr">
        <is>
          <t xml:space="preserve">    Infrastructure</t>
        </is>
      </c>
      <c r="B34" s="48" t="n">
        <v>0.03536310008522681</v>
      </c>
      <c r="C34" s="49" t="n">
        <v>0.06040218200397959</v>
      </c>
      <c r="D34" s="50" t="n">
        <v>0.08544126392273238</v>
      </c>
      <c r="E34" s="49" t="n">
        <v>0.1461464533224809</v>
      </c>
      <c r="F34" s="51" t="n">
        <v>0.4132989931045304</v>
      </c>
      <c r="G34" s="49" t="n">
        <v>0.08540218200397959</v>
      </c>
      <c r="H34" s="52" t="n">
        <v>0</v>
      </c>
      <c r="I34" s="53" t="n">
        <v>36189</v>
      </c>
      <c r="J34" s="53" t="n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89.37627521800249</v>
      </c>
      <c r="C4" s="54" t="n">
        <v>96.95299300819237</v>
      </c>
      <c r="D4" s="54" t="n">
        <v>106.3877612327809</v>
      </c>
      <c r="E4" s="54" t="n">
        <v>115.0753466182883</v>
      </c>
      <c r="F4" s="54" t="n">
        <v>86.59915196248637</v>
      </c>
      <c r="G4" s="54" t="n">
        <v>94.60935859688374</v>
      </c>
      <c r="H4" s="54" t="n">
        <v>104.0491651432106</v>
      </c>
      <c r="I4" s="54" t="n">
        <v>112.7641457110424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89.96106936266131</v>
      </c>
      <c r="C5" s="54" t="n">
        <v>99.16554324928781</v>
      </c>
      <c r="D5" s="54" t="n">
        <v>111.9832310352589</v>
      </c>
      <c r="E5" s="54" t="n">
        <v>125.2361851573403</v>
      </c>
      <c r="F5" s="54" t="n">
        <v>85.24331266404607</v>
      </c>
      <c r="G5" s="54" t="n">
        <v>94.27822946394829</v>
      </c>
      <c r="H5" s="54" t="n">
        <v>107.0455655048445</v>
      </c>
      <c r="I5" s="54" t="n">
        <v>119.9901762596535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90.58313988797278</v>
      </c>
      <c r="C6" s="54" t="n">
        <v>102.114406466647</v>
      </c>
      <c r="D6" s="54" t="n">
        <v>117.8987137670578</v>
      </c>
      <c r="E6" s="54" t="n">
        <v>134.9024890332604</v>
      </c>
      <c r="F6" s="54" t="n">
        <v>84.01338677148027</v>
      </c>
      <c r="G6" s="54" t="n">
        <v>95.02920474131955</v>
      </c>
      <c r="H6" s="54" t="n">
        <v>110.2138631039397</v>
      </c>
      <c r="I6" s="54" t="n">
        <v>126.5105150192592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90.54239156058991</v>
      </c>
      <c r="C7" s="54" t="n">
        <v>105.2220869527324</v>
      </c>
      <c r="D7" s="54" t="n">
        <v>124.9679338747021</v>
      </c>
      <c r="E7" s="54" t="n">
        <v>147.0728604188467</v>
      </c>
      <c r="F7" s="54" t="n">
        <v>82.03141448133613</v>
      </c>
      <c r="G7" s="54" t="n">
        <v>95.88112249280955</v>
      </c>
      <c r="H7" s="54" t="n">
        <v>114.266497409181</v>
      </c>
      <c r="I7" s="54" t="n">
        <v>135.0276050340417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91.47244098066217</v>
      </c>
      <c r="C8" s="54" t="n">
        <v>108.8634971403772</v>
      </c>
      <c r="D8" s="54" t="n">
        <v>132.8297693999156</v>
      </c>
      <c r="E8" s="54" t="n">
        <v>159.9807496166793</v>
      </c>
      <c r="F8" s="54" t="n">
        <v>81.12891136014142</v>
      </c>
      <c r="G8" s="54" t="n">
        <v>97.00475880923408</v>
      </c>
      <c r="H8" s="54" t="n">
        <v>118.9247424818771</v>
      </c>
      <c r="I8" s="54" t="n">
        <v>143.8940647675205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92.24383773733976</v>
      </c>
      <c r="C9" s="54" t="n">
        <v>112.6706512886463</v>
      </c>
      <c r="D9" s="54" t="n">
        <v>140.6028630923159</v>
      </c>
      <c r="E9" s="54" t="n">
        <v>172.7002987726396</v>
      </c>
      <c r="F9" s="54" t="n">
        <v>80.94882697955697</v>
      </c>
      <c r="G9" s="54" t="n">
        <v>98.46316080903817</v>
      </c>
      <c r="H9" s="54" t="n">
        <v>123.318207118933</v>
      </c>
      <c r="I9" s="54" t="n">
        <v>152.016059373721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91.06207464778662</v>
      </c>
      <c r="C10" s="54" t="n">
        <v>115.9146246214793</v>
      </c>
      <c r="D10" s="54" t="n">
        <v>149.2442498696042</v>
      </c>
      <c r="E10" s="54" t="n">
        <v>187.6691774564844</v>
      </c>
      <c r="F10" s="54" t="n">
        <v>78.36981707279166</v>
      </c>
      <c r="G10" s="54" t="n">
        <v>99.26507442419494</v>
      </c>
      <c r="H10" s="54" t="n">
        <v>128.2459795044442</v>
      </c>
      <c r="I10" s="54" t="n">
        <v>161.7968946408457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92.28086744812732</v>
      </c>
      <c r="C11" s="54" t="n">
        <v>119.1703323153767</v>
      </c>
      <c r="D11" s="54" t="n">
        <v>157.6893664732292</v>
      </c>
      <c r="E11" s="54" t="n">
        <v>203.0098573107429</v>
      </c>
      <c r="F11" s="54" t="n">
        <v>78.14524504470883</v>
      </c>
      <c r="G11" s="54" t="n">
        <v>100.1806306947321</v>
      </c>
      <c r="H11" s="54" t="n">
        <v>132.8649705883817</v>
      </c>
      <c r="I11" s="54" t="n">
        <v>171.8226369102719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92.29499775705415</v>
      </c>
      <c r="C12" s="54" t="n">
        <v>122.3430077594022</v>
      </c>
      <c r="D12" s="54" t="n">
        <v>166.6705347229698</v>
      </c>
      <c r="E12" s="54" t="n">
        <v>218.444858182246</v>
      </c>
      <c r="F12" s="54" t="n">
        <v>77.05575026235815</v>
      </c>
      <c r="G12" s="54" t="n">
        <v>100.9846332699268</v>
      </c>
      <c r="H12" s="54" t="n">
        <v>137.4762598188578</v>
      </c>
      <c r="I12" s="54" t="n">
        <v>180.8972151385331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93.29875229717075</v>
      </c>
      <c r="C13" s="54" t="n">
        <v>126.4038696539487</v>
      </c>
      <c r="D13" s="54" t="n">
        <v>175.4915462242113</v>
      </c>
      <c r="E13" s="54" t="n">
        <v>235.2600554155512</v>
      </c>
      <c r="F13" s="54" t="n">
        <v>76.49247230528424</v>
      </c>
      <c r="G13" s="54" t="n">
        <v>102.0730517320898</v>
      </c>
      <c r="H13" s="54" t="n">
        <v>141.8952510471898</v>
      </c>
      <c r="I13" s="54" t="n">
        <v>190.6965260006445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94.72145016657429</v>
      </c>
      <c r="C14" s="54" t="n">
        <v>129.5764208554641</v>
      </c>
      <c r="D14" s="54" t="n">
        <v>184.8164186702921</v>
      </c>
      <c r="E14" s="54" t="n">
        <v>253.2927110709499</v>
      </c>
      <c r="F14" s="54" t="n">
        <v>75.6381520133915</v>
      </c>
      <c r="G14" s="54" t="n">
        <v>102.8305001911647</v>
      </c>
      <c r="H14" s="54" t="n">
        <v>146.3996882441274</v>
      </c>
      <c r="I14" s="54" t="n">
        <v>201.1388594934083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94.5399784354106</v>
      </c>
      <c r="C15" s="54" t="n">
        <v>133.4583043737308</v>
      </c>
      <c r="D15" s="54" t="n">
        <v>194.2959315183895</v>
      </c>
      <c r="E15" s="54" t="n">
        <v>273.0385444892261</v>
      </c>
      <c r="F15" s="54" t="n">
        <v>74.11767555007268</v>
      </c>
      <c r="G15" s="54" t="n">
        <v>103.7141285784726</v>
      </c>
      <c r="H15" s="54" t="n">
        <v>150.955989399365</v>
      </c>
      <c r="I15" s="54" t="n">
        <v>212.3730054422988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95.64019548118492</v>
      </c>
      <c r="C16" s="54" t="n">
        <v>137.2731924998982</v>
      </c>
      <c r="D16" s="54" t="n">
        <v>204.1004514954027</v>
      </c>
      <c r="E16" s="54" t="n">
        <v>293.448111641699</v>
      </c>
      <c r="F16" s="54" t="n">
        <v>73.64903160151339</v>
      </c>
      <c r="G16" s="54" t="n">
        <v>104.957606322956</v>
      </c>
      <c r="H16" s="54" t="n">
        <v>155.72537989109</v>
      </c>
      <c r="I16" s="54" t="n">
        <v>224.1632032088465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97.21961894763326</v>
      </c>
      <c r="C17" s="54" t="n">
        <v>141.7827864804582</v>
      </c>
      <c r="D17" s="54" t="n">
        <v>214.8383644167276</v>
      </c>
      <c r="E17" s="54" t="n">
        <v>317.5225331227743</v>
      </c>
      <c r="F17" s="54" t="n">
        <v>73.85027977587914</v>
      </c>
      <c r="G17" s="54" t="n">
        <v>106.4061478641516</v>
      </c>
      <c r="H17" s="54" t="n">
        <v>160.4773786260807</v>
      </c>
      <c r="I17" s="54" t="n">
        <v>235.800041482715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98.6013962193089</v>
      </c>
      <c r="C18" s="54" t="n">
        <v>146.133904319651</v>
      </c>
      <c r="D18" s="54" t="n">
        <v>225.9373854434958</v>
      </c>
      <c r="E18" s="54" t="n">
        <v>338.7305831042307</v>
      </c>
      <c r="F18" s="54" t="n">
        <v>73.73402472005777</v>
      </c>
      <c r="G18" s="54" t="n">
        <v>107.5916248412486</v>
      </c>
      <c r="H18" s="54" t="n">
        <v>165.4976119009336</v>
      </c>
      <c r="I18" s="54" t="n">
        <v>247.5546332199989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101.3523926828192</v>
      </c>
      <c r="C19" s="54" t="n">
        <v>151.0228956900683</v>
      </c>
      <c r="D19" s="54" t="n">
        <v>237.6279970774481</v>
      </c>
      <c r="E19" s="54" t="n">
        <v>363.8708540051458</v>
      </c>
      <c r="F19" s="54" t="n">
        <v>73.97555081139792</v>
      </c>
      <c r="G19" s="54" t="n">
        <v>108.7772146473095</v>
      </c>
      <c r="H19" s="54" t="n">
        <v>170.8515319131238</v>
      </c>
      <c r="I19" s="54" t="n">
        <v>260.3531636809045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103.726471560948</v>
      </c>
      <c r="C20" s="54" t="n">
        <v>156.3480931587852</v>
      </c>
      <c r="D20" s="54" t="n">
        <v>249.781440765089</v>
      </c>
      <c r="E20" s="54" t="n">
        <v>390.2889058745436</v>
      </c>
      <c r="F20" s="54" t="n">
        <v>73.58275630175292</v>
      </c>
      <c r="G20" s="54" t="n">
        <v>110.5911514733713</v>
      </c>
      <c r="H20" s="54" t="n">
        <v>176.0092478821653</v>
      </c>
      <c r="I20" s="54" t="n">
        <v>273.7369448623365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106.516181414267</v>
      </c>
      <c r="C21" s="54" t="n">
        <v>162.1069990771113</v>
      </c>
      <c r="D21" s="54" t="n">
        <v>262.1960794014199</v>
      </c>
      <c r="E21" s="54" t="n">
        <v>417.9330393133037</v>
      </c>
      <c r="F21" s="54" t="n">
        <v>74.23068393255974</v>
      </c>
      <c r="G21" s="54" t="n">
        <v>112.6186726971288</v>
      </c>
      <c r="H21" s="54" t="n">
        <v>181.3684731938764</v>
      </c>
      <c r="I21" s="54" t="n">
        <v>286.6485771687424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109.7181700895463</v>
      </c>
      <c r="C22" s="54" t="n">
        <v>167.192695779733</v>
      </c>
      <c r="D22" s="54" t="n">
        <v>276.4365964860183</v>
      </c>
      <c r="E22" s="54" t="n">
        <v>447.4060777248834</v>
      </c>
      <c r="F22" s="54" t="n">
        <v>75.21829776374329</v>
      </c>
      <c r="G22" s="54" t="n">
        <v>113.9080050469368</v>
      </c>
      <c r="H22" s="54" t="n">
        <v>187.2909999107426</v>
      </c>
      <c r="I22" s="54" t="n">
        <v>300.5114773933102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110.881345134778</v>
      </c>
      <c r="C23" s="54" t="n">
        <v>172.9228880287378</v>
      </c>
      <c r="D23" s="54" t="n">
        <v>290.1164132370267</v>
      </c>
      <c r="E23" s="54" t="n">
        <v>477.639891084348</v>
      </c>
      <c r="F23" s="54" t="n">
        <v>74.90372588564151</v>
      </c>
      <c r="G23" s="54" t="n">
        <v>115.5438783211731</v>
      </c>
      <c r="H23" s="54" t="n">
        <v>193.1020606959532</v>
      </c>
      <c r="I23" s="54" t="n">
        <v>314.064227715951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54" t="n"/>
      <c r="B1" s="54" t="inlineStr">
        <is>
          <t>nominal</t>
        </is>
      </c>
      <c r="C1" s="54" t="inlineStr">
        <is>
          <t>nominal</t>
        </is>
      </c>
      <c r="D1" s="54" t="inlineStr">
        <is>
          <t>nominal</t>
        </is>
      </c>
      <c r="E1" s="54" t="inlineStr">
        <is>
          <t>nominal</t>
        </is>
      </c>
      <c r="F1" s="54" t="inlineStr">
        <is>
          <t>real</t>
        </is>
      </c>
      <c r="G1" s="54" t="inlineStr">
        <is>
          <t>real</t>
        </is>
      </c>
      <c r="H1" s="54" t="inlineStr">
        <is>
          <t>real</t>
        </is>
      </c>
      <c r="I1" s="54" t="inlineStr">
        <is>
          <t>real</t>
        </is>
      </c>
      <c r="J1" s="54" t="inlineStr">
        <is>
          <t>net_flows</t>
        </is>
      </c>
      <c r="K1" s="54" t="inlineStr">
        <is>
          <t>net_flows</t>
        </is>
      </c>
      <c r="L1" s="54" t="inlineStr">
        <is>
          <t>net_flows</t>
        </is>
      </c>
      <c r="M1" s="54" t="inlineStr">
        <is>
          <t>net_flows</t>
        </is>
      </c>
      <c r="N1" s="54" t="inlineStr">
        <is>
          <t>real_net_flows</t>
        </is>
      </c>
      <c r="O1" s="54" t="inlineStr">
        <is>
          <t>real_net_flows</t>
        </is>
      </c>
      <c r="P1" s="54" t="inlineStr">
        <is>
          <t>real_net_flows</t>
        </is>
      </c>
      <c r="Q1" s="54" t="inlineStr">
        <is>
          <t>real_net_flows</t>
        </is>
      </c>
    </row>
    <row r="2">
      <c r="A2" s="54" t="n"/>
      <c r="B2" s="54" t="inlineStr">
        <is>
          <t>1st %ile</t>
        </is>
      </c>
      <c r="C2" s="54" t="inlineStr">
        <is>
          <t>10th %ile</t>
        </is>
      </c>
      <c r="D2" s="54" t="inlineStr">
        <is>
          <t>50th %ile</t>
        </is>
      </c>
      <c r="E2" s="54" t="inlineStr">
        <is>
          <t>90th %ile</t>
        </is>
      </c>
      <c r="F2" s="54" t="inlineStr">
        <is>
          <t>1st %ile</t>
        </is>
      </c>
      <c r="G2" s="54" t="inlineStr">
        <is>
          <t>10th %ile</t>
        </is>
      </c>
      <c r="H2" s="54" t="inlineStr">
        <is>
          <t>50th %ile</t>
        </is>
      </c>
      <c r="I2" s="54" t="inlineStr">
        <is>
          <t>90th %ile</t>
        </is>
      </c>
      <c r="J2" s="54" t="inlineStr">
        <is>
          <t>1st %ile</t>
        </is>
      </c>
      <c r="K2" s="54" t="inlineStr">
        <is>
          <t>10th %ile</t>
        </is>
      </c>
      <c r="L2" s="54" t="inlineStr">
        <is>
          <t>50th %ile</t>
        </is>
      </c>
      <c r="M2" s="54" t="inlineStr">
        <is>
          <t>90th %ile</t>
        </is>
      </c>
      <c r="N2" s="54" t="inlineStr">
        <is>
          <t>1st %ile</t>
        </is>
      </c>
      <c r="O2" s="54" t="inlineStr">
        <is>
          <t>10th %ile</t>
        </is>
      </c>
      <c r="P2" s="54" t="inlineStr">
        <is>
          <t>50th %ile</t>
        </is>
      </c>
      <c r="Q2" s="54" t="inlineStr">
        <is>
          <t>90th %ile</t>
        </is>
      </c>
    </row>
    <row r="3">
      <c r="A3" s="54" t="n">
        <v>0</v>
      </c>
      <c r="B3" s="54" t="n">
        <v>100</v>
      </c>
      <c r="C3" s="54" t="n">
        <v>100</v>
      </c>
      <c r="D3" s="54" t="n">
        <v>100</v>
      </c>
      <c r="E3" s="54" t="n">
        <v>100</v>
      </c>
      <c r="F3" s="54" t="n">
        <v>100</v>
      </c>
      <c r="G3" s="54" t="n">
        <v>100</v>
      </c>
      <c r="H3" s="54" t="n">
        <v>100</v>
      </c>
      <c r="I3" s="54" t="n">
        <v>100</v>
      </c>
      <c r="J3" s="54" t="n">
        <v>0</v>
      </c>
      <c r="K3" s="54" t="n">
        <v>0</v>
      </c>
      <c r="L3" s="54" t="n">
        <v>0</v>
      </c>
      <c r="M3" s="54" t="n">
        <v>0</v>
      </c>
      <c r="N3" s="54" t="n">
        <v>0</v>
      </c>
      <c r="O3" s="54" t="n">
        <v>0</v>
      </c>
      <c r="P3" s="54" t="n">
        <v>0</v>
      </c>
      <c r="Q3" s="54" t="n">
        <v>0</v>
      </c>
    </row>
    <row r="4">
      <c r="A4" s="54" t="n">
        <v>1</v>
      </c>
      <c r="B4" s="54" t="n">
        <v>90.21372512703307</v>
      </c>
      <c r="C4" s="54" t="n">
        <v>99.33426924192727</v>
      </c>
      <c r="D4" s="54" t="n">
        <v>108.9446038145085</v>
      </c>
      <c r="E4" s="54" t="n">
        <v>118.7058886138092</v>
      </c>
      <c r="F4" s="54" t="n">
        <v>87.18434755520727</v>
      </c>
      <c r="G4" s="54" t="n">
        <v>96.83872622818708</v>
      </c>
      <c r="H4" s="54" t="n">
        <v>106.5694277643799</v>
      </c>
      <c r="I4" s="54" t="n">
        <v>116.4004218715645</v>
      </c>
      <c r="J4" s="54" t="n">
        <v>0</v>
      </c>
      <c r="K4" s="54" t="n">
        <v>0</v>
      </c>
      <c r="L4" s="54" t="n">
        <v>0</v>
      </c>
      <c r="M4" s="54" t="n">
        <v>0</v>
      </c>
      <c r="N4" s="54" t="n">
        <v>0</v>
      </c>
      <c r="O4" s="54" t="n">
        <v>0</v>
      </c>
      <c r="P4" s="54" t="n">
        <v>0</v>
      </c>
      <c r="Q4" s="54" t="n">
        <v>0</v>
      </c>
    </row>
    <row r="5">
      <c r="A5" s="54" t="n">
        <v>2</v>
      </c>
      <c r="B5" s="54" t="n">
        <v>93.54136010037162</v>
      </c>
      <c r="C5" s="54" t="n">
        <v>103.5121705047834</v>
      </c>
      <c r="D5" s="54" t="n">
        <v>118.1082666802369</v>
      </c>
      <c r="E5" s="54" t="n">
        <v>131.936300608796</v>
      </c>
      <c r="F5" s="54" t="n">
        <v>88.32185028082888</v>
      </c>
      <c r="G5" s="54" t="n">
        <v>98.32479140689546</v>
      </c>
      <c r="H5" s="54" t="n">
        <v>112.8551412259717</v>
      </c>
      <c r="I5" s="54" t="n">
        <v>126.7382321883678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</row>
    <row r="6">
      <c r="A6" s="54" t="n">
        <v>3</v>
      </c>
      <c r="B6" s="54" t="n">
        <v>96.47813955623425</v>
      </c>
      <c r="C6" s="54" t="n">
        <v>109.5847884598978</v>
      </c>
      <c r="D6" s="54" t="n">
        <v>127.2243748740896</v>
      </c>
      <c r="E6" s="54" t="n">
        <v>145.4165147269157</v>
      </c>
      <c r="F6" s="54" t="n">
        <v>88.7407895341629</v>
      </c>
      <c r="G6" s="54" t="n">
        <v>101.7123344806822</v>
      </c>
      <c r="H6" s="54" t="n">
        <v>118.9968110704728</v>
      </c>
      <c r="I6" s="54" t="n">
        <v>136.691752495176</v>
      </c>
      <c r="J6" s="54" t="n">
        <v>0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</v>
      </c>
      <c r="P6" s="54" t="n">
        <v>0</v>
      </c>
      <c r="Q6" s="54" t="n">
        <v>0</v>
      </c>
    </row>
    <row r="7">
      <c r="A7" s="54" t="n">
        <v>4</v>
      </c>
      <c r="B7" s="54" t="n">
        <v>97.42398760477535</v>
      </c>
      <c r="C7" s="54" t="n">
        <v>115.1806537861245</v>
      </c>
      <c r="D7" s="54" t="n">
        <v>137.4169617921295</v>
      </c>
      <c r="E7" s="54" t="n">
        <v>161.4793938984078</v>
      </c>
      <c r="F7" s="54" t="n">
        <v>88.06388932933321</v>
      </c>
      <c r="G7" s="54" t="n">
        <v>104.5415616929068</v>
      </c>
      <c r="H7" s="54" t="n">
        <v>125.7572752711628</v>
      </c>
      <c r="I7" s="54" t="n">
        <v>148.7323998003725</v>
      </c>
      <c r="J7" s="54" t="n">
        <v>0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</v>
      </c>
      <c r="P7" s="54" t="n">
        <v>0</v>
      </c>
      <c r="Q7" s="54" t="n">
        <v>0</v>
      </c>
    </row>
    <row r="8">
      <c r="A8" s="54" t="n">
        <v>5</v>
      </c>
      <c r="B8" s="54" t="n">
        <v>101.3219245384297</v>
      </c>
      <c r="C8" s="54" t="n">
        <v>121.6434392889256</v>
      </c>
      <c r="D8" s="54" t="n">
        <v>148.7884590149449</v>
      </c>
      <c r="E8" s="54" t="n">
        <v>178.787677189177</v>
      </c>
      <c r="F8" s="54" t="n">
        <v>89.76724926682169</v>
      </c>
      <c r="G8" s="54" t="n">
        <v>107.8751174235113</v>
      </c>
      <c r="H8" s="54" t="n">
        <v>133.1829600087811</v>
      </c>
      <c r="I8" s="54" t="n">
        <v>161.4448900903515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54" t="n">
        <v>0</v>
      </c>
      <c r="Q8" s="54" t="n">
        <v>0</v>
      </c>
    </row>
    <row r="9">
      <c r="A9" s="54" t="n">
        <v>6</v>
      </c>
      <c r="B9" s="54" t="n">
        <v>104.5748656144293</v>
      </c>
      <c r="C9" s="54" t="n">
        <v>128.5613431898343</v>
      </c>
      <c r="D9" s="54" t="n">
        <v>160.2933819448158</v>
      </c>
      <c r="E9" s="54" t="n">
        <v>196.6759763643192</v>
      </c>
      <c r="F9" s="54" t="n">
        <v>91.1444829293897</v>
      </c>
      <c r="G9" s="54" t="n">
        <v>111.7382596585163</v>
      </c>
      <c r="H9" s="54" t="n">
        <v>140.6083401110541</v>
      </c>
      <c r="I9" s="54" t="n">
        <v>173.8878427312846</v>
      </c>
      <c r="J9" s="54" t="n">
        <v>0</v>
      </c>
      <c r="K9" s="54" t="n">
        <v>0</v>
      </c>
      <c r="L9" s="54" t="n">
        <v>0</v>
      </c>
      <c r="M9" s="54" t="n">
        <v>0</v>
      </c>
      <c r="N9" s="54" t="n">
        <v>0</v>
      </c>
      <c r="O9" s="54" t="n">
        <v>0</v>
      </c>
      <c r="P9" s="54" t="n">
        <v>0</v>
      </c>
      <c r="Q9" s="54" t="n">
        <v>0</v>
      </c>
    </row>
    <row r="10">
      <c r="A10" s="54" t="n">
        <v>7</v>
      </c>
      <c r="B10" s="54" t="n">
        <v>106.1667629321307</v>
      </c>
      <c r="C10" s="54" t="n">
        <v>134.1962964666998</v>
      </c>
      <c r="D10" s="54" t="n">
        <v>172.2871117686914</v>
      </c>
      <c r="E10" s="54" t="n">
        <v>216.5841336468799</v>
      </c>
      <c r="F10" s="54" t="n">
        <v>90.13746820312342</v>
      </c>
      <c r="G10" s="54" t="n">
        <v>114.3183176793547</v>
      </c>
      <c r="H10" s="54" t="n">
        <v>148.0044948469806</v>
      </c>
      <c r="I10" s="54" t="n">
        <v>187.3688620374436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</row>
    <row r="11">
      <c r="A11" s="54" t="n">
        <v>8</v>
      </c>
      <c r="B11" s="54" t="n">
        <v>108.7585305968055</v>
      </c>
      <c r="C11" s="54" t="n">
        <v>139.9949001034188</v>
      </c>
      <c r="D11" s="54" t="n">
        <v>184.4756006520961</v>
      </c>
      <c r="E11" s="54" t="n">
        <v>237.2322451391411</v>
      </c>
      <c r="F11" s="54" t="n">
        <v>90.46847379991411</v>
      </c>
      <c r="G11" s="54" t="n">
        <v>116.8726156235708</v>
      </c>
      <c r="H11" s="54" t="n">
        <v>155.3714027242658</v>
      </c>
      <c r="I11" s="54" t="n">
        <v>201.3364629065913</v>
      </c>
      <c r="J11" s="54" t="n">
        <v>0</v>
      </c>
      <c r="K11" s="54" t="n">
        <v>0</v>
      </c>
      <c r="L11" s="54" t="n">
        <v>0</v>
      </c>
      <c r="M11" s="54" t="n">
        <v>0</v>
      </c>
      <c r="N11" s="54" t="n">
        <v>0</v>
      </c>
      <c r="O11" s="54" t="n">
        <v>0</v>
      </c>
      <c r="P11" s="54" t="n">
        <v>0</v>
      </c>
      <c r="Q11" s="54" t="n">
        <v>0</v>
      </c>
    </row>
    <row r="12">
      <c r="A12" s="54" t="n">
        <v>9</v>
      </c>
      <c r="B12" s="54" t="n">
        <v>110.524557290364</v>
      </c>
      <c r="C12" s="54" t="n">
        <v>145.7661887938152</v>
      </c>
      <c r="D12" s="54" t="n">
        <v>197.0146465781793</v>
      </c>
      <c r="E12" s="54" t="n">
        <v>258.9050680682701</v>
      </c>
      <c r="F12" s="54" t="n">
        <v>90.98523428800921</v>
      </c>
      <c r="G12" s="54" t="n">
        <v>119.2959452237059</v>
      </c>
      <c r="H12" s="54" t="n">
        <v>162.2458099806797</v>
      </c>
      <c r="I12" s="54" t="n">
        <v>215.8697486549812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54" t="n">
        <v>0</v>
      </c>
      <c r="Q12" s="54" t="n">
        <v>0</v>
      </c>
    </row>
    <row r="13">
      <c r="A13" s="54" t="n">
        <v>10</v>
      </c>
      <c r="B13" s="54" t="n">
        <v>112.0416113502793</v>
      </c>
      <c r="C13" s="54" t="n">
        <v>152.2967173606883</v>
      </c>
      <c r="D13" s="54" t="n">
        <v>210.3611177323139</v>
      </c>
      <c r="E13" s="54" t="n">
        <v>283.1311547065611</v>
      </c>
      <c r="F13" s="54" t="n">
        <v>90.71224562040771</v>
      </c>
      <c r="G13" s="54" t="n">
        <v>122.4305272248712</v>
      </c>
      <c r="H13" s="54" t="n">
        <v>169.8120909261462</v>
      </c>
      <c r="I13" s="54" t="n">
        <v>231.125400997722</v>
      </c>
      <c r="J13" s="54" t="n">
        <v>0</v>
      </c>
      <c r="K13" s="54" t="n">
        <v>0</v>
      </c>
      <c r="L13" s="54" t="n">
        <v>0</v>
      </c>
      <c r="M13" s="54" t="n">
        <v>0</v>
      </c>
      <c r="N13" s="54" t="n">
        <v>0</v>
      </c>
      <c r="O13" s="54" t="n">
        <v>0</v>
      </c>
      <c r="P13" s="54" t="n">
        <v>0</v>
      </c>
      <c r="Q13" s="54" t="n">
        <v>0</v>
      </c>
    </row>
    <row r="14">
      <c r="A14" s="54" t="n">
        <v>11</v>
      </c>
      <c r="B14" s="54" t="n">
        <v>115.3414917421252</v>
      </c>
      <c r="C14" s="54" t="n">
        <v>158.5126571256529</v>
      </c>
      <c r="D14" s="54" t="n">
        <v>223.5188551194739</v>
      </c>
      <c r="E14" s="54" t="n">
        <v>307.8945992219329</v>
      </c>
      <c r="F14" s="54" t="n">
        <v>91.71325392173014</v>
      </c>
      <c r="G14" s="54" t="n">
        <v>125.3640757118788</v>
      </c>
      <c r="H14" s="54" t="n">
        <v>177.4753542519645</v>
      </c>
      <c r="I14" s="54" t="n">
        <v>246.6596003787877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54" t="n">
        <v>0</v>
      </c>
      <c r="Q14" s="54" t="n">
        <v>0</v>
      </c>
    </row>
    <row r="15">
      <c r="A15" s="54" t="n">
        <v>12</v>
      </c>
      <c r="B15" s="54" t="n">
        <v>118.3178530216155</v>
      </c>
      <c r="C15" s="54" t="n">
        <v>165.8135644521475</v>
      </c>
      <c r="D15" s="54" t="n">
        <v>238.2462698831034</v>
      </c>
      <c r="E15" s="54" t="n">
        <v>336.009384394502</v>
      </c>
      <c r="F15" s="54" t="n">
        <v>92.17981879080948</v>
      </c>
      <c r="G15" s="54" t="n">
        <v>128.3153699829901</v>
      </c>
      <c r="H15" s="54" t="n">
        <v>185.4557479904522</v>
      </c>
      <c r="I15" s="54" t="n">
        <v>263.2196179801465</v>
      </c>
      <c r="J15" s="54" t="n">
        <v>0</v>
      </c>
      <c r="K15" s="54" t="n">
        <v>0</v>
      </c>
      <c r="L15" s="54" t="n">
        <v>0</v>
      </c>
      <c r="M15" s="54" t="n">
        <v>0</v>
      </c>
      <c r="N15" s="54" t="n">
        <v>0</v>
      </c>
      <c r="O15" s="54" t="n">
        <v>0</v>
      </c>
      <c r="P15" s="54" t="n">
        <v>0</v>
      </c>
      <c r="Q15" s="54" t="n">
        <v>0</v>
      </c>
    </row>
    <row r="16">
      <c r="A16" s="54" t="n">
        <v>13</v>
      </c>
      <c r="B16" s="54" t="n">
        <v>123.0890796389837</v>
      </c>
      <c r="C16" s="54" t="n">
        <v>172.8796253057965</v>
      </c>
      <c r="D16" s="54" t="n">
        <v>254.1730508936251</v>
      </c>
      <c r="E16" s="54" t="n">
        <v>364.4218789243851</v>
      </c>
      <c r="F16" s="54" t="n">
        <v>93.2888484639694</v>
      </c>
      <c r="G16" s="54" t="n">
        <v>131.1292665748884</v>
      </c>
      <c r="H16" s="54" t="n">
        <v>193.7512330260337</v>
      </c>
      <c r="I16" s="54" t="n">
        <v>280.0995150385242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54" t="n">
        <v>0</v>
      </c>
      <c r="Q16" s="54" t="n">
        <v>0</v>
      </c>
    </row>
    <row r="17">
      <c r="A17" s="54" t="n">
        <v>14</v>
      </c>
      <c r="B17" s="54" t="n">
        <v>126.019512756812</v>
      </c>
      <c r="C17" s="54" t="n">
        <v>181.3663422311384</v>
      </c>
      <c r="D17" s="54" t="n">
        <v>270.9508743548389</v>
      </c>
      <c r="E17" s="54" t="n">
        <v>396.8155985810123</v>
      </c>
      <c r="F17" s="54" t="n">
        <v>94.17404609303948</v>
      </c>
      <c r="G17" s="54" t="n">
        <v>135.1417853955834</v>
      </c>
      <c r="H17" s="54" t="n">
        <v>202.4349828069354</v>
      </c>
      <c r="I17" s="54" t="n">
        <v>297.9986498549927</v>
      </c>
      <c r="J17" s="54" t="n">
        <v>0</v>
      </c>
      <c r="K17" s="54" t="n">
        <v>0</v>
      </c>
      <c r="L17" s="54" t="n">
        <v>0</v>
      </c>
      <c r="M17" s="54" t="n">
        <v>0</v>
      </c>
      <c r="N17" s="54" t="n">
        <v>0</v>
      </c>
      <c r="O17" s="54" t="n">
        <v>0</v>
      </c>
      <c r="P17" s="54" t="n">
        <v>0</v>
      </c>
      <c r="Q17" s="54" t="n">
        <v>0</v>
      </c>
    </row>
    <row r="18">
      <c r="A18" s="54" t="n">
        <v>15</v>
      </c>
      <c r="B18" s="54" t="n">
        <v>129.9089549129083</v>
      </c>
      <c r="C18" s="54" t="n">
        <v>189.4663228166843</v>
      </c>
      <c r="D18" s="54" t="n">
        <v>288.4682784301954</v>
      </c>
      <c r="E18" s="54" t="n">
        <v>429.4051885777069</v>
      </c>
      <c r="F18" s="54" t="n">
        <v>95.87495986252732</v>
      </c>
      <c r="G18" s="54" t="n">
        <v>138.1333037286758</v>
      </c>
      <c r="H18" s="54" t="n">
        <v>211.4133580081027</v>
      </c>
      <c r="I18" s="54" t="n">
        <v>316.8595470685708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54" t="n">
        <v>0</v>
      </c>
      <c r="Q18" s="54" t="n">
        <v>0</v>
      </c>
    </row>
    <row r="19">
      <c r="A19" s="54" t="n">
        <v>16</v>
      </c>
      <c r="B19" s="54" t="n">
        <v>134.0726297627129</v>
      </c>
      <c r="C19" s="54" t="n">
        <v>198.6941115300202</v>
      </c>
      <c r="D19" s="54" t="n">
        <v>307.4690945413788</v>
      </c>
      <c r="E19" s="54" t="n">
        <v>465.0997115674321</v>
      </c>
      <c r="F19" s="54" t="n">
        <v>96.1952383128552</v>
      </c>
      <c r="G19" s="54" t="n">
        <v>142.1530333250612</v>
      </c>
      <c r="H19" s="54" t="n">
        <v>220.8123297618339</v>
      </c>
      <c r="I19" s="54" t="n">
        <v>337.3086676737899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</row>
    <row r="20">
      <c r="A20" s="54" t="n">
        <v>17</v>
      </c>
      <c r="B20" s="54" t="n">
        <v>139.8434704342738</v>
      </c>
      <c r="C20" s="54" t="n">
        <v>207.8869954632538</v>
      </c>
      <c r="D20" s="54" t="n">
        <v>327.5222000104314</v>
      </c>
      <c r="E20" s="54" t="n">
        <v>506.3425043928372</v>
      </c>
      <c r="F20" s="54" t="n">
        <v>98.69962670058102</v>
      </c>
      <c r="G20" s="54" t="n">
        <v>145.1763238969332</v>
      </c>
      <c r="H20" s="54" t="n">
        <v>231.1220564613338</v>
      </c>
      <c r="I20" s="54" t="n">
        <v>359.0237706424458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</row>
    <row r="21">
      <c r="A21" s="54" t="n">
        <v>18</v>
      </c>
      <c r="B21" s="54" t="n">
        <v>145.8845419585123</v>
      </c>
      <c r="C21" s="54" t="n">
        <v>217.1056475084192</v>
      </c>
      <c r="D21" s="54" t="n">
        <v>349.4207310013008</v>
      </c>
      <c r="E21" s="54" t="n">
        <v>549.5865268196103</v>
      </c>
      <c r="F21" s="54" t="n">
        <v>100.9839344549596</v>
      </c>
      <c r="G21" s="54" t="n">
        <v>149.1452617178743</v>
      </c>
      <c r="H21" s="54" t="n">
        <v>241.0760636119263</v>
      </c>
      <c r="I21" s="54" t="n">
        <v>380.050105415898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</row>
    <row r="22">
      <c r="A22" s="54" t="n">
        <v>19</v>
      </c>
      <c r="B22" s="54" t="n">
        <v>153.1885852717933</v>
      </c>
      <c r="C22" s="54" t="n">
        <v>227.6456985050411</v>
      </c>
      <c r="D22" s="54" t="n">
        <v>372.2340891651986</v>
      </c>
      <c r="E22" s="54" t="n">
        <v>593.527220257444</v>
      </c>
      <c r="F22" s="54" t="n">
        <v>103.8433178628771</v>
      </c>
      <c r="G22" s="54" t="n">
        <v>153.7397617671776</v>
      </c>
      <c r="H22" s="54" t="n">
        <v>252.5809657863134</v>
      </c>
      <c r="I22" s="54" t="n">
        <v>401.9640381999916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</row>
    <row r="23">
      <c r="A23" s="54" t="n">
        <v>20</v>
      </c>
      <c r="B23" s="54" t="n">
        <v>157.4385993808866</v>
      </c>
      <c r="C23" s="54" t="n">
        <v>238.9605138399205</v>
      </c>
      <c r="D23" s="54" t="n">
        <v>397.270410694651</v>
      </c>
      <c r="E23" s="54" t="n">
        <v>642.9569697101771</v>
      </c>
      <c r="F23" s="54" t="n">
        <v>104.857316148829</v>
      </c>
      <c r="G23" s="54" t="n">
        <v>158.4592411011986</v>
      </c>
      <c r="H23" s="54" t="n">
        <v>264.4173720363125</v>
      </c>
      <c r="I23" s="54" t="n">
        <v>425.8755472397705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2025-07-01T08:47:04Z</dcterms:created>
  <dcterms:modified xmlns:dcterms="http://purl.org/dc/terms/" xmlns:xsi="http://www.w3.org/2001/XMLSchema-instance" xsi:type="dcterms:W3CDTF">2025-07-01T08:47:04Z</dcterms:modified>
</cp:coreProperties>
</file>