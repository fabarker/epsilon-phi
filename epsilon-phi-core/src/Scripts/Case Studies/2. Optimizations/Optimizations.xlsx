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7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drawings/drawing8.xml" ContentType="application/vnd.openxmlformats-officedocument.drawing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francisbarker/Repositories/Python/epsilon-phi/epsilon-phi-core/src/Scripts/Case Studies/2. Optimizations/"/>
    </mc:Choice>
  </mc:AlternateContent>
  <xr:revisionPtr revIDLastSave="0" documentId="13_ncr:1_{CBD1D73D-E7A4-264E-9907-AE9F0995F335}" xr6:coauthVersionLast="47" xr6:coauthVersionMax="47" xr10:uidLastSave="{00000000-0000-0000-0000-000000000000}"/>
  <bookViews>
    <workbookView xWindow="0" yWindow="1460" windowWidth="25540" windowHeight="25360" activeTab="2" xr2:uid="{00000000-000D-0000-FFFF-FFFF00000000}"/>
  </bookViews>
  <sheets>
    <sheet name="portfolios" sheetId="1" r:id="rId1"/>
    <sheet name="risk_dashboard" sheetId="2" r:id="rId2"/>
    <sheet name="Sheet2" sheetId="11" r:id="rId3"/>
    <sheet name="Sheet1" sheetId="10" r:id="rId4"/>
    <sheet name="assumptions" sheetId="3" r:id="rId5"/>
    <sheet name="ws_Current_Portfolio" sheetId="4" r:id="rId6"/>
    <sheet name="ws_Volatility_Matched" sheetId="5" r:id="rId7"/>
    <sheet name="ws_CVaR_Matched" sheetId="6" r:id="rId8"/>
    <sheet name="ws_Return_Matched" sheetId="7" r:id="rId9"/>
    <sheet name="ws_Max_Drawdown_Matched" sheetId="8" r:id="rId10"/>
    <sheet name="ws_Volatility_Parity" sheetId="9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" i="1" l="1" a="1"/>
  <c r="G58" i="1" s="1"/>
  <c r="G53" i="1" s="1"/>
  <c r="F58" i="1" a="1"/>
  <c r="F58" i="1" s="1"/>
  <c r="F53" i="1" s="1"/>
  <c r="E58" i="1" a="1"/>
  <c r="E58" i="1" s="1"/>
  <c r="E53" i="1" s="1"/>
  <c r="D58" i="1" a="1"/>
  <c r="D58" i="1" s="1"/>
  <c r="D53" i="1" s="1"/>
  <c r="C58" i="1" a="1"/>
  <c r="C58" i="1" s="1"/>
  <c r="C53" i="1" s="1"/>
  <c r="B58" i="1" a="1"/>
  <c r="B58" i="1" s="1"/>
  <c r="B53" i="1" s="1"/>
  <c r="C23" i="1"/>
  <c r="D23" i="1"/>
  <c r="E23" i="1"/>
  <c r="F23" i="1"/>
  <c r="G23" i="1"/>
  <c r="B23" i="1"/>
  <c r="C13" i="1"/>
  <c r="D13" i="1"/>
  <c r="E13" i="1"/>
  <c r="F13" i="1"/>
  <c r="G13" i="1"/>
  <c r="B13" i="1"/>
  <c r="G48" i="1"/>
  <c r="F48" i="1"/>
  <c r="C48" i="1"/>
  <c r="E48" i="1"/>
  <c r="D48" i="1"/>
  <c r="B48" i="1"/>
  <c r="G47" i="1"/>
  <c r="F47" i="1"/>
  <c r="C47" i="1"/>
  <c r="E47" i="1"/>
  <c r="D47" i="1"/>
  <c r="B47" i="1"/>
  <c r="E52" i="1" l="1"/>
  <c r="F51" i="1"/>
  <c r="D52" i="1"/>
  <c r="E51" i="1"/>
  <c r="B51" i="1"/>
  <c r="G52" i="1"/>
  <c r="C52" i="1"/>
  <c r="D51" i="1"/>
  <c r="B52" i="1"/>
  <c r="F52" i="1"/>
  <c r="G51" i="1"/>
  <c r="C5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<sst xmlns="http://schemas.openxmlformats.org/spreadsheetml/2006/main" count="382" uniqueCount="137">
  <si>
    <t>Current Portfolio</t>
  </si>
  <si>
    <t>Volatility Matched</t>
  </si>
  <si>
    <t>Return Matched</t>
  </si>
  <si>
    <t>Volatility Parity</t>
  </si>
  <si>
    <t>Investment Grade Fixed Income</t>
  </si>
  <si>
    <t xml:space="preserve">  US Dollar Debt</t>
  </si>
  <si>
    <t xml:space="preserve">  US Short Duration Debt</t>
  </si>
  <si>
    <t xml:space="preserve">  US Inflation Protected Bonds</t>
  </si>
  <si>
    <t xml:space="preserve">  US Corporate Bonds</t>
  </si>
  <si>
    <t>Other Fixed Income</t>
  </si>
  <si>
    <t xml:space="preserve">  US High Yield</t>
  </si>
  <si>
    <t xml:space="preserve">  EM External Debt</t>
  </si>
  <si>
    <t>Public Equity</t>
  </si>
  <si>
    <t xml:space="preserve">  Global Equities (ACWI)</t>
  </si>
  <si>
    <t xml:space="preserve">  US Large Cap Growth Equity</t>
  </si>
  <si>
    <t xml:space="preserve">  US Large Cap Value Equity</t>
  </si>
  <si>
    <t xml:space="preserve">  US Small Cap Equity</t>
  </si>
  <si>
    <t xml:space="preserve">  Europe ex-UK Equity</t>
  </si>
  <si>
    <t xml:space="preserve">  UK Equity</t>
  </si>
  <si>
    <t xml:space="preserve">  Japanese Equity</t>
  </si>
  <si>
    <t xml:space="preserve">  Asia-Pacific Equity</t>
  </si>
  <si>
    <t xml:space="preserve">  Emerging Market Equity</t>
  </si>
  <si>
    <t xml:space="preserve">  Global REITs</t>
  </si>
  <si>
    <t xml:space="preserve">  Infrastructure Equity</t>
  </si>
  <si>
    <t>Hedge Funds</t>
  </si>
  <si>
    <t xml:space="preserve">  Multi-Strategy</t>
  </si>
  <si>
    <t xml:space="preserve">  Event Driven</t>
  </si>
  <si>
    <t xml:space="preserve">  Equity Long/Short</t>
  </si>
  <si>
    <t xml:space="preserve">  Tactical Trading</t>
  </si>
  <si>
    <t>Private Equity</t>
  </si>
  <si>
    <t xml:space="preserve">  Buyout</t>
  </si>
  <si>
    <t xml:space="preserve">  Growth</t>
  </si>
  <si>
    <t xml:space="preserve">  Venture</t>
  </si>
  <si>
    <t>Other Private Assets</t>
  </si>
  <si>
    <t xml:space="preserve">  Private Credit</t>
  </si>
  <si>
    <t xml:space="preserve">  Core Real Estate</t>
  </si>
  <si>
    <t xml:space="preserve">  Infrastructure</t>
  </si>
  <si>
    <t>Cash, Money Markets and Deposits</t>
  </si>
  <si>
    <t xml:space="preserve">  Leverage (SOFR + 1%)</t>
  </si>
  <si>
    <t>TOTAL</t>
  </si>
  <si>
    <t>Estimated Mean Return</t>
  </si>
  <si>
    <t>Sharpe Ratio</t>
  </si>
  <si>
    <t>Volatility</t>
  </si>
  <si>
    <t>Factor Based Risk Analytics</t>
  </si>
  <si>
    <t>Predicted Performance Over Stress Periods</t>
  </si>
  <si>
    <t>Nominal</t>
  </si>
  <si>
    <t>Real</t>
  </si>
  <si>
    <t xml:space="preserve">  Oil Embargo</t>
  </si>
  <si>
    <t xml:space="preserve">  US Inflation / Iranian Revolution</t>
  </si>
  <si>
    <t xml:space="preserve">  US Stagflation</t>
  </si>
  <si>
    <t xml:space="preserve">  Black Monday</t>
  </si>
  <si>
    <t xml:space="preserve">  Bond Crisis</t>
  </si>
  <si>
    <t xml:space="preserve">  Russian Default / LTCM Collapse</t>
  </si>
  <si>
    <t xml:space="preserve">  Tech Meltdown</t>
  </si>
  <si>
    <t xml:space="preserve">  Financial Crisis</t>
  </si>
  <si>
    <t xml:space="preserve">  Covid-19</t>
  </si>
  <si>
    <t>Value at Risk with 99% Confidence</t>
  </si>
  <si>
    <t xml:space="preserve">  Over 1 Month</t>
  </si>
  <si>
    <t xml:space="preserve">  Over 1 Year</t>
  </si>
  <si>
    <t xml:space="preserve">  Over 3 Years</t>
  </si>
  <si>
    <t>Conditional Value at Risk with 99% Confidence</t>
  </si>
  <si>
    <t>Probability of Loss</t>
  </si>
  <si>
    <t>Portfolio Risk Premia</t>
  </si>
  <si>
    <t>Long-Term Estimates</t>
  </si>
  <si>
    <t>Modelling Dates</t>
  </si>
  <si>
    <t>Risk Premia
 with Estimated Range</t>
  </si>
  <si>
    <t>Estimated Mean Return
(2.5% Risk Free Rate)</t>
  </si>
  <si>
    <t>Hedging Ratio</t>
  </si>
  <si>
    <t>From</t>
  </si>
  <si>
    <t>To</t>
  </si>
  <si>
    <t xml:space="preserve">    US Dollar Debt</t>
  </si>
  <si>
    <t xml:space="preserve">    US Short Duration Debt</t>
  </si>
  <si>
    <t xml:space="preserve">    US Inflation Protected Bonds</t>
  </si>
  <si>
    <t xml:space="preserve">    US Corporate Bonds</t>
  </si>
  <si>
    <t xml:space="preserve">    US High Yield</t>
  </si>
  <si>
    <t xml:space="preserve">    EM External Debt</t>
  </si>
  <si>
    <t xml:space="preserve">    Global Equities (ACWI)</t>
  </si>
  <si>
    <t xml:space="preserve">    US Large Cap Growth Equity</t>
  </si>
  <si>
    <t xml:space="preserve">    US Large Cap Value Equity</t>
  </si>
  <si>
    <t xml:space="preserve">    US Small Cap Equity</t>
  </si>
  <si>
    <t xml:space="preserve">    Europe ex-UK Equity</t>
  </si>
  <si>
    <t xml:space="preserve">    UK Equity</t>
  </si>
  <si>
    <t xml:space="preserve">    Japanese Equity</t>
  </si>
  <si>
    <t xml:space="preserve">    Asia-Pacific Equity</t>
  </si>
  <si>
    <t xml:space="preserve">    Emerging Market Equity</t>
  </si>
  <si>
    <t xml:space="preserve">    Global REITs</t>
  </si>
  <si>
    <t xml:space="preserve">    Infrastructure Equity</t>
  </si>
  <si>
    <t xml:space="preserve">    Multi-Strategy</t>
  </si>
  <si>
    <t xml:space="preserve">    Event Driven</t>
  </si>
  <si>
    <t xml:space="preserve">    Equity Long/Short</t>
  </si>
  <si>
    <t xml:space="preserve">    Tactical Trading</t>
  </si>
  <si>
    <t xml:space="preserve">    Buyout</t>
  </si>
  <si>
    <t xml:space="preserve">    Growth</t>
  </si>
  <si>
    <t xml:space="preserve">    Venture</t>
  </si>
  <si>
    <t xml:space="preserve">    Private Credit</t>
  </si>
  <si>
    <t xml:space="preserve">    Core Real Estate</t>
  </si>
  <si>
    <t xml:space="preserve">    Infrastructure</t>
  </si>
  <si>
    <t xml:space="preserve">    Leverage (SOFR + 1%)</t>
  </si>
  <si>
    <t>nominal</t>
  </si>
  <si>
    <t>real</t>
  </si>
  <si>
    <t>net_flows</t>
  </si>
  <si>
    <t>real_net_flows</t>
  </si>
  <si>
    <t>1st %ile</t>
  </si>
  <si>
    <t>10th %ile</t>
  </si>
  <si>
    <t>50th %ile</t>
  </si>
  <si>
    <t>90th %ile</t>
  </si>
  <si>
    <t>Value at Risk (99% Over 1 Year)</t>
  </si>
  <si>
    <t>Covid-19 Loss</t>
  </si>
  <si>
    <t>US Equity</t>
  </si>
  <si>
    <t>Income Equity</t>
  </si>
  <si>
    <t>VaR Matched</t>
  </si>
  <si>
    <t>Covid-19 Loss Matched</t>
  </si>
  <si>
    <t>Value of $100 in 20 Years</t>
  </si>
  <si>
    <t>Good Case (90th Percentile)</t>
  </si>
  <si>
    <t>Base Case (Median)</t>
  </si>
  <si>
    <t>Bad Case (1st Percentile)</t>
  </si>
  <si>
    <t>Equity</t>
  </si>
  <si>
    <t>Term</t>
  </si>
  <si>
    <t>Leverage</t>
  </si>
  <si>
    <t>Liquidity</t>
  </si>
  <si>
    <t>Carry</t>
  </si>
  <si>
    <t>Emerging Markets</t>
  </si>
  <si>
    <t>EM</t>
  </si>
  <si>
    <t>Risk Specific to Emerging Markets</t>
  </si>
  <si>
    <t>Market Risk: Earnings Growth/Discount Rate</t>
  </si>
  <si>
    <t>Inflation and Interest Rate Risk</t>
  </si>
  <si>
    <t>Risk Embedded in Carry Trades</t>
  </si>
  <si>
    <t>Risk in Short-Term Funding Conditions</t>
  </si>
  <si>
    <t>Risk in Market-wide Liquidity Conditions</t>
  </si>
  <si>
    <t>Non-US Developed Equity</t>
  </si>
  <si>
    <t>Risk Matched Portfolio Optimizations</t>
  </si>
  <si>
    <t>Value at Risk</t>
  </si>
  <si>
    <t>-</t>
  </si>
  <si>
    <t>Short-Term Funding Risk</t>
  </si>
  <si>
    <t>Market-wide Liquidity Risk</t>
  </si>
  <si>
    <t>Compensated For</t>
  </si>
  <si>
    <t>Consumption Risk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</si>
</sst>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1" x14ac:knownFonts="1">
    <font>
      <sz val="11"/>
      <color theme="1"/>
      <name val="Calibri"/>
      <family val="2"/>
      <scheme val="minor"/>
    </font>
    <font>
      <sz val="12.5"/>
      <name val="Calibri Light"/>
      <family val="2"/>
    </font>
    <font>
      <sz val="12.5"/>
      <name val="Arial"/>
      <family val="2"/>
    </font>
    <font>
      <sz val="12.5"/>
      <color rgb="FFFFFFFF"/>
      <name val="Calibri"/>
      <family val="2"/>
    </font>
    <font>
      <sz val="12"/>
      <color rgb="FFFFFFFF"/>
      <name val="Aptos Narrow"/>
    </font>
    <font>
      <sz val="12"/>
      <name val="Aptos Narrow"/>
    </font>
    <font>
      <b/>
      <sz val="12"/>
      <color rgb="FF092539"/>
      <name val="Aptos Narrow"/>
    </font>
    <font>
      <sz val="11"/>
      <name val="Grotesque"/>
    </font>
    <font>
      <b/>
      <sz val="11"/>
      <color rgb="FF0F243E"/>
      <name val="Grotesque"/>
    </font>
    <font>
      <sz val="11"/>
      <color rgb="FFC00000"/>
      <name val="Grotesque"/>
    </font>
    <font>
      <sz val="11"/>
      <color rgb="FF039644"/>
      <name val="Grotesque"/>
    </font>
    <font>
      <b/>
      <sz val="11"/>
      <color rgb="FF039644"/>
      <name val="Grotesque"/>
    </font>
    <font>
      <sz val="12.5"/>
      <color rgb="FFFFFF00"/>
      <name val="Calibri"/>
      <family val="2"/>
    </font>
    <font>
      <u/>
      <sz val="12.5"/>
      <color rgb="FFFFFFFF"/>
      <name val="Calibri"/>
      <family val="2"/>
    </font>
    <font>
      <sz val="12.5"/>
      <color rgb="FFFF0000"/>
      <name val="Calibri"/>
      <family val="2"/>
    </font>
    <font>
      <sz val="12.5"/>
      <color rgb="FF00B050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Arial"/>
      <family val="2"/>
    </font>
    <font>
      <sz val="11"/>
      <color theme="1"/>
      <name val="Arial"/>
      <family val="2"/>
    </font>
    <font>
      <sz val="7"/>
      <color theme="0"/>
      <name val="Aptos Light"/>
    </font>
    <font>
      <sz val="7"/>
      <color theme="1"/>
      <name val="Aptos Light"/>
    </font>
  </fonts>
  <fills count="2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DEA"/>
      </patternFill>
    </fill>
    <fill>
      <patternFill patternType="solid">
        <fgColor rgb="FF0F243E"/>
      </patternFill>
    </fill>
    <fill>
      <patternFill patternType="solid">
        <fgColor rgb="FF092532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 tint="4.9989318521683403E-2"/>
        <bgColor indexed="64"/>
      </patternFill>
    </fill>
  </fills>
  <borders count="39">
    <border>
      <left/>
      <right/>
      <top/>
      <bottom/>
      <diagonal/>
    </border>
    <border>
      <left/>
      <right/>
      <top/>
      <bottom/>
      <diagonal/>
    </border>
    <border>
      <left/>
      <right/>
      <top style="dotted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hair">
        <color rgb="FF737373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dotted">
        <color rgb="FFA9A9A9"/>
      </top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/>
      <bottom style="dotted">
        <color rgb="FFA9A9A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dotted">
        <color auto="1"/>
      </bottom>
      <diagonal/>
    </border>
    <border>
      <left/>
      <right/>
      <top style="thin">
        <color theme="0"/>
      </top>
      <bottom style="dotted">
        <color auto="1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 style="dotted">
        <color auto="1"/>
      </top>
      <bottom/>
      <diagonal/>
    </border>
    <border>
      <left/>
      <right style="thin">
        <color theme="0"/>
      </right>
      <top style="dotted">
        <color auto="1"/>
      </top>
      <bottom/>
      <diagonal/>
    </border>
    <border>
      <left style="thin">
        <color theme="0"/>
      </left>
      <right/>
      <top/>
      <bottom style="thin">
        <color theme="0" tint="-0.14996795556505021"/>
      </bottom>
      <diagonal/>
    </border>
    <border>
      <left/>
      <right style="thin">
        <color theme="0"/>
      </right>
      <top/>
      <bottom style="thin">
        <color theme="0" tint="-0.14996795556505021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 tint="-0.499984740745262"/>
      </bottom>
      <diagonal/>
    </border>
    <border>
      <left/>
      <right/>
      <top/>
      <bottom style="dotted">
        <color auto="1"/>
      </bottom>
      <diagonal/>
    </border>
    <border>
      <left/>
      <right style="thin">
        <color theme="0"/>
      </right>
      <top/>
      <bottom style="dotted">
        <color auto="1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 tint="-0.499984740745262"/>
      </bottom>
      <diagonal/>
    </border>
    <border>
      <left/>
      <right style="hair">
        <color theme="0" tint="-0.499984740745262"/>
      </right>
      <top style="dotted">
        <color rgb="FFA9A9A9"/>
      </top>
      <bottom/>
      <diagonal/>
    </border>
    <border>
      <left/>
      <right style="hair">
        <color theme="0" tint="-0.499984740745262"/>
      </right>
      <top/>
      <bottom/>
      <diagonal/>
    </border>
    <border>
      <left/>
      <right style="hair">
        <color theme="0" tint="-0.499984740745262"/>
      </right>
      <top/>
      <bottom style="dotted">
        <color rgb="FFA9A9A9"/>
      </bottom>
      <diagonal/>
    </border>
    <border>
      <left/>
      <right style="hair">
        <color theme="0" tint="-0.499984740745262"/>
      </right>
      <top/>
      <bottom style="thin">
        <color theme="0" tint="-0.14996795556505021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dotted">
        <color rgb="FFA9A9A9"/>
      </top>
      <bottom/>
      <diagonal/>
    </border>
    <border>
      <left/>
      <right style="thin">
        <color theme="0"/>
      </right>
      <top style="dotted">
        <color rgb="FFA9A9A9"/>
      </top>
      <bottom/>
      <diagonal/>
    </border>
    <border>
      <left/>
      <right style="thin">
        <color theme="0"/>
      </right>
      <top/>
      <bottom style="dotted">
        <color rgb="FFA9A9A9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49">
    <xf numFmtId="0" fontId="0" fillId="0" borderId="0" xfId="0"/>
    <xf numFmtId="164" fontId="1" fillId="3" borderId="1" xfId="0" applyNumberFormat="1" applyFont="1" applyFill="1" applyBorder="1" applyAlignment="1">
      <alignment horizontal="right" vertical="center" indent="4"/>
    </xf>
    <xf numFmtId="165" fontId="1" fillId="2" borderId="1" xfId="0" applyNumberFormat="1" applyFont="1" applyFill="1" applyBorder="1" applyAlignment="1">
      <alignment horizontal="right" vertical="center" indent="4"/>
    </xf>
    <xf numFmtId="164" fontId="1" fillId="2" borderId="2" xfId="0" applyNumberFormat="1" applyFont="1" applyFill="1" applyBorder="1" applyAlignment="1">
      <alignment horizontal="right" indent="4"/>
    </xf>
    <xf numFmtId="0" fontId="2" fillId="2" borderId="1" xfId="0" applyFont="1" applyFill="1" applyBorder="1"/>
    <xf numFmtId="164" fontId="3" fillId="4" borderId="1" xfId="0" applyNumberFormat="1" applyFont="1" applyFill="1" applyBorder="1" applyAlignment="1">
      <alignment horizontal="right" vertical="center" indent="4"/>
    </xf>
    <xf numFmtId="2" fontId="3" fillId="4" borderId="1" xfId="0" applyNumberFormat="1" applyFont="1" applyFill="1" applyBorder="1" applyAlignment="1">
      <alignment horizontal="right" vertical="center" indent="4"/>
    </xf>
    <xf numFmtId="0" fontId="4" fillId="5" borderId="1" xfId="0" applyFont="1" applyFill="1" applyBorder="1" applyAlignment="1">
      <alignment horizontal="center" vertical="center"/>
    </xf>
    <xf numFmtId="164" fontId="5" fillId="6" borderId="1" xfId="0" applyNumberFormat="1" applyFont="1" applyFill="1" applyBorder="1" applyAlignment="1">
      <alignment horizontal="center"/>
    </xf>
    <xf numFmtId="0" fontId="7" fillId="6" borderId="1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vertical="center"/>
    </xf>
    <xf numFmtId="0" fontId="7" fillId="6" borderId="3" xfId="0" applyFont="1" applyFill="1" applyBorder="1" applyAlignment="1">
      <alignment horizontal="center" vertical="center" wrapText="1"/>
    </xf>
    <xf numFmtId="0" fontId="8" fillId="6" borderId="1" xfId="0" applyFont="1" applyFill="1" applyBorder="1"/>
    <xf numFmtId="0" fontId="8" fillId="6" borderId="1" xfId="0" applyFont="1" applyFill="1" applyBorder="1" applyAlignment="1">
      <alignment horizontal="center"/>
    </xf>
    <xf numFmtId="2" fontId="8" fillId="6" borderId="1" xfId="0" applyNumberFormat="1" applyFont="1" applyFill="1" applyBorder="1" applyAlignment="1">
      <alignment horizontal="center"/>
    </xf>
    <xf numFmtId="0" fontId="7" fillId="6" borderId="1" xfId="0" applyFont="1" applyFill="1" applyBorder="1"/>
    <xf numFmtId="164" fontId="9" fillId="6" borderId="1" xfId="0" applyNumberFormat="1" applyFont="1" applyFill="1" applyBorder="1" applyAlignment="1">
      <alignment horizontal="right"/>
    </xf>
    <xf numFmtId="164" fontId="7" fillId="6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 applyAlignment="1">
      <alignment horizontal="left"/>
    </xf>
    <xf numFmtId="2" fontId="7" fillId="6" borderId="1" xfId="0" applyNumberFormat="1" applyFont="1" applyFill="1" applyBorder="1" applyAlignment="1">
      <alignment horizontal="center"/>
    </xf>
    <xf numFmtId="9" fontId="7" fillId="6" borderId="1" xfId="0" applyNumberFormat="1" applyFont="1" applyFill="1" applyBorder="1" applyAlignment="1">
      <alignment horizontal="center"/>
    </xf>
    <xf numFmtId="17" fontId="7" fillId="6" borderId="1" xfId="0" applyNumberFormat="1" applyFont="1" applyFill="1" applyBorder="1" applyAlignment="1">
      <alignment horizontal="center"/>
    </xf>
    <xf numFmtId="0" fontId="8" fillId="6" borderId="4" xfId="0" applyFont="1" applyFill="1" applyBorder="1"/>
    <xf numFmtId="164" fontId="8" fillId="6" borderId="4" xfId="0" applyNumberFormat="1" applyFont="1" applyFill="1" applyBorder="1" applyAlignment="1">
      <alignment horizontal="right"/>
    </xf>
    <xf numFmtId="164" fontId="8" fillId="6" borderId="4" xfId="0" applyNumberFormat="1" applyFont="1" applyFill="1" applyBorder="1" applyAlignment="1">
      <alignment horizontal="center"/>
    </xf>
    <xf numFmtId="164" fontId="11" fillId="6" borderId="4" xfId="0" applyNumberFormat="1" applyFont="1" applyFill="1" applyBorder="1" applyAlignment="1">
      <alignment horizontal="left"/>
    </xf>
    <xf numFmtId="2" fontId="8" fillId="6" borderId="4" xfId="0" applyNumberFormat="1" applyFont="1" applyFill="1" applyBorder="1" applyAlignment="1">
      <alignment horizontal="center"/>
    </xf>
    <xf numFmtId="9" fontId="8" fillId="6" borderId="4" xfId="0" applyNumberFormat="1" applyFont="1" applyFill="1" applyBorder="1" applyAlignment="1">
      <alignment horizontal="center"/>
    </xf>
    <xf numFmtId="17" fontId="8" fillId="6" borderId="4" xfId="0" applyNumberFormat="1" applyFont="1" applyFill="1" applyBorder="1" applyAlignment="1">
      <alignment horizontal="center"/>
    </xf>
    <xf numFmtId="0" fontId="7" fillId="6" borderId="3" xfId="0" applyFont="1" applyFill="1" applyBorder="1"/>
    <xf numFmtId="164" fontId="9" fillId="6" borderId="3" xfId="0" applyNumberFormat="1" applyFont="1" applyFill="1" applyBorder="1" applyAlignment="1">
      <alignment horizontal="right"/>
    </xf>
    <xf numFmtId="164" fontId="7" fillId="6" borderId="3" xfId="0" applyNumberFormat="1" applyFont="1" applyFill="1" applyBorder="1" applyAlignment="1">
      <alignment horizontal="center"/>
    </xf>
    <xf numFmtId="164" fontId="10" fillId="6" borderId="3" xfId="0" applyNumberFormat="1" applyFont="1" applyFill="1" applyBorder="1" applyAlignment="1">
      <alignment horizontal="left"/>
    </xf>
    <xf numFmtId="2" fontId="7" fillId="6" borderId="3" xfId="0" applyNumberFormat="1" applyFont="1" applyFill="1" applyBorder="1" applyAlignment="1">
      <alignment horizontal="center"/>
    </xf>
    <xf numFmtId="9" fontId="7" fillId="6" borderId="3" xfId="0" applyNumberFormat="1" applyFont="1" applyFill="1" applyBorder="1" applyAlignment="1">
      <alignment horizontal="center"/>
    </xf>
    <xf numFmtId="17" fontId="7" fillId="6" borderId="3" xfId="0" applyNumberFormat="1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12" fillId="4" borderId="1" xfId="0" applyNumberFormat="1" applyFont="1" applyFill="1" applyBorder="1" applyAlignment="1">
      <alignment horizontal="right" vertical="center" indent="4"/>
    </xf>
    <xf numFmtId="164" fontId="3" fillId="4" borderId="7" xfId="0" applyNumberFormat="1" applyFont="1" applyFill="1" applyBorder="1" applyAlignment="1">
      <alignment horizontal="right" vertical="center" indent="4"/>
    </xf>
    <xf numFmtId="164" fontId="12" fillId="4" borderId="7" xfId="0" applyNumberFormat="1" applyFont="1" applyFill="1" applyBorder="1" applyAlignment="1">
      <alignment horizontal="right" vertical="center" indent="4"/>
    </xf>
    <xf numFmtId="0" fontId="5" fillId="6" borderId="6" xfId="0" applyFont="1" applyFill="1" applyBorder="1" applyAlignment="1">
      <alignment horizontal="center"/>
    </xf>
    <xf numFmtId="0" fontId="0" fillId="0" borderId="1" xfId="0" applyBorder="1"/>
    <xf numFmtId="0" fontId="0" fillId="7" borderId="0" xfId="0" applyFill="1"/>
    <xf numFmtId="165" fontId="15" fillId="4" borderId="1" xfId="0" applyNumberFormat="1" applyFont="1" applyFill="1" applyBorder="1" applyAlignment="1">
      <alignment horizontal="right" vertical="center" indent="4"/>
    </xf>
    <xf numFmtId="165" fontId="3" fillId="4" borderId="1" xfId="0" applyNumberFormat="1" applyFont="1" applyFill="1" applyBorder="1" applyAlignment="1">
      <alignment horizontal="right" vertical="center" indent="4"/>
    </xf>
    <xf numFmtId="164" fontId="0" fillId="0" borderId="0" xfId="1" applyNumberFormat="1" applyFont="1"/>
    <xf numFmtId="0" fontId="0" fillId="7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7" borderId="0" xfId="0" applyFill="1" applyAlignment="1">
      <alignment vertical="center"/>
    </xf>
    <xf numFmtId="0" fontId="0" fillId="0" borderId="0" xfId="0" applyAlignment="1">
      <alignment vertical="center"/>
    </xf>
    <xf numFmtId="0" fontId="17" fillId="8" borderId="9" xfId="0" applyFont="1" applyFill="1" applyBorder="1" applyAlignment="1">
      <alignment horizontal="center" vertical="center"/>
    </xf>
    <xf numFmtId="0" fontId="18" fillId="7" borderId="10" xfId="0" applyFont="1" applyFill="1" applyBorder="1" applyAlignment="1">
      <alignment vertical="center"/>
    </xf>
    <xf numFmtId="0" fontId="18" fillId="7" borderId="11" xfId="0" applyFont="1" applyFill="1" applyBorder="1" applyAlignment="1">
      <alignment vertical="center"/>
    </xf>
    <xf numFmtId="0" fontId="17" fillId="12" borderId="9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9" borderId="9" xfId="0" applyFont="1" applyFill="1" applyBorder="1" applyAlignment="1">
      <alignment horizontal="center" vertical="center"/>
    </xf>
    <xf numFmtId="0" fontId="17" fillId="10" borderId="9" xfId="0" applyFont="1" applyFill="1" applyBorder="1" applyAlignment="1">
      <alignment horizontal="center" vertical="center"/>
    </xf>
    <xf numFmtId="0" fontId="18" fillId="11" borderId="12" xfId="0" applyFont="1" applyFill="1" applyBorder="1" applyAlignment="1">
      <alignment horizontal="center" vertical="center"/>
    </xf>
    <xf numFmtId="0" fontId="18" fillId="7" borderId="5" xfId="0" applyFont="1" applyFill="1" applyBorder="1" applyAlignment="1">
      <alignment vertical="center"/>
    </xf>
    <xf numFmtId="0" fontId="18" fillId="7" borderId="13" xfId="0" applyFont="1" applyFill="1" applyBorder="1" applyAlignment="1">
      <alignment vertical="center"/>
    </xf>
    <xf numFmtId="0" fontId="0" fillId="7" borderId="1" xfId="0" applyFill="1" applyBorder="1"/>
    <xf numFmtId="164" fontId="0" fillId="0" borderId="0" xfId="1" applyNumberFormat="1" applyFont="1" applyAlignment="1">
      <alignment horizontal="center"/>
    </xf>
    <xf numFmtId="164" fontId="5" fillId="6" borderId="1" xfId="0" applyNumberFormat="1" applyFont="1" applyFill="1" applyBorder="1" applyAlignment="1">
      <alignment horizontal="center"/>
    </xf>
    <xf numFmtId="0" fontId="0" fillId="0" borderId="1" xfId="0" applyBorder="1"/>
    <xf numFmtId="164" fontId="5" fillId="6" borderId="6" xfId="0" applyNumberFormat="1" applyFont="1" applyFill="1" applyBorder="1" applyAlignment="1">
      <alignment horizontal="center"/>
    </xf>
    <xf numFmtId="2" fontId="5" fillId="6" borderId="1" xfId="0" applyNumberFormat="1" applyFont="1" applyFill="1" applyBorder="1" applyAlignment="1">
      <alignment horizontal="center"/>
    </xf>
    <xf numFmtId="0" fontId="0" fillId="0" borderId="6" xfId="0" applyBorder="1"/>
    <xf numFmtId="164" fontId="5" fillId="6" borderId="8" xfId="0" applyNumberFormat="1" applyFont="1" applyFill="1" applyBorder="1" applyAlignment="1">
      <alignment horizontal="center"/>
    </xf>
    <xf numFmtId="164" fontId="5" fillId="6" borderId="7" xfId="0" applyNumberFormat="1" applyFont="1" applyFill="1" applyBorder="1" applyAlignment="1">
      <alignment horizontal="center"/>
    </xf>
    <xf numFmtId="0" fontId="7" fillId="6" borderId="3" xfId="0" applyFont="1" applyFill="1" applyBorder="1" applyAlignment="1">
      <alignment horizontal="center" vertical="center"/>
    </xf>
    <xf numFmtId="0" fontId="0" fillId="0" borderId="5" xfId="0" applyBorder="1"/>
    <xf numFmtId="0" fontId="7" fillId="6" borderId="3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left" vertical="center"/>
    </xf>
    <xf numFmtId="164" fontId="1" fillId="3" borderId="17" xfId="0" applyNumberFormat="1" applyFont="1" applyFill="1" applyBorder="1" applyAlignment="1">
      <alignment horizontal="right" vertical="center" indent="4"/>
    </xf>
    <xf numFmtId="0" fontId="1" fillId="2" borderId="16" xfId="0" applyFont="1" applyFill="1" applyBorder="1" applyAlignment="1">
      <alignment horizontal="left" vertical="center"/>
    </xf>
    <xf numFmtId="165" fontId="1" fillId="2" borderId="17" xfId="0" applyNumberFormat="1" applyFont="1" applyFill="1" applyBorder="1" applyAlignment="1">
      <alignment horizontal="right" vertical="center" indent="4"/>
    </xf>
    <xf numFmtId="0" fontId="1" fillId="2" borderId="16" xfId="0" applyFont="1" applyFill="1" applyBorder="1" applyAlignment="1">
      <alignment horizontal="left" vertical="center" indent="1"/>
    </xf>
    <xf numFmtId="0" fontId="1" fillId="2" borderId="18" xfId="0" applyFont="1" applyFill="1" applyBorder="1"/>
    <xf numFmtId="164" fontId="1" fillId="2" borderId="19" xfId="0" applyNumberFormat="1" applyFont="1" applyFill="1" applyBorder="1" applyAlignment="1">
      <alignment horizontal="right" indent="4"/>
    </xf>
    <xf numFmtId="0" fontId="2" fillId="2" borderId="16" xfId="0" applyFont="1" applyFill="1" applyBorder="1"/>
    <xf numFmtId="0" fontId="2" fillId="2" borderId="17" xfId="0" applyFont="1" applyFill="1" applyBorder="1"/>
    <xf numFmtId="164" fontId="3" fillId="4" borderId="16" xfId="0" applyNumberFormat="1" applyFont="1" applyFill="1" applyBorder="1" applyAlignment="1">
      <alignment vertical="center"/>
    </xf>
    <xf numFmtId="164" fontId="3" fillId="4" borderId="17" xfId="0" applyNumberFormat="1" applyFont="1" applyFill="1" applyBorder="1" applyAlignment="1">
      <alignment horizontal="right" vertical="center" indent="4"/>
    </xf>
    <xf numFmtId="2" fontId="3" fillId="4" borderId="17" xfId="0" applyNumberFormat="1" applyFont="1" applyFill="1" applyBorder="1" applyAlignment="1">
      <alignment horizontal="right" vertical="center" indent="4"/>
    </xf>
    <xf numFmtId="164" fontId="3" fillId="4" borderId="20" xfId="0" applyNumberFormat="1" applyFont="1" applyFill="1" applyBorder="1" applyAlignment="1">
      <alignment vertical="center"/>
    </xf>
    <xf numFmtId="164" fontId="3" fillId="4" borderId="21" xfId="0" applyNumberFormat="1" applyFont="1" applyFill="1" applyBorder="1" applyAlignment="1">
      <alignment horizontal="right" vertical="center" indent="4"/>
    </xf>
    <xf numFmtId="0" fontId="0" fillId="7" borderId="16" xfId="0" applyFill="1" applyBorder="1"/>
    <xf numFmtId="0" fontId="0" fillId="7" borderId="17" xfId="0" applyFill="1" applyBorder="1"/>
    <xf numFmtId="164" fontId="13" fillId="4" borderId="16" xfId="0" applyNumberFormat="1" applyFont="1" applyFill="1" applyBorder="1" applyAlignment="1">
      <alignment vertical="center"/>
    </xf>
    <xf numFmtId="164" fontId="15" fillId="4" borderId="16" xfId="0" applyNumberFormat="1" applyFont="1" applyFill="1" applyBorder="1" applyAlignment="1">
      <alignment horizontal="left" vertical="center" indent="1"/>
    </xf>
    <xf numFmtId="165" fontId="15" fillId="4" borderId="17" xfId="0" applyNumberFormat="1" applyFont="1" applyFill="1" applyBorder="1" applyAlignment="1">
      <alignment horizontal="right" vertical="center" indent="4"/>
    </xf>
    <xf numFmtId="164" fontId="3" fillId="4" borderId="16" xfId="0" applyNumberFormat="1" applyFont="1" applyFill="1" applyBorder="1" applyAlignment="1">
      <alignment horizontal="left" vertical="center" indent="1"/>
    </xf>
    <xf numFmtId="165" fontId="3" fillId="4" borderId="17" xfId="0" applyNumberFormat="1" applyFont="1" applyFill="1" applyBorder="1" applyAlignment="1">
      <alignment horizontal="right" vertical="center" indent="4"/>
    </xf>
    <xf numFmtId="164" fontId="14" fillId="4" borderId="22" xfId="0" applyNumberFormat="1" applyFont="1" applyFill="1" applyBorder="1" applyAlignment="1">
      <alignment horizontal="left" vertical="center" indent="1"/>
    </xf>
    <xf numFmtId="165" fontId="14" fillId="4" borderId="23" xfId="0" applyNumberFormat="1" applyFont="1" applyFill="1" applyBorder="1" applyAlignment="1">
      <alignment horizontal="right" vertical="center" indent="4"/>
    </xf>
    <xf numFmtId="165" fontId="14" fillId="4" borderId="24" xfId="0" applyNumberFormat="1" applyFont="1" applyFill="1" applyBorder="1" applyAlignment="1">
      <alignment horizontal="right" vertical="center" indent="4"/>
    </xf>
    <xf numFmtId="0" fontId="1" fillId="7" borderId="14" xfId="0" applyFont="1" applyFill="1" applyBorder="1" applyAlignment="1">
      <alignment vertical="center"/>
    </xf>
    <xf numFmtId="0" fontId="1" fillId="7" borderId="15" xfId="0" applyFont="1" applyFill="1" applyBorder="1" applyAlignment="1">
      <alignment horizontal="center" vertical="center" wrapText="1"/>
    </xf>
    <xf numFmtId="0" fontId="1" fillId="7" borderId="26" xfId="0" applyFont="1" applyFill="1" applyBorder="1" applyAlignment="1">
      <alignment horizontal="center" vertical="center" wrapText="1"/>
    </xf>
    <xf numFmtId="0" fontId="1" fillId="7" borderId="27" xfId="0" applyFont="1" applyFill="1" applyBorder="1" applyAlignment="1">
      <alignment horizontal="center" vertical="center" wrapText="1"/>
    </xf>
    <xf numFmtId="0" fontId="1" fillId="7" borderId="25" xfId="0" applyFont="1" applyFill="1" applyBorder="1" applyAlignment="1">
      <alignment horizontal="center" vertical="center" wrapText="1"/>
    </xf>
    <xf numFmtId="0" fontId="0" fillId="7" borderId="28" xfId="0" applyFill="1" applyBorder="1"/>
    <xf numFmtId="0" fontId="0" fillId="7" borderId="29" xfId="0" applyFill="1" applyBorder="1"/>
    <xf numFmtId="0" fontId="1" fillId="7" borderId="30" xfId="0" applyFont="1" applyFill="1" applyBorder="1" applyAlignment="1">
      <alignment horizontal="center" vertical="center" wrapText="1"/>
    </xf>
    <xf numFmtId="0" fontId="5" fillId="6" borderId="31" xfId="0" applyFont="1" applyFill="1" applyBorder="1" applyAlignment="1">
      <alignment horizontal="center"/>
    </xf>
    <xf numFmtId="164" fontId="5" fillId="6" borderId="32" xfId="0" applyNumberFormat="1" applyFont="1" applyFill="1" applyBorder="1" applyAlignment="1">
      <alignment horizontal="center"/>
    </xf>
    <xf numFmtId="164" fontId="5" fillId="6" borderId="32" xfId="0" applyNumberFormat="1" applyFont="1" applyFill="1" applyBorder="1" applyAlignment="1">
      <alignment horizontal="center"/>
    </xf>
    <xf numFmtId="164" fontId="5" fillId="6" borderId="33" xfId="0" applyNumberFormat="1" applyFont="1" applyFill="1" applyBorder="1" applyAlignment="1">
      <alignment horizontal="center"/>
    </xf>
    <xf numFmtId="164" fontId="5" fillId="6" borderId="34" xfId="0" applyNumberFormat="1" applyFont="1" applyFill="1" applyBorder="1" applyAlignment="1">
      <alignment horizontal="center"/>
    </xf>
    <xf numFmtId="0" fontId="4" fillId="5" borderId="28" xfId="0" applyFont="1" applyFill="1" applyBorder="1" applyAlignment="1">
      <alignment vertical="center"/>
    </xf>
    <xf numFmtId="0" fontId="4" fillId="5" borderId="29" xfId="0" applyFont="1" applyFill="1" applyBorder="1" applyAlignment="1">
      <alignment horizontal="center" vertical="center"/>
    </xf>
    <xf numFmtId="0" fontId="0" fillId="0" borderId="29" xfId="0" applyBorder="1"/>
    <xf numFmtId="0" fontId="0" fillId="0" borderId="35" xfId="0" applyBorder="1"/>
    <xf numFmtId="0" fontId="5" fillId="6" borderId="16" xfId="0" applyFont="1" applyFill="1" applyBorder="1"/>
    <xf numFmtId="0" fontId="0" fillId="0" borderId="17" xfId="0" applyBorder="1"/>
    <xf numFmtId="0" fontId="5" fillId="6" borderId="36" xfId="0" applyFont="1" applyFill="1" applyBorder="1"/>
    <xf numFmtId="0" fontId="0" fillId="0" borderId="37" xfId="0" applyBorder="1"/>
    <xf numFmtId="0" fontId="4" fillId="5" borderId="16" xfId="0" applyFont="1" applyFill="1" applyBorder="1" applyAlignment="1">
      <alignment vertical="center"/>
    </xf>
    <xf numFmtId="0" fontId="4" fillId="5" borderId="17" xfId="0" applyFont="1" applyFill="1" applyBorder="1" applyAlignment="1">
      <alignment horizontal="center" vertical="center"/>
    </xf>
    <xf numFmtId="0" fontId="6" fillId="6" borderId="36" xfId="0" applyFont="1" applyFill="1" applyBorder="1"/>
    <xf numFmtId="0" fontId="5" fillId="6" borderId="37" xfId="0" applyFont="1" applyFill="1" applyBorder="1" applyAlignment="1">
      <alignment horizontal="center"/>
    </xf>
    <xf numFmtId="0" fontId="5" fillId="6" borderId="16" xfId="0" applyFont="1" applyFill="1" applyBorder="1" applyAlignment="1">
      <alignment horizontal="left" indent="1"/>
    </xf>
    <xf numFmtId="164" fontId="5" fillId="6" borderId="17" xfId="0" applyNumberFormat="1" applyFont="1" applyFill="1" applyBorder="1" applyAlignment="1">
      <alignment horizontal="center"/>
    </xf>
    <xf numFmtId="164" fontId="5" fillId="6" borderId="17" xfId="0" applyNumberFormat="1" applyFont="1" applyFill="1" applyBorder="1" applyAlignment="1">
      <alignment horizontal="center"/>
    </xf>
    <xf numFmtId="164" fontId="5" fillId="6" borderId="38" xfId="0" applyNumberFormat="1" applyFont="1" applyFill="1" applyBorder="1" applyAlignment="1">
      <alignment horizontal="center"/>
    </xf>
    <xf numFmtId="0" fontId="5" fillId="6" borderId="20" xfId="0" applyFont="1" applyFill="1" applyBorder="1" applyAlignment="1">
      <alignment horizontal="left" indent="1"/>
    </xf>
    <xf numFmtId="164" fontId="5" fillId="6" borderId="21" xfId="0" applyNumberFormat="1" applyFont="1" applyFill="1" applyBorder="1" applyAlignment="1">
      <alignment horizontal="center"/>
    </xf>
    <xf numFmtId="0" fontId="0" fillId="7" borderId="22" xfId="0" applyFill="1" applyBorder="1"/>
    <xf numFmtId="0" fontId="0" fillId="7" borderId="23" xfId="0" applyFill="1" applyBorder="1"/>
    <xf numFmtId="0" fontId="0" fillId="7" borderId="24" xfId="0" applyFill="1" applyBorder="1"/>
    <xf numFmtId="0" fontId="19" fillId="20" borderId="1" xfId="0" applyFont="1" applyFill="1" applyBorder="1" applyAlignment="1">
      <alignment horizontal="left" vertical="center"/>
    </xf>
    <xf numFmtId="0" fontId="19" fillId="20" borderId="0" xfId="0" applyFont="1" applyFill="1" applyAlignment="1">
      <alignment vertical="center"/>
    </xf>
    <xf numFmtId="0" fontId="19" fillId="7" borderId="1" xfId="0" applyFont="1" applyFill="1" applyBorder="1" applyAlignment="1">
      <alignment horizontal="left" vertical="center"/>
    </xf>
    <xf numFmtId="0" fontId="19" fillId="7" borderId="0" xfId="0" applyFont="1" applyFill="1" applyAlignment="1">
      <alignment vertical="center"/>
    </xf>
    <xf numFmtId="0" fontId="20" fillId="7" borderId="0" xfId="0" applyFont="1" applyFill="1" applyAlignment="1">
      <alignment horizontal="left" vertical="center"/>
    </xf>
    <xf numFmtId="0" fontId="19" fillId="20" borderId="16" xfId="0" applyFont="1" applyFill="1" applyBorder="1" applyAlignment="1">
      <alignment horizontal="left" vertical="center"/>
    </xf>
    <xf numFmtId="0" fontId="19" fillId="7" borderId="16" xfId="0" applyFont="1" applyFill="1" applyBorder="1" applyAlignment="1">
      <alignment horizontal="left" vertical="center"/>
    </xf>
    <xf numFmtId="0" fontId="20" fillId="14" borderId="16" xfId="0" applyFont="1" applyFill="1" applyBorder="1"/>
    <xf numFmtId="0" fontId="20" fillId="7" borderId="1" xfId="0" applyFont="1" applyFill="1" applyBorder="1"/>
    <xf numFmtId="0" fontId="20" fillId="7" borderId="1" xfId="0" applyFont="1" applyFill="1" applyBorder="1" applyAlignment="1">
      <alignment horizontal="left" vertical="center"/>
    </xf>
    <xf numFmtId="0" fontId="20" fillId="7" borderId="16" xfId="0" applyFont="1" applyFill="1" applyBorder="1"/>
    <xf numFmtId="0" fontId="20" fillId="7" borderId="1" xfId="0" applyFont="1" applyFill="1" applyBorder="1" applyAlignment="1">
      <alignment horizontal="left"/>
    </xf>
    <xf numFmtId="0" fontId="20" fillId="15" borderId="16" xfId="0" applyFont="1" applyFill="1" applyBorder="1"/>
    <xf numFmtId="0" fontId="20" fillId="16" borderId="16" xfId="0" applyFont="1" applyFill="1" applyBorder="1"/>
    <xf numFmtId="0" fontId="20" fillId="18" borderId="16" xfId="0" applyFont="1" applyFill="1" applyBorder="1"/>
    <xf numFmtId="0" fontId="20" fillId="17" borderId="16" xfId="0" applyFont="1" applyFill="1" applyBorder="1"/>
    <xf numFmtId="0" fontId="20" fillId="19" borderId="16" xfId="0" applyFont="1" applyFill="1" applyBorder="1"/>
  </cellXfs>
  <cellStyles count="2">
    <cellStyle name="Normal" xfId="0" builtinId="0"/>
    <cellStyle name="Per cent" xfId="1" builtinId="5"/>
  </cellStyles>
  <dxfs count="4">
    <dxf>
      <font>
        <color theme="0"/>
      </font>
    </dxf>
    <dxf>
      <font>
        <color rgb="FF006100"/>
      </font>
    </dxf>
    <dxf>
      <font>
        <color rgb="FF9C0006"/>
      </font>
    </dxf>
    <dxf>
      <font>
        <color theme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94395347462172E-2"/>
          <c:y val="0.1424587844488189"/>
          <c:w val="0.83961120930507571"/>
          <c:h val="0.74435100885826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6EE6-4443-A595-D655EDFE9A2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6EE6-4443-A595-D655EDFE9A29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6EE6-4443-A595-D655EDFE9A2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6EE6-4443-A595-D655EDFE9A29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6EE6-4443-A595-D655EDFE9A2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6EE6-4443-A595-D655EDFE9A29}"/>
              </c:ext>
            </c:extLst>
          </c:dPt>
          <c:cat>
            <c:strRef>
              <c:f>risk_dashboard!$Q$54:$Q$61</c:f>
              <c:strCache>
                <c:ptCount val="7"/>
                <c:pt idx="1">
                  <c:v>Equity</c:v>
                </c:pt>
                <c:pt idx="2">
                  <c:v>Term</c:v>
                </c:pt>
                <c:pt idx="3">
                  <c:v>Leverage</c:v>
                </c:pt>
                <c:pt idx="4">
                  <c:v>Liquidity</c:v>
                </c:pt>
                <c:pt idx="5">
                  <c:v>Carry</c:v>
                </c:pt>
                <c:pt idx="6">
                  <c:v>Emerging Markets</c:v>
                </c:pt>
              </c:strCache>
            </c:strRef>
          </c:cat>
          <c:val>
            <c:numRef>
              <c:f>risk_dashboard!$W$54:$W$61</c:f>
              <c:numCache>
                <c:formatCode>0.0%</c:formatCode>
                <c:ptCount val="8"/>
                <c:pt idx="0">
                  <c:v>0</c:v>
                </c:pt>
                <c:pt idx="1">
                  <c:v>2.1250038187947299E-2</c:v>
                </c:pt>
                <c:pt idx="2">
                  <c:v>1.30098666908067E-2</c:v>
                </c:pt>
                <c:pt idx="3">
                  <c:v>3.3377297465648401E-3</c:v>
                </c:pt>
                <c:pt idx="4">
                  <c:v>5.8323170074962996E-3</c:v>
                </c:pt>
                <c:pt idx="5">
                  <c:v>-6.8615323107948996E-4</c:v>
                </c:pt>
                <c:pt idx="6">
                  <c:v>1.9448384654222599E-3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6EE6-4443-A595-D655EDFE9A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1729309136"/>
        <c:axId val="1732062976"/>
      </c:barChart>
      <c:catAx>
        <c:axId val="17293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32062976"/>
        <c:crosses val="autoZero"/>
        <c:auto val="1"/>
        <c:lblAlgn val="ctr"/>
        <c:lblOffset val="100"/>
        <c:noMultiLvlLbl val="0"/>
      </c:catAx>
      <c:valAx>
        <c:axId val="1732062976"/>
        <c:scaling>
          <c:orientation val="minMax"/>
          <c:min val="-0.0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dk1">
                <a:shade val="95000"/>
                <a:satMod val="10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850"/>
            </a:pPr>
            <a:endParaRPr lang="en-US"/>
          </a:p>
        </c:txPr>
        <c:crossAx val="172930913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94395347462172E-2"/>
          <c:y val="0.1424587844488189"/>
          <c:w val="0.83961120930507571"/>
          <c:h val="0.74435100885826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C-FD9D-4D45-8312-6B8451F9330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E-FD9D-4D45-8312-6B8451F9330A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0-FD9D-4D45-8312-6B8451F9330A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2-FD9D-4D45-8312-6B8451F9330A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33-FD9D-4D45-8312-6B8451F9330A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35-FD9D-4D45-8312-6B8451F9330A}"/>
              </c:ext>
            </c:extLst>
          </c:dPt>
          <c:cat>
            <c:strRef>
              <c:f>risk_dashboard!$Q$54:$Q$61</c:f>
              <c:strCache>
                <c:ptCount val="7"/>
                <c:pt idx="1">
                  <c:v>Equity</c:v>
                </c:pt>
                <c:pt idx="2">
                  <c:v>Term</c:v>
                </c:pt>
                <c:pt idx="3">
                  <c:v>Leverage</c:v>
                </c:pt>
                <c:pt idx="4">
                  <c:v>Liquidity</c:v>
                </c:pt>
                <c:pt idx="5">
                  <c:v>Carry</c:v>
                </c:pt>
                <c:pt idx="6">
                  <c:v>Emerging Markets</c:v>
                </c:pt>
              </c:strCache>
            </c:strRef>
          </c:cat>
          <c:val>
            <c:numRef>
              <c:f>risk_dashboard!$V$54:$V$61</c:f>
              <c:numCache>
                <c:formatCode>0.0%</c:formatCode>
                <c:ptCount val="8"/>
                <c:pt idx="0">
                  <c:v>0</c:v>
                </c:pt>
                <c:pt idx="1">
                  <c:v>2.12388651715734E-2</c:v>
                </c:pt>
                <c:pt idx="2">
                  <c:v>7.2206749762327698E-3</c:v>
                </c:pt>
                <c:pt idx="3">
                  <c:v>3.5195765562646901E-3</c:v>
                </c:pt>
                <c:pt idx="4">
                  <c:v>4.3965558302868496E-3</c:v>
                </c:pt>
                <c:pt idx="5">
                  <c:v>-3.7542344819657398E-4</c:v>
                </c:pt>
                <c:pt idx="6">
                  <c:v>1.95011143619125E-3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FD9D-4D45-8312-6B8451F933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1729309136"/>
        <c:axId val="1732062976"/>
      </c:barChart>
      <c:catAx>
        <c:axId val="17293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62976"/>
        <c:crosses val="autoZero"/>
        <c:auto val="1"/>
        <c:lblAlgn val="ctr"/>
        <c:lblOffset val="100"/>
        <c:noMultiLvlLbl val="0"/>
      </c:catAx>
      <c:valAx>
        <c:axId val="1732062976"/>
        <c:scaling>
          <c:orientation val="minMax"/>
          <c:min val="-0.0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dk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0913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94395347462172E-2"/>
          <c:y val="0.1424587844488189"/>
          <c:w val="0.83961120930507571"/>
          <c:h val="0.74435100885826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9-99EE-134E-A501-BC41092EDAD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B-99EE-134E-A501-BC41092EDAD6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D-99EE-134E-A501-BC41092EDAD6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F-99EE-134E-A501-BC41092EDAD6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20-99EE-134E-A501-BC41092EDAD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22-99EE-134E-A501-BC41092EDAD6}"/>
              </c:ext>
            </c:extLst>
          </c:dPt>
          <c:cat>
            <c:strRef>
              <c:f>risk_dashboard!$Q$54:$Q$61</c:f>
              <c:strCache>
                <c:ptCount val="7"/>
                <c:pt idx="1">
                  <c:v>Equity</c:v>
                </c:pt>
                <c:pt idx="2">
                  <c:v>Term</c:v>
                </c:pt>
                <c:pt idx="3">
                  <c:v>Leverage</c:v>
                </c:pt>
                <c:pt idx="4">
                  <c:v>Liquidity</c:v>
                </c:pt>
                <c:pt idx="5">
                  <c:v>Carry</c:v>
                </c:pt>
                <c:pt idx="6">
                  <c:v>Emerging Markets</c:v>
                </c:pt>
              </c:strCache>
            </c:strRef>
          </c:cat>
          <c:val>
            <c:numRef>
              <c:f>risk_dashboard!$U$54:$U$61</c:f>
              <c:numCache>
                <c:formatCode>0.0%</c:formatCode>
                <c:ptCount val="8"/>
                <c:pt idx="0">
                  <c:v>0</c:v>
                </c:pt>
                <c:pt idx="1">
                  <c:v>1.64487900759838E-2</c:v>
                </c:pt>
                <c:pt idx="2">
                  <c:v>6.1144890175538497E-3</c:v>
                </c:pt>
                <c:pt idx="3">
                  <c:v>2.2683787896170698E-3</c:v>
                </c:pt>
                <c:pt idx="4">
                  <c:v>2.7015725180697201E-3</c:v>
                </c:pt>
                <c:pt idx="5">
                  <c:v>-3.0160625404552501E-4</c:v>
                </c:pt>
                <c:pt idx="6">
                  <c:v>1.50661260035273E-3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99EE-134E-A501-BC41092ED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1729309136"/>
        <c:axId val="1732062976"/>
      </c:barChart>
      <c:catAx>
        <c:axId val="17293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62976"/>
        <c:crosses val="autoZero"/>
        <c:auto val="1"/>
        <c:lblAlgn val="ctr"/>
        <c:lblOffset val="100"/>
        <c:noMultiLvlLbl val="0"/>
      </c:catAx>
      <c:valAx>
        <c:axId val="1732062976"/>
        <c:scaling>
          <c:orientation val="minMax"/>
          <c:max val="0.03"/>
          <c:min val="-0.0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dk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0913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94395347462172E-2"/>
          <c:y val="0.1424587844488189"/>
          <c:w val="0.83961120930507571"/>
          <c:h val="0.74435100885826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2-96DB-2442-BA2E-91EA769F9AD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4-96DB-2442-BA2E-91EA769F9AD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6-96DB-2442-BA2E-91EA769F9AD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8-96DB-2442-BA2E-91EA769F9ADF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49-96DB-2442-BA2E-91EA769F9AD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4B-96DB-2442-BA2E-91EA769F9ADF}"/>
              </c:ext>
            </c:extLst>
          </c:dPt>
          <c:cat>
            <c:strRef>
              <c:f>risk_dashboard!$Q$54:$Q$61</c:f>
              <c:strCache>
                <c:ptCount val="7"/>
                <c:pt idx="1">
                  <c:v>Equity</c:v>
                </c:pt>
                <c:pt idx="2">
                  <c:v>Term</c:v>
                </c:pt>
                <c:pt idx="3">
                  <c:v>Leverage</c:v>
                </c:pt>
                <c:pt idx="4">
                  <c:v>Liquidity</c:v>
                </c:pt>
                <c:pt idx="5">
                  <c:v>Carry</c:v>
                </c:pt>
                <c:pt idx="6">
                  <c:v>Emerging Markets</c:v>
                </c:pt>
              </c:strCache>
            </c:strRef>
          </c:cat>
          <c:val>
            <c:numRef>
              <c:f>risk_dashboard!$T$54:$T$61</c:f>
              <c:numCache>
                <c:formatCode>0.0%</c:formatCode>
                <c:ptCount val="8"/>
                <c:pt idx="0">
                  <c:v>0</c:v>
                </c:pt>
                <c:pt idx="1">
                  <c:v>2.20978424168265E-2</c:v>
                </c:pt>
                <c:pt idx="2">
                  <c:v>7.0690424354016602E-3</c:v>
                </c:pt>
                <c:pt idx="3">
                  <c:v>3.6118743437529299E-3</c:v>
                </c:pt>
                <c:pt idx="4">
                  <c:v>4.4822385420152698E-3</c:v>
                </c:pt>
                <c:pt idx="5">
                  <c:v>-3.58084535524825E-4</c:v>
                </c:pt>
                <c:pt idx="6">
                  <c:v>2.0123617956378801E-3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96DB-2442-BA2E-91EA769F9A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1729309136"/>
        <c:axId val="1732062976"/>
      </c:barChart>
      <c:catAx>
        <c:axId val="17293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32062976"/>
        <c:crosses val="autoZero"/>
        <c:auto val="1"/>
        <c:lblAlgn val="ctr"/>
        <c:lblOffset val="100"/>
        <c:noMultiLvlLbl val="0"/>
      </c:catAx>
      <c:valAx>
        <c:axId val="1732062976"/>
        <c:scaling>
          <c:orientation val="minMax"/>
          <c:min val="-0.0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dk1">
                <a:shade val="95000"/>
                <a:satMod val="105000"/>
              </a:schemeClr>
            </a:solidFill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2930913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850">
          <a:solidFill>
            <a:schemeClr val="tx1">
              <a:lumMod val="95000"/>
              <a:lumOff val="5000"/>
            </a:schemeClr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94395347462172E-2"/>
          <c:y val="0.1424587844488189"/>
          <c:w val="0.83961120930507571"/>
          <c:h val="0.74435100885826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E0C7-614E-A5BD-15E24B6D20A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E0C7-614E-A5BD-15E24B6D20A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E0C7-614E-A5BD-15E24B6D20A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E0C7-614E-A5BD-15E24B6D20A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14-E0C7-614E-A5BD-15E24B6D20A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E0C7-614E-A5BD-15E24B6D20A4}"/>
              </c:ext>
            </c:extLst>
          </c:dPt>
          <c:cat>
            <c:strRef>
              <c:f>risk_dashboard!$Q$54:$Q$61</c:f>
              <c:strCache>
                <c:ptCount val="7"/>
                <c:pt idx="1">
                  <c:v>Equity</c:v>
                </c:pt>
                <c:pt idx="2">
                  <c:v>Term</c:v>
                </c:pt>
                <c:pt idx="3">
                  <c:v>Leverage</c:v>
                </c:pt>
                <c:pt idx="4">
                  <c:v>Liquidity</c:v>
                </c:pt>
                <c:pt idx="5">
                  <c:v>Carry</c:v>
                </c:pt>
                <c:pt idx="6">
                  <c:v>Emerging Markets</c:v>
                </c:pt>
              </c:strCache>
            </c:strRef>
          </c:cat>
          <c:val>
            <c:numRef>
              <c:f>risk_dashboard!$S$54:$S$61</c:f>
              <c:numCache>
                <c:formatCode>0.0%</c:formatCode>
                <c:ptCount val="8"/>
                <c:pt idx="0">
                  <c:v>0</c:v>
                </c:pt>
                <c:pt idx="1">
                  <c:v>2.2410336733154901E-2</c:v>
                </c:pt>
                <c:pt idx="2">
                  <c:v>7.0147646638842598E-3</c:v>
                </c:pt>
                <c:pt idx="3">
                  <c:v>3.6462354284219202E-3</c:v>
                </c:pt>
                <c:pt idx="4">
                  <c:v>4.5144649557646898E-3</c:v>
                </c:pt>
                <c:pt idx="5">
                  <c:v>-3.58084535524825E-4</c:v>
                </c:pt>
                <c:pt idx="6">
                  <c:v>2.0349827437956E-3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E0C7-614E-A5BD-15E24B6D20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1729309136"/>
        <c:axId val="1732062976"/>
      </c:barChart>
      <c:catAx>
        <c:axId val="17293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62976"/>
        <c:crosses val="autoZero"/>
        <c:auto val="1"/>
        <c:lblAlgn val="ctr"/>
        <c:lblOffset val="100"/>
        <c:noMultiLvlLbl val="0"/>
      </c:catAx>
      <c:valAx>
        <c:axId val="1732062976"/>
        <c:scaling>
          <c:orientation val="minMax"/>
          <c:min val="-0.0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dk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0913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94395347462172E-2"/>
          <c:y val="0.1424587844488189"/>
          <c:w val="0.83961120930507571"/>
          <c:h val="0.74435100885826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55B3-9940-B6A2-0DFDB7563C1F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55B3-9940-B6A2-0DFDB7563C1F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0-55B3-9940-B6A2-0DFDB7563C1F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2-55B3-9940-B6A2-0DFDB7563C1F}"/>
              </c:ext>
            </c:extLst>
          </c:dPt>
          <c:dPt>
            <c:idx val="5"/>
            <c:invertIfNegative val="0"/>
            <c:bubble3D val="0"/>
            <c:spPr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4-55B3-9940-B6A2-0DFDB7563C1F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6-55B3-9940-B6A2-0DFDB7563C1F}"/>
              </c:ext>
            </c:extLst>
          </c:dPt>
          <c:cat>
            <c:strRef>
              <c:f>risk_dashboard!$Q$54:$Q$61</c:f>
              <c:strCache>
                <c:ptCount val="7"/>
                <c:pt idx="1">
                  <c:v>Equity</c:v>
                </c:pt>
                <c:pt idx="2">
                  <c:v>Term</c:v>
                </c:pt>
                <c:pt idx="3">
                  <c:v>Leverage</c:v>
                </c:pt>
                <c:pt idx="4">
                  <c:v>Liquidity</c:v>
                </c:pt>
                <c:pt idx="5">
                  <c:v>Carry</c:v>
                </c:pt>
                <c:pt idx="6">
                  <c:v>Emerging Markets</c:v>
                </c:pt>
              </c:strCache>
            </c:strRef>
          </c:cat>
          <c:val>
            <c:numRef>
              <c:f>risk_dashboard!$R$54:$R$61</c:f>
              <c:numCache>
                <c:formatCode>0.0%</c:formatCode>
                <c:ptCount val="8"/>
                <c:pt idx="0">
                  <c:v>0</c:v>
                </c:pt>
                <c:pt idx="1">
                  <c:v>2.25026479283548E-2</c:v>
                </c:pt>
                <c:pt idx="2">
                  <c:v>3.0363085785869198E-3</c:v>
                </c:pt>
                <c:pt idx="3">
                  <c:v>1.3912181182817101E-4</c:v>
                </c:pt>
                <c:pt idx="4">
                  <c:v>4.2682384258748199E-4</c:v>
                </c:pt>
                <c:pt idx="5">
                  <c:v>5.2315820747962503E-5</c:v>
                </c:pt>
                <c:pt idx="6">
                  <c:v>2.8330476296220498E-3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55B3-9940-B6A2-0DFDB7563C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1729309136"/>
        <c:axId val="1732062976"/>
      </c:barChart>
      <c:catAx>
        <c:axId val="17293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2062976"/>
        <c:crosses val="autoZero"/>
        <c:auto val="1"/>
        <c:lblAlgn val="ctr"/>
        <c:lblOffset val="100"/>
        <c:noMultiLvlLbl val="0"/>
      </c:catAx>
      <c:valAx>
        <c:axId val="1732062976"/>
        <c:scaling>
          <c:orientation val="minMax"/>
          <c:min val="-0.0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dk1">
                <a:shade val="95000"/>
                <a:satMod val="10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5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930913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0194395347462172E-2"/>
          <c:y val="0.1424587844488189"/>
          <c:w val="0.83961120930507571"/>
          <c:h val="0.74435100885826777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tx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tx2">
                  <a:lumMod val="5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C663-FB4A-B0AC-B38927373B3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1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663-FB4A-B0AC-B38927373B34}"/>
              </c:ext>
            </c:extLst>
          </c:dPt>
          <c:dPt>
            <c:idx val="3"/>
            <c:invertIfNegative val="0"/>
            <c:bubble3D val="0"/>
            <c:spPr>
              <a:solidFill>
                <a:schemeClr val="tx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C663-FB4A-B0AC-B38927373B34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C663-FB4A-B0AC-B38927373B34}"/>
              </c:ext>
            </c:extLst>
          </c:dPt>
          <c:dPt>
            <c:idx val="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C663-FB4A-B0AC-B38927373B34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1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C663-FB4A-B0AC-B38927373B34}"/>
              </c:ext>
            </c:extLst>
          </c:dPt>
          <c:cat>
            <c:strRef>
              <c:f>risk_dashboard!$Q$54:$Q$61</c:f>
              <c:strCache>
                <c:ptCount val="7"/>
                <c:pt idx="1">
                  <c:v>Equity</c:v>
                </c:pt>
                <c:pt idx="2">
                  <c:v>Term</c:v>
                </c:pt>
                <c:pt idx="3">
                  <c:v>Leverage</c:v>
                </c:pt>
                <c:pt idx="4">
                  <c:v>Liquidity</c:v>
                </c:pt>
                <c:pt idx="5">
                  <c:v>Carry</c:v>
                </c:pt>
                <c:pt idx="6">
                  <c:v>Emerging Markets</c:v>
                </c:pt>
              </c:strCache>
            </c:strRef>
          </c:cat>
          <c:val>
            <c:numRef>
              <c:f>risk_dashboard!$W$54:$W$61</c:f>
              <c:numCache>
                <c:formatCode>0.0%</c:formatCode>
                <c:ptCount val="8"/>
                <c:pt idx="0">
                  <c:v>0</c:v>
                </c:pt>
                <c:pt idx="1">
                  <c:v>2.1250038187947299E-2</c:v>
                </c:pt>
                <c:pt idx="2">
                  <c:v>1.30098666908067E-2</c:v>
                </c:pt>
                <c:pt idx="3">
                  <c:v>3.3377297465648401E-3</c:v>
                </c:pt>
                <c:pt idx="4">
                  <c:v>5.8323170074962996E-3</c:v>
                </c:pt>
                <c:pt idx="5">
                  <c:v>-6.8615323107948996E-4</c:v>
                </c:pt>
                <c:pt idx="6">
                  <c:v>1.9448384654222599E-3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663-FB4A-B0AC-B38927373B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15"/>
        <c:axId val="1729309136"/>
        <c:axId val="1732062976"/>
      </c:barChart>
      <c:catAx>
        <c:axId val="17293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en-US"/>
          </a:p>
        </c:txPr>
        <c:crossAx val="1732062976"/>
        <c:crosses val="autoZero"/>
        <c:auto val="1"/>
        <c:lblAlgn val="ctr"/>
        <c:lblOffset val="100"/>
        <c:noMultiLvlLbl val="0"/>
      </c:catAx>
      <c:valAx>
        <c:axId val="1732062976"/>
        <c:scaling>
          <c:orientation val="minMax"/>
          <c:min val="-0.01"/>
        </c:scaling>
        <c:delete val="0"/>
        <c:axPos val="b"/>
        <c:numFmt formatCode="0%" sourceLinked="0"/>
        <c:majorTickMark val="none"/>
        <c:minorTickMark val="none"/>
        <c:tickLblPos val="nextTo"/>
        <c:spPr>
          <a:noFill/>
          <a:ln>
            <a:solidFill>
              <a:schemeClr val="dk1">
                <a:shade val="95000"/>
                <a:satMod val="105000"/>
              </a:schemeClr>
            </a:solidFill>
          </a:ln>
          <a:effectLst/>
        </c:spPr>
        <c:txPr>
          <a:bodyPr rot="-60000000" vert="horz"/>
          <a:lstStyle/>
          <a:p>
            <a:pPr>
              <a:defRPr sz="850"/>
            </a:pPr>
            <a:endParaRPr lang="en-US"/>
          </a:p>
        </c:txPr>
        <c:crossAx val="1729309136"/>
        <c:crosses val="autoZero"/>
        <c:crossBetween val="between"/>
      </c:valAx>
    </c:plotArea>
    <c:plotVisOnly val="1"/>
    <c:dispBlanksAs val="gap"/>
    <c:showDLblsOverMax val="0"/>
    <c:extLst/>
  </c:chart>
  <c:spPr>
    <a:noFill/>
    <a:ln w="9525" cap="flat" cmpd="sng" algn="ctr">
      <a:noFill/>
      <a:round/>
    </a:ln>
    <a:effectLst/>
  </c:spPr>
  <c:txPr>
    <a:bodyPr/>
    <a:lstStyle/>
    <a:p>
      <a:pPr>
        <a:defRPr sz="105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D8-5E4D-90EC-C4163B3221A6}"/>
            </c:ext>
          </c:extLst>
        </c:ser>
        <c:ser>
          <c:idx val="1"/>
          <c:order val="1"/>
          <c:tx>
            <c:strRef>
              <c:f>ws_Current_Portfolio!$K$2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CD8-5E4D-90EC-C4163B3221A6}"/>
            </c:ext>
          </c:extLst>
        </c:ser>
        <c:ser>
          <c:idx val="2"/>
          <c:order val="2"/>
          <c:tx>
            <c:strRef>
              <c:f>ws_Current_Portfolio!$L$2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CD8-5E4D-90EC-C4163B3221A6}"/>
            </c:ext>
          </c:extLst>
        </c:ser>
        <c:ser>
          <c:idx val="3"/>
          <c:order val="3"/>
          <c:tx>
            <c:strRef>
              <c:f>ws_Current_Portfolio!$M$2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CD8-5E4D-90EC-C4163B3221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89.456903357182526</c:v>
                </c:pt>
                <c:pt idx="2">
                  <c:v>89.980738266643641</c:v>
                </c:pt>
                <c:pt idx="3">
                  <c:v>90.8898661257616</c:v>
                </c:pt>
                <c:pt idx="4">
                  <c:v>90.427868535397067</c:v>
                </c:pt>
                <c:pt idx="5">
                  <c:v>91.369198231432648</c:v>
                </c:pt>
                <c:pt idx="6">
                  <c:v>92.173075244339756</c:v>
                </c:pt>
                <c:pt idx="7">
                  <c:v>91.064145706205608</c:v>
                </c:pt>
                <c:pt idx="8">
                  <c:v>92.498179650755773</c:v>
                </c:pt>
                <c:pt idx="9">
                  <c:v>91.512380784642261</c:v>
                </c:pt>
                <c:pt idx="10">
                  <c:v>92.934747749398568</c:v>
                </c:pt>
                <c:pt idx="11">
                  <c:v>93.814016252111799</c:v>
                </c:pt>
                <c:pt idx="12">
                  <c:v>95.927522072057656</c:v>
                </c:pt>
                <c:pt idx="13">
                  <c:v>97.112830179337422</c:v>
                </c:pt>
                <c:pt idx="14">
                  <c:v>98.468382394765371</c:v>
                </c:pt>
                <c:pt idx="15">
                  <c:v>99.308266105457463</c:v>
                </c:pt>
                <c:pt idx="16">
                  <c:v>100.896773129978</c:v>
                </c:pt>
                <c:pt idx="17">
                  <c:v>103.00293094916751</c:v>
                </c:pt>
                <c:pt idx="18">
                  <c:v>105.1794933587548</c:v>
                </c:pt>
                <c:pt idx="19">
                  <c:v>107.9186017702071</c:v>
                </c:pt>
                <c:pt idx="20">
                  <c:v>110.67117834453811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578-F941-8964-8E5F6580BEC0}"/>
            </c:ext>
          </c:extLst>
        </c:ser>
        <c:ser>
          <c:idx val="1"/>
          <c:order val="1"/>
          <c:tx>
            <c:strRef>
              <c:f>ws_Current_Portfolio!$C$2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ws_Current_Portfolio!$C$3:$C$23</c:f>
              <c:numCache>
                <c:formatCode>General</c:formatCode>
                <c:ptCount val="21"/>
                <c:pt idx="0">
                  <c:v>100</c:v>
                </c:pt>
                <c:pt idx="1">
                  <c:v>97.02526561316526</c:v>
                </c:pt>
                <c:pt idx="2">
                  <c:v>99.192368947115327</c:v>
                </c:pt>
                <c:pt idx="3">
                  <c:v>102.4088840698504</c:v>
                </c:pt>
                <c:pt idx="4">
                  <c:v>105.398121567084</c:v>
                </c:pt>
                <c:pt idx="5">
                  <c:v>109.1866393454907</c:v>
                </c:pt>
                <c:pt idx="6">
                  <c:v>113.09197920309779</c:v>
                </c:pt>
                <c:pt idx="7">
                  <c:v>116.0626830575069</c:v>
                </c:pt>
                <c:pt idx="8">
                  <c:v>119.33159211006419</c:v>
                </c:pt>
                <c:pt idx="9">
                  <c:v>122.4295446271361</c:v>
                </c:pt>
                <c:pt idx="10">
                  <c:v>126.25256184610021</c:v>
                </c:pt>
                <c:pt idx="11">
                  <c:v>129.33699057122999</c:v>
                </c:pt>
                <c:pt idx="12">
                  <c:v>133.53381482939369</c:v>
                </c:pt>
                <c:pt idx="13">
                  <c:v>137.38246120196499</c:v>
                </c:pt>
                <c:pt idx="14">
                  <c:v>142.37204958074079</c:v>
                </c:pt>
                <c:pt idx="15">
                  <c:v>146.59654335179769</c:v>
                </c:pt>
                <c:pt idx="16">
                  <c:v>151.4291687475654</c:v>
                </c:pt>
                <c:pt idx="17">
                  <c:v>156.48495492891101</c:v>
                </c:pt>
                <c:pt idx="18">
                  <c:v>161.88677722153639</c:v>
                </c:pt>
                <c:pt idx="19">
                  <c:v>167.6515969034825</c:v>
                </c:pt>
                <c:pt idx="20">
                  <c:v>173.23977525078459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578-F941-8964-8E5F6580BEC0}"/>
            </c:ext>
          </c:extLst>
        </c:ser>
        <c:ser>
          <c:idx val="2"/>
          <c:order val="2"/>
          <c:tx>
            <c:strRef>
              <c:f>ws_Current_Portfolio!$D$2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106.3967716051538</c:v>
                </c:pt>
                <c:pt idx="2">
                  <c:v>111.90510917957241</c:v>
                </c:pt>
                <c:pt idx="3">
                  <c:v>117.8612498854892</c:v>
                </c:pt>
                <c:pt idx="4">
                  <c:v>124.98892317916609</c:v>
                </c:pt>
                <c:pt idx="5">
                  <c:v>132.898534851976</c:v>
                </c:pt>
                <c:pt idx="6">
                  <c:v>140.76888126299181</c:v>
                </c:pt>
                <c:pt idx="7">
                  <c:v>149.36102878932289</c:v>
                </c:pt>
                <c:pt idx="8">
                  <c:v>158.2136613573862</c:v>
                </c:pt>
                <c:pt idx="9">
                  <c:v>166.84262384462619</c:v>
                </c:pt>
                <c:pt idx="10">
                  <c:v>175.82876618162001</c:v>
                </c:pt>
                <c:pt idx="11">
                  <c:v>185.18393079225339</c:v>
                </c:pt>
                <c:pt idx="12">
                  <c:v>194.80417584260269</c:v>
                </c:pt>
                <c:pt idx="13">
                  <c:v>204.2038387568314</c:v>
                </c:pt>
                <c:pt idx="14">
                  <c:v>215.62967249504749</c:v>
                </c:pt>
                <c:pt idx="15">
                  <c:v>226.1906998647797</c:v>
                </c:pt>
                <c:pt idx="16">
                  <c:v>237.69504322158511</c:v>
                </c:pt>
                <c:pt idx="17">
                  <c:v>249.60345768630501</c:v>
                </c:pt>
                <c:pt idx="18">
                  <c:v>263.31841545216491</c:v>
                </c:pt>
                <c:pt idx="19">
                  <c:v>277.03201954530709</c:v>
                </c:pt>
                <c:pt idx="20">
                  <c:v>290.67048422949279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78-F941-8964-8E5F6580BEC0}"/>
            </c:ext>
          </c:extLst>
        </c:ser>
        <c:ser>
          <c:idx val="3"/>
          <c:order val="3"/>
          <c:tx>
            <c:strRef>
              <c:f>ws_Current_Portfolio!$E$2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115.1468750861214</c:v>
                </c:pt>
                <c:pt idx="2">
                  <c:v>125.37894161320339</c:v>
                </c:pt>
                <c:pt idx="3">
                  <c:v>134.9170317398123</c:v>
                </c:pt>
                <c:pt idx="4">
                  <c:v>147.082820183048</c:v>
                </c:pt>
                <c:pt idx="5">
                  <c:v>159.97581582226579</c:v>
                </c:pt>
                <c:pt idx="6">
                  <c:v>172.9234416891949</c:v>
                </c:pt>
                <c:pt idx="7">
                  <c:v>187.42408538105249</c:v>
                </c:pt>
                <c:pt idx="8">
                  <c:v>202.89696536620599</c:v>
                </c:pt>
                <c:pt idx="9">
                  <c:v>219.072293170059</c:v>
                </c:pt>
                <c:pt idx="10">
                  <c:v>235.56849068435</c:v>
                </c:pt>
                <c:pt idx="11">
                  <c:v>253.54931883777991</c:v>
                </c:pt>
                <c:pt idx="12">
                  <c:v>273.48578434558391</c:v>
                </c:pt>
                <c:pt idx="13">
                  <c:v>293.87272469413102</c:v>
                </c:pt>
                <c:pt idx="14">
                  <c:v>314.90336220753119</c:v>
                </c:pt>
                <c:pt idx="15">
                  <c:v>338.17804620613862</c:v>
                </c:pt>
                <c:pt idx="16">
                  <c:v>362.59622389555568</c:v>
                </c:pt>
                <c:pt idx="17">
                  <c:v>390.14871332644492</c:v>
                </c:pt>
                <c:pt idx="18">
                  <c:v>418.65926805038481</c:v>
                </c:pt>
                <c:pt idx="19">
                  <c:v>445.76435801146079</c:v>
                </c:pt>
                <c:pt idx="20">
                  <c:v>475.19458292480061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578-F941-8964-8E5F6580BE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86.70380523586735</c:v>
                </c:pt>
                <c:pt idx="2">
                  <c:v>85.100894859473598</c:v>
                </c:pt>
                <c:pt idx="3">
                  <c:v>84.218811499977932</c:v>
                </c:pt>
                <c:pt idx="4">
                  <c:v>82.138291889167078</c:v>
                </c:pt>
                <c:pt idx="5">
                  <c:v>81.549877876853387</c:v>
                </c:pt>
                <c:pt idx="6">
                  <c:v>80.402801606080388</c:v>
                </c:pt>
                <c:pt idx="7">
                  <c:v>78.25787929641443</c:v>
                </c:pt>
                <c:pt idx="8">
                  <c:v>77.685825880984893</c:v>
                </c:pt>
                <c:pt idx="9">
                  <c:v>76.198094733240737</c:v>
                </c:pt>
                <c:pt idx="10">
                  <c:v>75.423080243046243</c:v>
                </c:pt>
                <c:pt idx="11">
                  <c:v>75.678130435135074</c:v>
                </c:pt>
                <c:pt idx="12">
                  <c:v>75.064350566601647</c:v>
                </c:pt>
                <c:pt idx="13">
                  <c:v>74.024301538455575</c:v>
                </c:pt>
                <c:pt idx="14">
                  <c:v>74.633923165407211</c:v>
                </c:pt>
                <c:pt idx="15">
                  <c:v>74.182997099232011</c:v>
                </c:pt>
                <c:pt idx="16">
                  <c:v>73.31266887813814</c:v>
                </c:pt>
                <c:pt idx="17">
                  <c:v>73.944850934691331</c:v>
                </c:pt>
                <c:pt idx="18">
                  <c:v>74.576581864937353</c:v>
                </c:pt>
                <c:pt idx="19">
                  <c:v>74.864305403667714</c:v>
                </c:pt>
                <c:pt idx="20">
                  <c:v>75.081858895213074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1A-4A44-B5D9-39EB6E797A32}"/>
            </c:ext>
          </c:extLst>
        </c:ser>
        <c:ser>
          <c:idx val="1"/>
          <c:order val="1"/>
          <c:tx>
            <c:strRef>
              <c:f>ws_Current_Portfolio!$G$2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ws_Current_Portfolio!$G$3:$G$23</c:f>
              <c:numCache>
                <c:formatCode>General</c:formatCode>
                <c:ptCount val="21"/>
                <c:pt idx="0">
                  <c:v>100</c:v>
                </c:pt>
                <c:pt idx="1">
                  <c:v>94.656688850760474</c:v>
                </c:pt>
                <c:pt idx="2">
                  <c:v>94.400289959351397</c:v>
                </c:pt>
                <c:pt idx="3">
                  <c:v>95.332301272175314</c:v>
                </c:pt>
                <c:pt idx="4">
                  <c:v>96.009494279172046</c:v>
                </c:pt>
                <c:pt idx="5">
                  <c:v>97.32633481900659</c:v>
                </c:pt>
                <c:pt idx="6">
                  <c:v>98.598670542218912</c:v>
                </c:pt>
                <c:pt idx="7">
                  <c:v>99.337505925042663</c:v>
                </c:pt>
                <c:pt idx="8">
                  <c:v>100.2398836893494</c:v>
                </c:pt>
                <c:pt idx="9">
                  <c:v>100.9225431869305</c:v>
                </c:pt>
                <c:pt idx="10">
                  <c:v>101.92611202814849</c:v>
                </c:pt>
                <c:pt idx="11">
                  <c:v>102.6938700582825</c:v>
                </c:pt>
                <c:pt idx="12">
                  <c:v>103.8231447508433</c:v>
                </c:pt>
                <c:pt idx="13">
                  <c:v>104.99812825737671</c:v>
                </c:pt>
                <c:pt idx="14">
                  <c:v>106.68681910779129</c:v>
                </c:pt>
                <c:pt idx="15">
                  <c:v>108.1823758828706</c:v>
                </c:pt>
                <c:pt idx="16">
                  <c:v>109.6351805549494</c:v>
                </c:pt>
                <c:pt idx="17">
                  <c:v>110.85121285783831</c:v>
                </c:pt>
                <c:pt idx="18">
                  <c:v>112.4313657577417</c:v>
                </c:pt>
                <c:pt idx="19">
                  <c:v>113.57045695861591</c:v>
                </c:pt>
                <c:pt idx="20">
                  <c:v>115.6684166229964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1A-4A44-B5D9-39EB6E797A32}"/>
            </c:ext>
          </c:extLst>
        </c:ser>
        <c:ser>
          <c:idx val="2"/>
          <c:order val="2"/>
          <c:tx>
            <c:strRef>
              <c:f>ws_Current_Portfolio!$H$2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104.0428106961856</c:v>
                </c:pt>
                <c:pt idx="2">
                  <c:v>106.9281453903247</c:v>
                </c:pt>
                <c:pt idx="3">
                  <c:v>110.1725326734079</c:v>
                </c:pt>
                <c:pt idx="4">
                  <c:v>114.3523511006908</c:v>
                </c:pt>
                <c:pt idx="5">
                  <c:v>118.94104161299251</c:v>
                </c:pt>
                <c:pt idx="6">
                  <c:v>123.44725259105221</c:v>
                </c:pt>
                <c:pt idx="7">
                  <c:v>128.22461745745679</c:v>
                </c:pt>
                <c:pt idx="8">
                  <c:v>133.08611384272001</c:v>
                </c:pt>
                <c:pt idx="9">
                  <c:v>137.65238528149101</c:v>
                </c:pt>
                <c:pt idx="10">
                  <c:v>141.9303377299826</c:v>
                </c:pt>
                <c:pt idx="11">
                  <c:v>146.89472652466119</c:v>
                </c:pt>
                <c:pt idx="12">
                  <c:v>151.26474764609259</c:v>
                </c:pt>
                <c:pt idx="13">
                  <c:v>156.01683448409241</c:v>
                </c:pt>
                <c:pt idx="14">
                  <c:v>161.20310901081541</c:v>
                </c:pt>
                <c:pt idx="15">
                  <c:v>165.70740200275441</c:v>
                </c:pt>
                <c:pt idx="16">
                  <c:v>170.96418675985399</c:v>
                </c:pt>
                <c:pt idx="17">
                  <c:v>176.0956233102365</c:v>
                </c:pt>
                <c:pt idx="18">
                  <c:v>181.9076739669031</c:v>
                </c:pt>
                <c:pt idx="19">
                  <c:v>187.9115535534028</c:v>
                </c:pt>
                <c:pt idx="20">
                  <c:v>193.38003253472709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1A-4A44-B5D9-39EB6E797A32}"/>
            </c:ext>
          </c:extLst>
        </c:ser>
        <c:ser>
          <c:idx val="3"/>
          <c:order val="3"/>
          <c:tx>
            <c:strRef>
              <c:f>ws_Current_Portfolio!$I$2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112.7577902260052</c:v>
                </c:pt>
                <c:pt idx="2">
                  <c:v>120.0687988303105</c:v>
                </c:pt>
                <c:pt idx="3">
                  <c:v>126.4571433231085</c:v>
                </c:pt>
                <c:pt idx="4">
                  <c:v>134.9815228122057</c:v>
                </c:pt>
                <c:pt idx="5">
                  <c:v>143.81494842674701</c:v>
                </c:pt>
                <c:pt idx="6">
                  <c:v>152.12768802624149</c:v>
                </c:pt>
                <c:pt idx="7">
                  <c:v>161.49801238406221</c:v>
                </c:pt>
                <c:pt idx="8">
                  <c:v>171.48035918072719</c:v>
                </c:pt>
                <c:pt idx="9">
                  <c:v>181.1923499955339</c:v>
                </c:pt>
                <c:pt idx="10">
                  <c:v>191.007767995374</c:v>
                </c:pt>
                <c:pt idx="11">
                  <c:v>201.21541603913059</c:v>
                </c:pt>
                <c:pt idx="12">
                  <c:v>212.8758606443987</c:v>
                </c:pt>
                <c:pt idx="13">
                  <c:v>223.6011373974824</c:v>
                </c:pt>
                <c:pt idx="14">
                  <c:v>235.23014222444121</c:v>
                </c:pt>
                <c:pt idx="15">
                  <c:v>247.3015784953661</c:v>
                </c:pt>
                <c:pt idx="16">
                  <c:v>259.80425289121081</c:v>
                </c:pt>
                <c:pt idx="17">
                  <c:v>272.99269968346658</c:v>
                </c:pt>
                <c:pt idx="18">
                  <c:v>287.5751569219558</c:v>
                </c:pt>
                <c:pt idx="19">
                  <c:v>299.8714595874294</c:v>
                </c:pt>
                <c:pt idx="20">
                  <c:v>313.2132588407361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BE1A-4A44-B5D9-39EB6E797A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ws_Current_Portfolio!$N$2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34-1B4D-8EE9-6B052BBB4AE9}"/>
            </c:ext>
          </c:extLst>
        </c:ser>
        <c:ser>
          <c:idx val="1"/>
          <c:order val="1"/>
          <c:tx>
            <c:strRef>
              <c:f>ws_Current_Portfolio!$O$2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34-1B4D-8EE9-6B052BBB4AE9}"/>
            </c:ext>
          </c:extLst>
        </c:ser>
        <c:ser>
          <c:idx val="2"/>
          <c:order val="2"/>
          <c:tx>
            <c:strRef>
              <c:f>ws_Current_Portfolio!$P$2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34-1B4D-8EE9-6B052BBB4AE9}"/>
            </c:ext>
          </c:extLst>
        </c:ser>
        <c:ser>
          <c:idx val="3"/>
          <c:order val="3"/>
          <c:tx>
            <c:strRef>
              <c:f>ws_Current_Portfolio!$Q$2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ws_Current_Portfolio!$A$3:$A$23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ws_Current_Portfolio!$Q$3:$Q$23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434-1B4D-8EE9-6B052BBB4A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AA-274A-BEA9-EACED2988C85}"/>
            </c:ext>
          </c:extLst>
        </c:ser>
        <c:ser>
          <c:idx val="1"/>
          <c:order val="1"/>
          <c:tx>
            <c:strRef>
              <c:f>ws_Volatility_Matched!$K$2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EAA-274A-BEA9-EACED2988C85}"/>
            </c:ext>
          </c:extLst>
        </c:ser>
        <c:ser>
          <c:idx val="2"/>
          <c:order val="2"/>
          <c:tx>
            <c:strRef>
              <c:f>ws_Volatility_Matched!$L$2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EAA-274A-BEA9-EACED2988C85}"/>
            </c:ext>
          </c:extLst>
        </c:ser>
        <c:ser>
          <c:idx val="3"/>
          <c:order val="3"/>
          <c:tx>
            <c:strRef>
              <c:f>ws_Volatility_Matched!$M$2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EAA-274A-BEA9-EACED2988C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89.42123527871955</c:v>
                </c:pt>
                <c:pt idx="2">
                  <c:v>92.010361515188237</c:v>
                </c:pt>
                <c:pt idx="3">
                  <c:v>94.684757934295007</c:v>
                </c:pt>
                <c:pt idx="4">
                  <c:v>96.260440355589338</c:v>
                </c:pt>
                <c:pt idx="5">
                  <c:v>99.421422269136855</c:v>
                </c:pt>
                <c:pt idx="6">
                  <c:v>102.2961759438498</c:v>
                </c:pt>
                <c:pt idx="7">
                  <c:v>102.59313318010349</c:v>
                </c:pt>
                <c:pt idx="8">
                  <c:v>104.732136470974</c:v>
                </c:pt>
                <c:pt idx="9">
                  <c:v>105.28951574989109</c:v>
                </c:pt>
                <c:pt idx="10">
                  <c:v>108.385735651337</c:v>
                </c:pt>
                <c:pt idx="11">
                  <c:v>110.8091993011077</c:v>
                </c:pt>
                <c:pt idx="12">
                  <c:v>114.0215138270995</c:v>
                </c:pt>
                <c:pt idx="13">
                  <c:v>117.1729317453099</c:v>
                </c:pt>
                <c:pt idx="14">
                  <c:v>119.9428610376733</c:v>
                </c:pt>
                <c:pt idx="15">
                  <c:v>123.5072395738738</c:v>
                </c:pt>
                <c:pt idx="16">
                  <c:v>126.2670793166305</c:v>
                </c:pt>
                <c:pt idx="17">
                  <c:v>131.5794639973756</c:v>
                </c:pt>
                <c:pt idx="18">
                  <c:v>136.9853629473902</c:v>
                </c:pt>
                <c:pt idx="19">
                  <c:v>142.62504329840789</c:v>
                </c:pt>
                <c:pt idx="20">
                  <c:v>146.73475069392259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60-A340-82F0-405C73BBEA91}"/>
            </c:ext>
          </c:extLst>
        </c:ser>
        <c:ser>
          <c:idx val="1"/>
          <c:order val="1"/>
          <c:tx>
            <c:strRef>
              <c:f>ws_Volatility_Matched!$C$2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98.897469790190442</c:v>
                </c:pt>
                <c:pt idx="2">
                  <c:v>102.6738958238018</c:v>
                </c:pt>
                <c:pt idx="3">
                  <c:v>108.2889653022844</c:v>
                </c:pt>
                <c:pt idx="4">
                  <c:v>113.033776519258</c:v>
                </c:pt>
                <c:pt idx="5">
                  <c:v>119.01088345737421</c:v>
                </c:pt>
                <c:pt idx="6">
                  <c:v>125.42515373242411</c:v>
                </c:pt>
                <c:pt idx="7">
                  <c:v>130.38812853258139</c:v>
                </c:pt>
                <c:pt idx="8">
                  <c:v>135.6470195361135</c:v>
                </c:pt>
                <c:pt idx="9">
                  <c:v>140.65451224578399</c:v>
                </c:pt>
                <c:pt idx="10">
                  <c:v>146.86495121349509</c:v>
                </c:pt>
                <c:pt idx="11">
                  <c:v>153.15847456275969</c:v>
                </c:pt>
                <c:pt idx="12">
                  <c:v>159.6634182871085</c:v>
                </c:pt>
                <c:pt idx="13">
                  <c:v>166.3643539502128</c:v>
                </c:pt>
                <c:pt idx="14">
                  <c:v>173.84125430888531</c:v>
                </c:pt>
                <c:pt idx="15">
                  <c:v>181.25024382877271</c:v>
                </c:pt>
                <c:pt idx="16">
                  <c:v>189.41350605708789</c:v>
                </c:pt>
                <c:pt idx="17">
                  <c:v>198.0745263137517</c:v>
                </c:pt>
                <c:pt idx="18">
                  <c:v>206.67654026164391</c:v>
                </c:pt>
                <c:pt idx="19">
                  <c:v>215.74474574563399</c:v>
                </c:pt>
                <c:pt idx="20">
                  <c:v>225.9667149934902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960-A340-82F0-405C73BBEA91}"/>
            </c:ext>
          </c:extLst>
        </c:ser>
        <c:ser>
          <c:idx val="2"/>
          <c:order val="2"/>
          <c:tx>
            <c:strRef>
              <c:f>ws_Volatility_Matched!$D$2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108.5333667904802</c:v>
                </c:pt>
                <c:pt idx="2">
                  <c:v>116.8351406200013</c:v>
                </c:pt>
                <c:pt idx="3">
                  <c:v>125.3105126553515</c:v>
                </c:pt>
                <c:pt idx="4">
                  <c:v>134.91118885285849</c:v>
                </c:pt>
                <c:pt idx="5">
                  <c:v>145.63377724880081</c:v>
                </c:pt>
                <c:pt idx="6">
                  <c:v>156.54597280245611</c:v>
                </c:pt>
                <c:pt idx="7">
                  <c:v>167.6680528068425</c:v>
                </c:pt>
                <c:pt idx="8">
                  <c:v>179.41633761656351</c:v>
                </c:pt>
                <c:pt idx="9">
                  <c:v>191.02226248343749</c:v>
                </c:pt>
                <c:pt idx="10">
                  <c:v>203.57366563249619</c:v>
                </c:pt>
                <c:pt idx="11">
                  <c:v>216.5734723786849</c:v>
                </c:pt>
                <c:pt idx="12">
                  <c:v>229.77779998931169</c:v>
                </c:pt>
                <c:pt idx="13">
                  <c:v>244.4623633474672</c:v>
                </c:pt>
                <c:pt idx="14">
                  <c:v>259.8851821309313</c:v>
                </c:pt>
                <c:pt idx="15">
                  <c:v>276.16233103870951</c:v>
                </c:pt>
                <c:pt idx="16">
                  <c:v>293.19156565329331</c:v>
                </c:pt>
                <c:pt idx="17">
                  <c:v>311.19631556225659</c:v>
                </c:pt>
                <c:pt idx="18">
                  <c:v>331.29849163121139</c:v>
                </c:pt>
                <c:pt idx="19">
                  <c:v>352.2130419315904</c:v>
                </c:pt>
                <c:pt idx="20">
                  <c:v>375.23052088100519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960-A340-82F0-405C73BBEA91}"/>
            </c:ext>
          </c:extLst>
        </c:ser>
        <c:ser>
          <c:idx val="3"/>
          <c:order val="3"/>
          <c:tx>
            <c:strRef>
              <c:f>ws_Volatility_Matched!$E$2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117.8751857381213</c:v>
                </c:pt>
                <c:pt idx="2">
                  <c:v>130.47927546404239</c:v>
                </c:pt>
                <c:pt idx="3">
                  <c:v>143.3592630162409</c:v>
                </c:pt>
                <c:pt idx="4">
                  <c:v>158.56791074039879</c:v>
                </c:pt>
                <c:pt idx="5">
                  <c:v>175.09806585347749</c:v>
                </c:pt>
                <c:pt idx="6">
                  <c:v>191.92978594543399</c:v>
                </c:pt>
                <c:pt idx="7">
                  <c:v>210.45256819199071</c:v>
                </c:pt>
                <c:pt idx="8">
                  <c:v>230.09452306102071</c:v>
                </c:pt>
                <c:pt idx="9">
                  <c:v>251.04664060007221</c:v>
                </c:pt>
                <c:pt idx="10">
                  <c:v>273.18312516223563</c:v>
                </c:pt>
                <c:pt idx="11">
                  <c:v>296.36068977705997</c:v>
                </c:pt>
                <c:pt idx="12">
                  <c:v>323.02021921423972</c:v>
                </c:pt>
                <c:pt idx="13">
                  <c:v>348.81137468590822</c:v>
                </c:pt>
                <c:pt idx="14">
                  <c:v>379.10630717526948</c:v>
                </c:pt>
                <c:pt idx="15">
                  <c:v>411.51351118001998</c:v>
                </c:pt>
                <c:pt idx="16">
                  <c:v>445.59227940724918</c:v>
                </c:pt>
                <c:pt idx="17">
                  <c:v>481.36025446454329</c:v>
                </c:pt>
                <c:pt idx="18">
                  <c:v>520.73337530232027</c:v>
                </c:pt>
                <c:pt idx="19">
                  <c:v>561.01879111833045</c:v>
                </c:pt>
                <c:pt idx="20">
                  <c:v>605.27007648635981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960-A340-82F0-405C73BBEA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86.443444604077513</c:v>
                </c:pt>
                <c:pt idx="2">
                  <c:v>86.756944507381007</c:v>
                </c:pt>
                <c:pt idx="3">
                  <c:v>87.433579820126354</c:v>
                </c:pt>
                <c:pt idx="4">
                  <c:v>87.076214516347193</c:v>
                </c:pt>
                <c:pt idx="5">
                  <c:v>87.812029338268388</c:v>
                </c:pt>
                <c:pt idx="6">
                  <c:v>88.934727511398606</c:v>
                </c:pt>
                <c:pt idx="7">
                  <c:v>87.431450703562916</c:v>
                </c:pt>
                <c:pt idx="8">
                  <c:v>87.59074332042772</c:v>
                </c:pt>
                <c:pt idx="9">
                  <c:v>87.321894427873772</c:v>
                </c:pt>
                <c:pt idx="10">
                  <c:v>87.174699362070101</c:v>
                </c:pt>
                <c:pt idx="11">
                  <c:v>87.664921285414863</c:v>
                </c:pt>
                <c:pt idx="12">
                  <c:v>88.664723218267</c:v>
                </c:pt>
                <c:pt idx="13">
                  <c:v>89.374722775268594</c:v>
                </c:pt>
                <c:pt idx="14">
                  <c:v>90.498346924202295</c:v>
                </c:pt>
                <c:pt idx="15">
                  <c:v>91.325525508164816</c:v>
                </c:pt>
                <c:pt idx="16">
                  <c:v>91.588855419494251</c:v>
                </c:pt>
                <c:pt idx="17">
                  <c:v>93.999360411189556</c:v>
                </c:pt>
                <c:pt idx="18">
                  <c:v>94.973565057172223</c:v>
                </c:pt>
                <c:pt idx="19">
                  <c:v>97.402295346521612</c:v>
                </c:pt>
                <c:pt idx="20">
                  <c:v>98.810610497461809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E9-1040-8363-5E04BD3EE773}"/>
            </c:ext>
          </c:extLst>
        </c:ser>
        <c:ser>
          <c:idx val="1"/>
          <c:order val="1"/>
          <c:tx>
            <c:strRef>
              <c:f>ws_Volatility_Matched!$G$2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96.423856557431975</c:v>
                </c:pt>
                <c:pt idx="2">
                  <c:v>97.539956437991066</c:v>
                </c:pt>
                <c:pt idx="3">
                  <c:v>100.59830697627029</c:v>
                </c:pt>
                <c:pt idx="4">
                  <c:v>102.5927919507719</c:v>
                </c:pt>
                <c:pt idx="5">
                  <c:v>105.77128942684899</c:v>
                </c:pt>
                <c:pt idx="6">
                  <c:v>108.93201851842591</c:v>
                </c:pt>
                <c:pt idx="7">
                  <c:v>111.1622650909493</c:v>
                </c:pt>
                <c:pt idx="8">
                  <c:v>113.4621245462383</c:v>
                </c:pt>
                <c:pt idx="9">
                  <c:v>115.3731423046566</c:v>
                </c:pt>
                <c:pt idx="10">
                  <c:v>118.30073186112649</c:v>
                </c:pt>
                <c:pt idx="11">
                  <c:v>120.854981793769</c:v>
                </c:pt>
                <c:pt idx="12">
                  <c:v>123.4221288726134</c:v>
                </c:pt>
                <c:pt idx="13">
                  <c:v>126.1606686013349</c:v>
                </c:pt>
                <c:pt idx="14">
                  <c:v>129.44118079996969</c:v>
                </c:pt>
                <c:pt idx="15">
                  <c:v>132.4487504921718</c:v>
                </c:pt>
                <c:pt idx="16">
                  <c:v>135.59908841737709</c:v>
                </c:pt>
                <c:pt idx="17">
                  <c:v>138.98619112383051</c:v>
                </c:pt>
                <c:pt idx="18">
                  <c:v>142.18406445864019</c:v>
                </c:pt>
                <c:pt idx="19">
                  <c:v>145.7693794688675</c:v>
                </c:pt>
                <c:pt idx="20">
                  <c:v>149.88168508887941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E9-1040-8363-5E04BD3EE773}"/>
            </c:ext>
          </c:extLst>
        </c:ser>
        <c:ser>
          <c:idx val="2"/>
          <c:order val="2"/>
          <c:tx>
            <c:strRef>
              <c:f>ws_Volatility_Matched!$H$2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106.1554923376172</c:v>
                </c:pt>
                <c:pt idx="2">
                  <c:v>111.6625506549954</c:v>
                </c:pt>
                <c:pt idx="3">
                  <c:v>117.1761991307892</c:v>
                </c:pt>
                <c:pt idx="4">
                  <c:v>123.5668629761149</c:v>
                </c:pt>
                <c:pt idx="5">
                  <c:v>130.3595346571002</c:v>
                </c:pt>
                <c:pt idx="6">
                  <c:v>137.25275987085189</c:v>
                </c:pt>
                <c:pt idx="7">
                  <c:v>143.9468210343139</c:v>
                </c:pt>
                <c:pt idx="8">
                  <c:v>151.01566159830739</c:v>
                </c:pt>
                <c:pt idx="9">
                  <c:v>157.52576883601179</c:v>
                </c:pt>
                <c:pt idx="10">
                  <c:v>164.29284972812329</c:v>
                </c:pt>
                <c:pt idx="11">
                  <c:v>171.46897211930599</c:v>
                </c:pt>
                <c:pt idx="12">
                  <c:v>178.63476423480651</c:v>
                </c:pt>
                <c:pt idx="13">
                  <c:v>186.38103682487139</c:v>
                </c:pt>
                <c:pt idx="14">
                  <c:v>194.28373958421099</c:v>
                </c:pt>
                <c:pt idx="15">
                  <c:v>202.1130754908186</c:v>
                </c:pt>
                <c:pt idx="16">
                  <c:v>210.94491131675301</c:v>
                </c:pt>
                <c:pt idx="17">
                  <c:v>219.3701953446496</c:v>
                </c:pt>
                <c:pt idx="18">
                  <c:v>229.37468259508819</c:v>
                </c:pt>
                <c:pt idx="19">
                  <c:v>239.4568028151844</c:v>
                </c:pt>
                <c:pt idx="20">
                  <c:v>249.85944300284399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E9-1040-8363-5E04BD3EE773}"/>
            </c:ext>
          </c:extLst>
        </c:ser>
        <c:ser>
          <c:idx val="3"/>
          <c:order val="3"/>
          <c:tx>
            <c:strRef>
              <c:f>ws_Volatility_Matched!$I$2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115.6391048925293</c:v>
                </c:pt>
                <c:pt idx="2">
                  <c:v>125.21086643982279</c:v>
                </c:pt>
                <c:pt idx="3">
                  <c:v>134.6279582862544</c:v>
                </c:pt>
                <c:pt idx="4">
                  <c:v>145.95833931489921</c:v>
                </c:pt>
                <c:pt idx="5">
                  <c:v>157.81637363385121</c:v>
                </c:pt>
                <c:pt idx="6">
                  <c:v>169.42508271257341</c:v>
                </c:pt>
                <c:pt idx="7">
                  <c:v>181.91958717331289</c:v>
                </c:pt>
                <c:pt idx="8">
                  <c:v>194.928934781148</c:v>
                </c:pt>
                <c:pt idx="9">
                  <c:v>209.14063525602921</c:v>
                </c:pt>
                <c:pt idx="10">
                  <c:v>222.83675725959401</c:v>
                </c:pt>
                <c:pt idx="11">
                  <c:v>236.75432868067051</c:v>
                </c:pt>
                <c:pt idx="12">
                  <c:v>252.5925117790687</c:v>
                </c:pt>
                <c:pt idx="13">
                  <c:v>268.14984306505829</c:v>
                </c:pt>
                <c:pt idx="14">
                  <c:v>284.64481487686271</c:v>
                </c:pt>
                <c:pt idx="15">
                  <c:v>302.89906828483748</c:v>
                </c:pt>
                <c:pt idx="16">
                  <c:v>320.87000630018809</c:v>
                </c:pt>
                <c:pt idx="17">
                  <c:v>340.44616977397669</c:v>
                </c:pt>
                <c:pt idx="18">
                  <c:v>359.54125114972521</c:v>
                </c:pt>
                <c:pt idx="19">
                  <c:v>379.82887862751778</c:v>
                </c:pt>
                <c:pt idx="20">
                  <c:v>401.53560266515689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E9-1040-8363-5E04BD3EE7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ws_Volatility_Matched!$N$2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C-9144-AE10-7CD26C90F8A4}"/>
            </c:ext>
          </c:extLst>
        </c:ser>
        <c:ser>
          <c:idx val="1"/>
          <c:order val="1"/>
          <c:tx>
            <c:strRef>
              <c:f>ws_Volatility_Matched!$O$2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5C-9144-AE10-7CD26C90F8A4}"/>
            </c:ext>
          </c:extLst>
        </c:ser>
        <c:ser>
          <c:idx val="2"/>
          <c:order val="2"/>
          <c:tx>
            <c:strRef>
              <c:f>ws_Volatility_Matched!$P$2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C-9144-AE10-7CD26C90F8A4}"/>
            </c:ext>
          </c:extLst>
        </c:ser>
        <c:ser>
          <c:idx val="3"/>
          <c:order val="3"/>
          <c:tx>
            <c:strRef>
              <c:f>ws_Volatility_Matched!$Q$2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ws_Volatility_Matched!$Q$3:$Q$23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5C-9144-AE10-7CD26C90F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ws_CVaR_Matched!$J$2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10-914A-B2E7-D9C69D3FDC2D}"/>
            </c:ext>
          </c:extLst>
        </c:ser>
        <c:ser>
          <c:idx val="1"/>
          <c:order val="1"/>
          <c:tx>
            <c:strRef>
              <c:f>ws_CVaR_Matched!$K$2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10-914A-B2E7-D9C69D3FDC2D}"/>
            </c:ext>
          </c:extLst>
        </c:ser>
        <c:ser>
          <c:idx val="2"/>
          <c:order val="2"/>
          <c:tx>
            <c:strRef>
              <c:f>ws_CVaR_Matched!$L$2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10-914A-B2E7-D9C69D3FDC2D}"/>
            </c:ext>
          </c:extLst>
        </c:ser>
        <c:ser>
          <c:idx val="3"/>
          <c:order val="3"/>
          <c:tx>
            <c:strRef>
              <c:f>ws_CVaR_Matched!$M$2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510-914A-B2E7-D9C69D3FDC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ws_CVaR_Matched!$B$2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89.641212623450031</c:v>
                </c:pt>
                <c:pt idx="2">
                  <c:v>92.223137975800157</c:v>
                </c:pt>
                <c:pt idx="3">
                  <c:v>94.972247542712282</c:v>
                </c:pt>
                <c:pt idx="4">
                  <c:v>96.674065287441763</c:v>
                </c:pt>
                <c:pt idx="5">
                  <c:v>99.788309680500817</c:v>
                </c:pt>
                <c:pt idx="6">
                  <c:v>102.8218120798106</c:v>
                </c:pt>
                <c:pt idx="7">
                  <c:v>103.1500664546906</c:v>
                </c:pt>
                <c:pt idx="8">
                  <c:v>105.2177726322638</c:v>
                </c:pt>
                <c:pt idx="9">
                  <c:v>105.8976848252283</c:v>
                </c:pt>
                <c:pt idx="10">
                  <c:v>109.1476295226954</c:v>
                </c:pt>
                <c:pt idx="11">
                  <c:v>111.3811182290499</c:v>
                </c:pt>
                <c:pt idx="12">
                  <c:v>114.65995380840199</c:v>
                </c:pt>
                <c:pt idx="13">
                  <c:v>117.8884188478185</c:v>
                </c:pt>
                <c:pt idx="14">
                  <c:v>120.80763497042641</c:v>
                </c:pt>
                <c:pt idx="15">
                  <c:v>124.3228420727341</c:v>
                </c:pt>
                <c:pt idx="16">
                  <c:v>127.0821203723642</c:v>
                </c:pt>
                <c:pt idx="17">
                  <c:v>132.6808078121548</c:v>
                </c:pt>
                <c:pt idx="18">
                  <c:v>138.0797449053091</c:v>
                </c:pt>
                <c:pt idx="19">
                  <c:v>143.55604503444911</c:v>
                </c:pt>
                <c:pt idx="20">
                  <c:v>147.87051798178379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67D-D649-851F-F296A978D12E}"/>
            </c:ext>
          </c:extLst>
        </c:ser>
        <c:ser>
          <c:idx val="1"/>
          <c:order val="1"/>
          <c:tx>
            <c:strRef>
              <c:f>ws_CVaR_Matched!$C$2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99.002992659026432</c:v>
                </c:pt>
                <c:pt idx="2">
                  <c:v>102.8298416146402</c:v>
                </c:pt>
                <c:pt idx="3">
                  <c:v>108.49167516152529</c:v>
                </c:pt>
                <c:pt idx="4">
                  <c:v>113.2597922180761</c:v>
                </c:pt>
                <c:pt idx="5">
                  <c:v>119.2564792450642</c:v>
                </c:pt>
                <c:pt idx="6">
                  <c:v>125.68126266892109</c:v>
                </c:pt>
                <c:pt idx="7">
                  <c:v>130.66307582946351</c:v>
                </c:pt>
                <c:pt idx="8">
                  <c:v>135.9783277970545</c:v>
                </c:pt>
                <c:pt idx="9">
                  <c:v>140.95493552960599</c:v>
                </c:pt>
                <c:pt idx="10">
                  <c:v>147.2254996483889</c:v>
                </c:pt>
                <c:pt idx="11">
                  <c:v>153.5513459499447</c:v>
                </c:pt>
                <c:pt idx="12">
                  <c:v>160.00600297296131</c:v>
                </c:pt>
                <c:pt idx="13">
                  <c:v>166.68442280622639</c:v>
                </c:pt>
                <c:pt idx="14">
                  <c:v>174.18307856917511</c:v>
                </c:pt>
                <c:pt idx="15">
                  <c:v>181.46593548172709</c:v>
                </c:pt>
                <c:pt idx="16">
                  <c:v>189.83376064030779</c:v>
                </c:pt>
                <c:pt idx="17">
                  <c:v>198.34223813639741</c:v>
                </c:pt>
                <c:pt idx="18">
                  <c:v>206.81110402407731</c:v>
                </c:pt>
                <c:pt idx="19">
                  <c:v>216.16444690531929</c:v>
                </c:pt>
                <c:pt idx="20">
                  <c:v>226.31540395495099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67D-D649-851F-F296A978D12E}"/>
            </c:ext>
          </c:extLst>
        </c:ser>
        <c:ser>
          <c:idx val="2"/>
          <c:order val="2"/>
          <c:tx>
            <c:strRef>
              <c:f>ws_CVaR_Matched!$D$2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108.5234062229174</c:v>
                </c:pt>
                <c:pt idx="2">
                  <c:v>116.8185243941714</c:v>
                </c:pt>
                <c:pt idx="3">
                  <c:v>125.29770710596419</c:v>
                </c:pt>
                <c:pt idx="4">
                  <c:v>134.85301041788651</c:v>
                </c:pt>
                <c:pt idx="5">
                  <c:v>145.5929848329844</c:v>
                </c:pt>
                <c:pt idx="6">
                  <c:v>156.46124847019991</c:v>
                </c:pt>
                <c:pt idx="7">
                  <c:v>167.51211589420751</c:v>
                </c:pt>
                <c:pt idx="8">
                  <c:v>179.2269419517086</c:v>
                </c:pt>
                <c:pt idx="9">
                  <c:v>190.6984761360236</c:v>
                </c:pt>
                <c:pt idx="10">
                  <c:v>203.21660250615599</c:v>
                </c:pt>
                <c:pt idx="11">
                  <c:v>216.14307588527831</c:v>
                </c:pt>
                <c:pt idx="12">
                  <c:v>229.2285703283533</c:v>
                </c:pt>
                <c:pt idx="13">
                  <c:v>243.89077692395099</c:v>
                </c:pt>
                <c:pt idx="14">
                  <c:v>259.18434032781158</c:v>
                </c:pt>
                <c:pt idx="15">
                  <c:v>275.21715416324389</c:v>
                </c:pt>
                <c:pt idx="16">
                  <c:v>292.15522573699741</c:v>
                </c:pt>
                <c:pt idx="17">
                  <c:v>310.11547545201682</c:v>
                </c:pt>
                <c:pt idx="18">
                  <c:v>329.9387975464719</c:v>
                </c:pt>
                <c:pt idx="19">
                  <c:v>350.77325853391352</c:v>
                </c:pt>
                <c:pt idx="20">
                  <c:v>373.6069499350312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67D-D649-851F-F296A978D12E}"/>
            </c:ext>
          </c:extLst>
        </c:ser>
        <c:ser>
          <c:idx val="3"/>
          <c:order val="3"/>
          <c:tx>
            <c:strRef>
              <c:f>ws_CVaR_Matched!$E$2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117.73461908528471</c:v>
                </c:pt>
                <c:pt idx="2">
                  <c:v>130.2769923934805</c:v>
                </c:pt>
                <c:pt idx="3">
                  <c:v>143.07079818831829</c:v>
                </c:pt>
                <c:pt idx="4">
                  <c:v>158.17593777322179</c:v>
                </c:pt>
                <c:pt idx="5">
                  <c:v>174.61667552472599</c:v>
                </c:pt>
                <c:pt idx="6">
                  <c:v>191.31412467904011</c:v>
                </c:pt>
                <c:pt idx="7">
                  <c:v>209.5733799408458</c:v>
                </c:pt>
                <c:pt idx="8">
                  <c:v>229.04358528187831</c:v>
                </c:pt>
                <c:pt idx="9">
                  <c:v>249.93548470559381</c:v>
                </c:pt>
                <c:pt idx="10">
                  <c:v>271.76726722593372</c:v>
                </c:pt>
                <c:pt idx="11">
                  <c:v>294.62060319558373</c:v>
                </c:pt>
                <c:pt idx="12">
                  <c:v>320.97290026240807</c:v>
                </c:pt>
                <c:pt idx="13">
                  <c:v>346.54948308621192</c:v>
                </c:pt>
                <c:pt idx="14">
                  <c:v>376.5677443120245</c:v>
                </c:pt>
                <c:pt idx="15">
                  <c:v>408.79060228912903</c:v>
                </c:pt>
                <c:pt idx="16">
                  <c:v>442.11172778779382</c:v>
                </c:pt>
                <c:pt idx="17">
                  <c:v>477.29089222928519</c:v>
                </c:pt>
                <c:pt idx="18">
                  <c:v>516.40855998182587</c:v>
                </c:pt>
                <c:pt idx="19">
                  <c:v>555.82395195248318</c:v>
                </c:pt>
                <c:pt idx="20">
                  <c:v>599.92465082384092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67D-D649-851F-F296A978D1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ws_CVaR_Matched!$F$2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86.612476556739196</c:v>
                </c:pt>
                <c:pt idx="2">
                  <c:v>86.951416398433523</c:v>
                </c:pt>
                <c:pt idx="3">
                  <c:v>87.687517507020118</c:v>
                </c:pt>
                <c:pt idx="4">
                  <c:v>87.424394818459021</c:v>
                </c:pt>
                <c:pt idx="5">
                  <c:v>88.05370836474728</c:v>
                </c:pt>
                <c:pt idx="6">
                  <c:v>89.256112160048318</c:v>
                </c:pt>
                <c:pt idx="7">
                  <c:v>87.994316027413547</c:v>
                </c:pt>
                <c:pt idx="8">
                  <c:v>88.253089706854936</c:v>
                </c:pt>
                <c:pt idx="9">
                  <c:v>87.726288048207081</c:v>
                </c:pt>
                <c:pt idx="10">
                  <c:v>87.62913996373382</c:v>
                </c:pt>
                <c:pt idx="11">
                  <c:v>88.346651250610293</c:v>
                </c:pt>
                <c:pt idx="12">
                  <c:v>89.268402750278369</c:v>
                </c:pt>
                <c:pt idx="13">
                  <c:v>89.965349674680581</c:v>
                </c:pt>
                <c:pt idx="14">
                  <c:v>90.957661163081198</c:v>
                </c:pt>
                <c:pt idx="15">
                  <c:v>91.888184697751811</c:v>
                </c:pt>
                <c:pt idx="16">
                  <c:v>92.293163361536259</c:v>
                </c:pt>
                <c:pt idx="17">
                  <c:v>94.578090331660675</c:v>
                </c:pt>
                <c:pt idx="18">
                  <c:v>95.693094852808201</c:v>
                </c:pt>
                <c:pt idx="19">
                  <c:v>97.898843375200215</c:v>
                </c:pt>
                <c:pt idx="20">
                  <c:v>99.449400402705422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06-5543-B105-3FB5D3733461}"/>
            </c:ext>
          </c:extLst>
        </c:ser>
        <c:ser>
          <c:idx val="1"/>
          <c:order val="1"/>
          <c:tx>
            <c:strRef>
              <c:f>ws_CVaR_Matched!$G$2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96.545100776958506</c:v>
                </c:pt>
                <c:pt idx="2">
                  <c:v>97.669721378842354</c:v>
                </c:pt>
                <c:pt idx="3">
                  <c:v>100.73337080065281</c:v>
                </c:pt>
                <c:pt idx="4">
                  <c:v>102.8097577571326</c:v>
                </c:pt>
                <c:pt idx="5">
                  <c:v>105.9619627599097</c:v>
                </c:pt>
                <c:pt idx="6">
                  <c:v>109.1801083056781</c:v>
                </c:pt>
                <c:pt idx="7">
                  <c:v>111.3982230934723</c:v>
                </c:pt>
                <c:pt idx="8">
                  <c:v>113.7071413222986</c:v>
                </c:pt>
                <c:pt idx="9">
                  <c:v>115.697979004644</c:v>
                </c:pt>
                <c:pt idx="10">
                  <c:v>118.5016129073511</c:v>
                </c:pt>
                <c:pt idx="11">
                  <c:v>121.096997420893</c:v>
                </c:pt>
                <c:pt idx="12">
                  <c:v>123.7268116231233</c:v>
                </c:pt>
                <c:pt idx="13">
                  <c:v>126.443533377693</c:v>
                </c:pt>
                <c:pt idx="14">
                  <c:v>129.64068315660481</c:v>
                </c:pt>
                <c:pt idx="15">
                  <c:v>132.66623023738219</c:v>
                </c:pt>
                <c:pt idx="16">
                  <c:v>135.85315200610279</c:v>
                </c:pt>
                <c:pt idx="17">
                  <c:v>139.2705977228284</c:v>
                </c:pt>
                <c:pt idx="18">
                  <c:v>142.32671257501951</c:v>
                </c:pt>
                <c:pt idx="19">
                  <c:v>145.85154643545621</c:v>
                </c:pt>
                <c:pt idx="20">
                  <c:v>150.0395428940233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06-5543-B105-3FB5D3733461}"/>
            </c:ext>
          </c:extLst>
        </c:ser>
        <c:ser>
          <c:idx val="2"/>
          <c:order val="2"/>
          <c:tx>
            <c:strRef>
              <c:f>ws_CVaR_Matched!$H$2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106.144990357992</c:v>
                </c:pt>
                <c:pt idx="2">
                  <c:v>111.6485996148476</c:v>
                </c:pt>
                <c:pt idx="3">
                  <c:v>117.15954769730951</c:v>
                </c:pt>
                <c:pt idx="4">
                  <c:v>123.51423158448971</c:v>
                </c:pt>
                <c:pt idx="5">
                  <c:v>130.32029231581711</c:v>
                </c:pt>
                <c:pt idx="6">
                  <c:v>137.14887640030409</c:v>
                </c:pt>
                <c:pt idx="7">
                  <c:v>143.83698483748239</c:v>
                </c:pt>
                <c:pt idx="8">
                  <c:v>150.8364107583501</c:v>
                </c:pt>
                <c:pt idx="9">
                  <c:v>157.25915750183589</c:v>
                </c:pt>
                <c:pt idx="10">
                  <c:v>164.00649113066461</c:v>
                </c:pt>
                <c:pt idx="11">
                  <c:v>171.11654503484871</c:v>
                </c:pt>
                <c:pt idx="12">
                  <c:v>178.21204125649859</c:v>
                </c:pt>
                <c:pt idx="13">
                  <c:v>185.9351206893769</c:v>
                </c:pt>
                <c:pt idx="14">
                  <c:v>193.77523038467709</c:v>
                </c:pt>
                <c:pt idx="15">
                  <c:v>201.51809186328279</c:v>
                </c:pt>
                <c:pt idx="16">
                  <c:v>210.1833906140196</c:v>
                </c:pt>
                <c:pt idx="17">
                  <c:v>218.62261566262049</c:v>
                </c:pt>
                <c:pt idx="18">
                  <c:v>228.44698532884141</c:v>
                </c:pt>
                <c:pt idx="19">
                  <c:v>238.49462733291469</c:v>
                </c:pt>
                <c:pt idx="20">
                  <c:v>248.80285518151359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06-5543-B105-3FB5D3733461}"/>
            </c:ext>
          </c:extLst>
        </c:ser>
        <c:ser>
          <c:idx val="3"/>
          <c:order val="3"/>
          <c:tx>
            <c:strRef>
              <c:f>ws_CVaR_Matched!$I$2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115.51202290041471</c:v>
                </c:pt>
                <c:pt idx="2">
                  <c:v>125.00108385935251</c:v>
                </c:pt>
                <c:pt idx="3">
                  <c:v>134.34018402208261</c:v>
                </c:pt>
                <c:pt idx="4">
                  <c:v>145.60598316508981</c:v>
                </c:pt>
                <c:pt idx="5">
                  <c:v>157.3645638254298</c:v>
                </c:pt>
                <c:pt idx="6">
                  <c:v>168.81992558792439</c:v>
                </c:pt>
                <c:pt idx="7">
                  <c:v>181.2673266106643</c:v>
                </c:pt>
                <c:pt idx="8">
                  <c:v>194.0259432986546</c:v>
                </c:pt>
                <c:pt idx="9">
                  <c:v>208.219238422221</c:v>
                </c:pt>
                <c:pt idx="10">
                  <c:v>221.65201596195951</c:v>
                </c:pt>
                <c:pt idx="11">
                  <c:v>235.3780557007631</c:v>
                </c:pt>
                <c:pt idx="12">
                  <c:v>251.0451847936998</c:v>
                </c:pt>
                <c:pt idx="13">
                  <c:v>266.42276711610202</c:v>
                </c:pt>
                <c:pt idx="14">
                  <c:v>282.78289483993927</c:v>
                </c:pt>
                <c:pt idx="15">
                  <c:v>300.81105397123201</c:v>
                </c:pt>
                <c:pt idx="16">
                  <c:v>318.49743523186731</c:v>
                </c:pt>
                <c:pt idx="17">
                  <c:v>337.38182223521551</c:v>
                </c:pt>
                <c:pt idx="18">
                  <c:v>356.27405806835088</c:v>
                </c:pt>
                <c:pt idx="19">
                  <c:v>376.45374477986161</c:v>
                </c:pt>
                <c:pt idx="20">
                  <c:v>397.63462313143248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06-5543-B105-3FB5D37334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ws_CVaR_Matched!$N$2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08-0646-AAD9-2991F0F7A780}"/>
            </c:ext>
          </c:extLst>
        </c:ser>
        <c:ser>
          <c:idx val="1"/>
          <c:order val="1"/>
          <c:tx>
            <c:strRef>
              <c:f>ws_CVaR_Matched!$O$2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008-0646-AAD9-2991F0F7A780}"/>
            </c:ext>
          </c:extLst>
        </c:ser>
        <c:ser>
          <c:idx val="2"/>
          <c:order val="2"/>
          <c:tx>
            <c:strRef>
              <c:f>ws_CVaR_Matched!$P$2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008-0646-AAD9-2991F0F7A780}"/>
            </c:ext>
          </c:extLst>
        </c:ser>
        <c:ser>
          <c:idx val="3"/>
          <c:order val="3"/>
          <c:tx>
            <c:strRef>
              <c:f>ws_CVaR_Matched!$Q$2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ws_CVaR_Matched!$A$3:$A$23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ws_CVaR_Matched!$Q$3:$Q$23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008-0646-AAD9-2991F0F7A7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04-E44F-B9F8-1F834A07BF93}"/>
            </c:ext>
          </c:extLst>
        </c:ser>
        <c:ser>
          <c:idx val="1"/>
          <c:order val="1"/>
          <c:tx>
            <c:strRef>
              <c:f>ws_Return_Matched!$K$2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304-E44F-B9F8-1F834A07BF93}"/>
            </c:ext>
          </c:extLst>
        </c:ser>
        <c:ser>
          <c:idx val="2"/>
          <c:order val="2"/>
          <c:tx>
            <c:strRef>
              <c:f>ws_Return_Matched!$L$2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304-E44F-B9F8-1F834A07BF93}"/>
            </c:ext>
          </c:extLst>
        </c:ser>
        <c:ser>
          <c:idx val="3"/>
          <c:order val="3"/>
          <c:tx>
            <c:strRef>
              <c:f>ws_Return_Matched!$M$2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304-E44F-B9F8-1F834A07BF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93.093660893094466</c:v>
                </c:pt>
                <c:pt idx="2">
                  <c:v>96.286938855117526</c:v>
                </c:pt>
                <c:pt idx="3">
                  <c:v>99.379600048359563</c:v>
                </c:pt>
                <c:pt idx="4">
                  <c:v>101.56260050615489</c:v>
                </c:pt>
                <c:pt idx="5">
                  <c:v>105.0081986033486</c:v>
                </c:pt>
                <c:pt idx="6">
                  <c:v>107.952127762336</c:v>
                </c:pt>
                <c:pt idx="7">
                  <c:v>108.67146517283069</c:v>
                </c:pt>
                <c:pt idx="8">
                  <c:v>110.84379296272439</c:v>
                </c:pt>
                <c:pt idx="9">
                  <c:v>112.064292534589</c:v>
                </c:pt>
                <c:pt idx="10">
                  <c:v>114.6986039248104</c:v>
                </c:pt>
                <c:pt idx="11">
                  <c:v>117.23026795501499</c:v>
                </c:pt>
                <c:pt idx="12">
                  <c:v>120.05860875281751</c:v>
                </c:pt>
                <c:pt idx="13">
                  <c:v>123.4280733964537</c:v>
                </c:pt>
                <c:pt idx="14">
                  <c:v>125.6932798168766</c:v>
                </c:pt>
                <c:pt idx="15">
                  <c:v>129.1747332428269</c:v>
                </c:pt>
                <c:pt idx="16">
                  <c:v>132.79777122641499</c:v>
                </c:pt>
                <c:pt idx="17">
                  <c:v>136.5890722812224</c:v>
                </c:pt>
                <c:pt idx="18">
                  <c:v>141.13569878768419</c:v>
                </c:pt>
                <c:pt idx="19">
                  <c:v>145.4530464839209</c:v>
                </c:pt>
                <c:pt idx="20">
                  <c:v>149.5608817145243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E6-B344-8C71-84D0A7DA8CAD}"/>
            </c:ext>
          </c:extLst>
        </c:ser>
        <c:ser>
          <c:idx val="1"/>
          <c:order val="1"/>
          <c:tx>
            <c:strRef>
              <c:f>ws_Return_Matched!$C$2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100.3000495587043</c:v>
                </c:pt>
                <c:pt idx="2">
                  <c:v>104.37020379958631</c:v>
                </c:pt>
                <c:pt idx="3">
                  <c:v>109.68157466043751</c:v>
                </c:pt>
                <c:pt idx="4">
                  <c:v>114.39721304243911</c:v>
                </c:pt>
                <c:pt idx="5">
                  <c:v>120.06084540500019</c:v>
                </c:pt>
                <c:pt idx="6">
                  <c:v>125.86018569684551</c:v>
                </c:pt>
                <c:pt idx="7">
                  <c:v>130.52026216065849</c:v>
                </c:pt>
                <c:pt idx="8">
                  <c:v>135.07760573078369</c:v>
                </c:pt>
                <c:pt idx="9">
                  <c:v>139.24085098110061</c:v>
                </c:pt>
                <c:pt idx="10">
                  <c:v>144.57473210913381</c:v>
                </c:pt>
                <c:pt idx="11">
                  <c:v>149.68730269358349</c:v>
                </c:pt>
                <c:pt idx="12">
                  <c:v>155.17579076942079</c:v>
                </c:pt>
                <c:pt idx="13">
                  <c:v>160.71315916921651</c:v>
                </c:pt>
                <c:pt idx="14">
                  <c:v>166.9073169232461</c:v>
                </c:pt>
                <c:pt idx="15">
                  <c:v>173.05005443275641</c:v>
                </c:pt>
                <c:pt idx="16">
                  <c:v>179.77042759602341</c:v>
                </c:pt>
                <c:pt idx="17">
                  <c:v>186.5884772986135</c:v>
                </c:pt>
                <c:pt idx="18">
                  <c:v>194.19095927595299</c:v>
                </c:pt>
                <c:pt idx="19">
                  <c:v>201.48097514410719</c:v>
                </c:pt>
                <c:pt idx="20">
                  <c:v>209.04026609377959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E6-B344-8C71-84D0A7DA8CAD}"/>
            </c:ext>
          </c:extLst>
        </c:ser>
        <c:ser>
          <c:idx val="2"/>
          <c:order val="2"/>
          <c:tx>
            <c:strRef>
              <c:f>ws_Return_Matched!$D$2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107.5281398056409</c:v>
                </c:pt>
                <c:pt idx="2">
                  <c:v>114.748611061245</c:v>
                </c:pt>
                <c:pt idx="3">
                  <c:v>122.146388953157</c:v>
                </c:pt>
                <c:pt idx="4">
                  <c:v>130.34406797237199</c:v>
                </c:pt>
                <c:pt idx="5">
                  <c:v>139.38826269428029</c:v>
                </c:pt>
                <c:pt idx="6">
                  <c:v>148.70461125724631</c:v>
                </c:pt>
                <c:pt idx="7">
                  <c:v>157.715133936462</c:v>
                </c:pt>
                <c:pt idx="8">
                  <c:v>167.0265523888126</c:v>
                </c:pt>
                <c:pt idx="9">
                  <c:v>176.31508629437729</c:v>
                </c:pt>
                <c:pt idx="10">
                  <c:v>185.97742502570219</c:v>
                </c:pt>
                <c:pt idx="11">
                  <c:v>196.0513005010672</c:v>
                </c:pt>
                <c:pt idx="12">
                  <c:v>206.29238741309979</c:v>
                </c:pt>
                <c:pt idx="13">
                  <c:v>217.118638510556</c:v>
                </c:pt>
                <c:pt idx="14">
                  <c:v>228.76460120698221</c:v>
                </c:pt>
                <c:pt idx="15">
                  <c:v>240.41018930847039</c:v>
                </c:pt>
                <c:pt idx="16">
                  <c:v>253.0555688815956</c:v>
                </c:pt>
                <c:pt idx="17">
                  <c:v>266.6547126070908</c:v>
                </c:pt>
                <c:pt idx="18">
                  <c:v>280.41303758430519</c:v>
                </c:pt>
                <c:pt idx="19">
                  <c:v>295.5001086468418</c:v>
                </c:pt>
                <c:pt idx="20">
                  <c:v>311.64269032949937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E6-B344-8C71-84D0A7DA8CAD}"/>
            </c:ext>
          </c:extLst>
        </c:ser>
        <c:ser>
          <c:idx val="3"/>
          <c:order val="3"/>
          <c:tx>
            <c:strRef>
              <c:f>ws_Return_Matched!$E$2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114.3495688701842</c:v>
                </c:pt>
                <c:pt idx="2">
                  <c:v>124.6745847498341</c:v>
                </c:pt>
                <c:pt idx="3">
                  <c:v>135.04355182773909</c:v>
                </c:pt>
                <c:pt idx="4">
                  <c:v>147.13222476081441</c:v>
                </c:pt>
                <c:pt idx="5">
                  <c:v>160.18072136088921</c:v>
                </c:pt>
                <c:pt idx="6">
                  <c:v>173.3464637686175</c:v>
                </c:pt>
                <c:pt idx="7">
                  <c:v>187.31087200985871</c:v>
                </c:pt>
                <c:pt idx="8">
                  <c:v>202.07016737445869</c:v>
                </c:pt>
                <c:pt idx="9">
                  <c:v>217.3904839891818</c:v>
                </c:pt>
                <c:pt idx="10">
                  <c:v>233.53062310991669</c:v>
                </c:pt>
                <c:pt idx="11">
                  <c:v>250.77972233593749</c:v>
                </c:pt>
                <c:pt idx="12">
                  <c:v>269.23677617062742</c:v>
                </c:pt>
                <c:pt idx="13">
                  <c:v>288.60783470002212</c:v>
                </c:pt>
                <c:pt idx="14">
                  <c:v>309.60589737685609</c:v>
                </c:pt>
                <c:pt idx="15">
                  <c:v>331.91761543004941</c:v>
                </c:pt>
                <c:pt idx="16">
                  <c:v>355.15907571463731</c:v>
                </c:pt>
                <c:pt idx="17">
                  <c:v>380.11948005168051</c:v>
                </c:pt>
                <c:pt idx="18">
                  <c:v>406.86985192115242</c:v>
                </c:pt>
                <c:pt idx="19">
                  <c:v>433.90218229978967</c:v>
                </c:pt>
                <c:pt idx="20">
                  <c:v>463.68757632468117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E6-B344-8C71-84D0A7DA8C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89.964000079504274</c:v>
                </c:pt>
                <c:pt idx="2">
                  <c:v>90.645757537504295</c:v>
                </c:pt>
                <c:pt idx="3">
                  <c:v>91.582844474815644</c:v>
                </c:pt>
                <c:pt idx="4">
                  <c:v>91.657604501408244</c:v>
                </c:pt>
                <c:pt idx="5">
                  <c:v>92.977124619437575</c:v>
                </c:pt>
                <c:pt idx="6">
                  <c:v>93.572726179582006</c:v>
                </c:pt>
                <c:pt idx="7">
                  <c:v>92.743010570089808</c:v>
                </c:pt>
                <c:pt idx="8">
                  <c:v>92.897847881797631</c:v>
                </c:pt>
                <c:pt idx="9">
                  <c:v>92.706717906059183</c:v>
                </c:pt>
                <c:pt idx="10">
                  <c:v>92.300513716785645</c:v>
                </c:pt>
                <c:pt idx="11">
                  <c:v>92.33662820020561</c:v>
                </c:pt>
                <c:pt idx="12">
                  <c:v>93.383527526948654</c:v>
                </c:pt>
                <c:pt idx="13">
                  <c:v>93.882762513184474</c:v>
                </c:pt>
                <c:pt idx="14">
                  <c:v>94.510575925037273</c:v>
                </c:pt>
                <c:pt idx="15">
                  <c:v>95.153645380569031</c:v>
                </c:pt>
                <c:pt idx="16">
                  <c:v>96.040031111739864</c:v>
                </c:pt>
                <c:pt idx="17">
                  <c:v>96.931174482523488</c:v>
                </c:pt>
                <c:pt idx="18">
                  <c:v>97.724643306236075</c:v>
                </c:pt>
                <c:pt idx="19">
                  <c:v>98.947053358008461</c:v>
                </c:pt>
                <c:pt idx="20">
                  <c:v>99.69215271174761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A79-7C43-8574-BFE191B34AE8}"/>
            </c:ext>
          </c:extLst>
        </c:ser>
        <c:ser>
          <c:idx val="1"/>
          <c:order val="1"/>
          <c:tx>
            <c:strRef>
              <c:f>ws_Return_Matched!$G$2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97.802672023095795</c:v>
                </c:pt>
                <c:pt idx="2">
                  <c:v>99.09348020000445</c:v>
                </c:pt>
                <c:pt idx="3">
                  <c:v>101.8533024351286</c:v>
                </c:pt>
                <c:pt idx="4">
                  <c:v>103.8487113554885</c:v>
                </c:pt>
                <c:pt idx="5">
                  <c:v>106.7291238789028</c:v>
                </c:pt>
                <c:pt idx="6">
                  <c:v>109.3315580685167</c:v>
                </c:pt>
                <c:pt idx="7">
                  <c:v>111.2601086999663</c:v>
                </c:pt>
                <c:pt idx="8">
                  <c:v>112.9208616278366</c:v>
                </c:pt>
                <c:pt idx="9">
                  <c:v>114.298109135012</c:v>
                </c:pt>
                <c:pt idx="10">
                  <c:v>116.18205377145151</c:v>
                </c:pt>
                <c:pt idx="11">
                  <c:v>118.068434236972</c:v>
                </c:pt>
                <c:pt idx="12">
                  <c:v>120.0709993890963</c:v>
                </c:pt>
                <c:pt idx="13">
                  <c:v>121.8948688726184</c:v>
                </c:pt>
                <c:pt idx="14">
                  <c:v>124.4351270776353</c:v>
                </c:pt>
                <c:pt idx="15">
                  <c:v>126.5339553031681</c:v>
                </c:pt>
                <c:pt idx="16">
                  <c:v>128.70999720715011</c:v>
                </c:pt>
                <c:pt idx="17">
                  <c:v>130.79331957200699</c:v>
                </c:pt>
                <c:pt idx="18">
                  <c:v>133.22134744857439</c:v>
                </c:pt>
                <c:pt idx="19">
                  <c:v>135.65563963513779</c:v>
                </c:pt>
                <c:pt idx="20">
                  <c:v>139.1129950217811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79-7C43-8574-BFE191B34AE8}"/>
            </c:ext>
          </c:extLst>
        </c:ser>
        <c:ser>
          <c:idx val="2"/>
          <c:order val="2"/>
          <c:tx>
            <c:strRef>
              <c:f>ws_Return_Matched!$H$2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105.1805839391851</c:v>
                </c:pt>
                <c:pt idx="2">
                  <c:v>109.66216752681891</c:v>
                </c:pt>
                <c:pt idx="3">
                  <c:v>114.1823284853761</c:v>
                </c:pt>
                <c:pt idx="4">
                  <c:v>119.3664404685229</c:v>
                </c:pt>
                <c:pt idx="5">
                  <c:v>124.8181668003441</c:v>
                </c:pt>
                <c:pt idx="6">
                  <c:v>130.40261280445219</c:v>
                </c:pt>
                <c:pt idx="7">
                  <c:v>135.57384216703011</c:v>
                </c:pt>
                <c:pt idx="8">
                  <c:v>140.70924709576551</c:v>
                </c:pt>
                <c:pt idx="9">
                  <c:v>145.62726299523251</c:v>
                </c:pt>
                <c:pt idx="10">
                  <c:v>150.42529369923321</c:v>
                </c:pt>
                <c:pt idx="11">
                  <c:v>155.16586451737379</c:v>
                </c:pt>
                <c:pt idx="12">
                  <c:v>160.37490996637399</c:v>
                </c:pt>
                <c:pt idx="13">
                  <c:v>165.53869613801601</c:v>
                </c:pt>
                <c:pt idx="14">
                  <c:v>171.10437567260621</c:v>
                </c:pt>
                <c:pt idx="15">
                  <c:v>176.3502526974772</c:v>
                </c:pt>
                <c:pt idx="16">
                  <c:v>182.21067949140169</c:v>
                </c:pt>
                <c:pt idx="17">
                  <c:v>188.1052548790386</c:v>
                </c:pt>
                <c:pt idx="18">
                  <c:v>194.60020702664411</c:v>
                </c:pt>
                <c:pt idx="19">
                  <c:v>200.9141302862719</c:v>
                </c:pt>
                <c:pt idx="20">
                  <c:v>207.38083402783221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A79-7C43-8574-BFE191B34AE8}"/>
            </c:ext>
          </c:extLst>
        </c:ser>
        <c:ser>
          <c:idx val="3"/>
          <c:order val="3"/>
          <c:tx>
            <c:strRef>
              <c:f>ws_Return_Matched!$I$2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112.15870883076759</c:v>
                </c:pt>
                <c:pt idx="2">
                  <c:v>119.60253259399001</c:v>
                </c:pt>
                <c:pt idx="3">
                  <c:v>126.83568066689431</c:v>
                </c:pt>
                <c:pt idx="4">
                  <c:v>135.43296332070429</c:v>
                </c:pt>
                <c:pt idx="5">
                  <c:v>144.3770605504277</c:v>
                </c:pt>
                <c:pt idx="6">
                  <c:v>153.0951930645499</c:v>
                </c:pt>
                <c:pt idx="7">
                  <c:v>162.1848938064818</c:v>
                </c:pt>
                <c:pt idx="8">
                  <c:v>171.2729773458145</c:v>
                </c:pt>
                <c:pt idx="9">
                  <c:v>180.86071429102151</c:v>
                </c:pt>
                <c:pt idx="10">
                  <c:v>190.37181750234069</c:v>
                </c:pt>
                <c:pt idx="11">
                  <c:v>199.9422712917881</c:v>
                </c:pt>
                <c:pt idx="12">
                  <c:v>210.5194595788204</c:v>
                </c:pt>
                <c:pt idx="13">
                  <c:v>221.16970973588329</c:v>
                </c:pt>
                <c:pt idx="14">
                  <c:v>232.24212935291391</c:v>
                </c:pt>
                <c:pt idx="15">
                  <c:v>243.78919215076851</c:v>
                </c:pt>
                <c:pt idx="16">
                  <c:v>255.75318905394411</c:v>
                </c:pt>
                <c:pt idx="17">
                  <c:v>267.60082708913939</c:v>
                </c:pt>
                <c:pt idx="18">
                  <c:v>280.79279665844678</c:v>
                </c:pt>
                <c:pt idx="19">
                  <c:v>292.6351514512296</c:v>
                </c:pt>
                <c:pt idx="20">
                  <c:v>305.47999171546837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A79-7C43-8574-BFE191B34A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ws_Return_Matched!$N$2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64-B04E-B265-A86F25F0DC47}"/>
            </c:ext>
          </c:extLst>
        </c:ser>
        <c:ser>
          <c:idx val="1"/>
          <c:order val="1"/>
          <c:tx>
            <c:strRef>
              <c:f>ws_Return_Matched!$O$2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64-B04E-B265-A86F25F0DC47}"/>
            </c:ext>
          </c:extLst>
        </c:ser>
        <c:ser>
          <c:idx val="2"/>
          <c:order val="2"/>
          <c:tx>
            <c:strRef>
              <c:f>ws_Return_Matched!$P$2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664-B04E-B265-A86F25F0DC47}"/>
            </c:ext>
          </c:extLst>
        </c:ser>
        <c:ser>
          <c:idx val="3"/>
          <c:order val="3"/>
          <c:tx>
            <c:strRef>
              <c:f>ws_Return_Matched!$Q$2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ws_Return_Matched!$A$3:$A$23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ws_Return_Matched!$Q$3:$Q$23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664-B04E-B265-A86F25F0DC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ws_Max_Drawdown_Matched!$J$2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F1-B849-A6DA-0B196C8C501F}"/>
            </c:ext>
          </c:extLst>
        </c:ser>
        <c:ser>
          <c:idx val="1"/>
          <c:order val="1"/>
          <c:tx>
            <c:strRef>
              <c:f>ws_Max_Drawdown_Matched!$K$2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F1-B849-A6DA-0B196C8C501F}"/>
            </c:ext>
          </c:extLst>
        </c:ser>
        <c:ser>
          <c:idx val="2"/>
          <c:order val="2"/>
          <c:tx>
            <c:strRef>
              <c:f>ws_Max_Drawdown_Matched!$L$2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9F1-B849-A6DA-0B196C8C501F}"/>
            </c:ext>
          </c:extLst>
        </c:ser>
        <c:ser>
          <c:idx val="3"/>
          <c:order val="3"/>
          <c:tx>
            <c:strRef>
              <c:f>ws_Max_Drawdown_Matched!$M$2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9F1-B849-A6DA-0B196C8C50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ws_Max_Drawdown_Matched!$B$2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ws_Max_Drawdown_Matched!$B$3:$B$23</c:f>
              <c:numCache>
                <c:formatCode>General</c:formatCode>
                <c:ptCount val="21"/>
                <c:pt idx="0">
                  <c:v>100</c:v>
                </c:pt>
                <c:pt idx="1">
                  <c:v>90.143957107971985</c:v>
                </c:pt>
                <c:pt idx="2">
                  <c:v>92.904963506072917</c:v>
                </c:pt>
                <c:pt idx="3">
                  <c:v>95.867022553512115</c:v>
                </c:pt>
                <c:pt idx="4">
                  <c:v>97.698127422467351</c:v>
                </c:pt>
                <c:pt idx="5">
                  <c:v>100.9960292008782</c:v>
                </c:pt>
                <c:pt idx="6">
                  <c:v>104.10960045370371</c:v>
                </c:pt>
                <c:pt idx="7">
                  <c:v>104.789050857991</c:v>
                </c:pt>
                <c:pt idx="8">
                  <c:v>106.8869276454337</c:v>
                </c:pt>
                <c:pt idx="9">
                  <c:v>107.5977597905497</c:v>
                </c:pt>
                <c:pt idx="10">
                  <c:v>110.9317994006458</c:v>
                </c:pt>
                <c:pt idx="11">
                  <c:v>113.12090417191099</c:v>
                </c:pt>
                <c:pt idx="12">
                  <c:v>116.4279372380679</c:v>
                </c:pt>
                <c:pt idx="13">
                  <c:v>120.022366781676</c:v>
                </c:pt>
                <c:pt idx="14">
                  <c:v>123.031218887959</c:v>
                </c:pt>
                <c:pt idx="15">
                  <c:v>126.7393421616389</c:v>
                </c:pt>
                <c:pt idx="16">
                  <c:v>129.72405230441771</c:v>
                </c:pt>
                <c:pt idx="17">
                  <c:v>135.27400390370451</c:v>
                </c:pt>
                <c:pt idx="18">
                  <c:v>140.82138375656379</c:v>
                </c:pt>
                <c:pt idx="19">
                  <c:v>146.34031448291719</c:v>
                </c:pt>
                <c:pt idx="20">
                  <c:v>150.74441394055091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27C-C544-A24A-BE7FC5B81A64}"/>
            </c:ext>
          </c:extLst>
        </c:ser>
        <c:ser>
          <c:idx val="1"/>
          <c:order val="1"/>
          <c:tx>
            <c:strRef>
              <c:f>ws_Max_Drawdown_Matched!$C$2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ws_Max_Drawdown_Matched!$C$3:$C$23</c:f>
              <c:numCache>
                <c:formatCode>General</c:formatCode>
                <c:ptCount val="21"/>
                <c:pt idx="0">
                  <c:v>100</c:v>
                </c:pt>
                <c:pt idx="1">
                  <c:v>99.296272658160191</c:v>
                </c:pt>
                <c:pt idx="2">
                  <c:v>103.2221696981769</c:v>
                </c:pt>
                <c:pt idx="3">
                  <c:v>109.0038194943901</c:v>
                </c:pt>
                <c:pt idx="4">
                  <c:v>113.8286040710759</c:v>
                </c:pt>
                <c:pt idx="5">
                  <c:v>119.9784462149747</c:v>
                </c:pt>
                <c:pt idx="6">
                  <c:v>126.4030304196294</c:v>
                </c:pt>
                <c:pt idx="7">
                  <c:v>131.4146492525621</c:v>
                </c:pt>
                <c:pt idx="8">
                  <c:v>136.81305549632401</c:v>
                </c:pt>
                <c:pt idx="9">
                  <c:v>141.8462352489843</c:v>
                </c:pt>
                <c:pt idx="10">
                  <c:v>148.14570647272851</c:v>
                </c:pt>
                <c:pt idx="11">
                  <c:v>154.60565043625309</c:v>
                </c:pt>
                <c:pt idx="12">
                  <c:v>160.8119553373671</c:v>
                </c:pt>
                <c:pt idx="13">
                  <c:v>167.63600984971049</c:v>
                </c:pt>
                <c:pt idx="14">
                  <c:v>175.12945270086001</c:v>
                </c:pt>
                <c:pt idx="15">
                  <c:v>182.498812200022</c:v>
                </c:pt>
                <c:pt idx="16">
                  <c:v>190.6223576179743</c:v>
                </c:pt>
                <c:pt idx="17">
                  <c:v>199.14673398061581</c:v>
                </c:pt>
                <c:pt idx="18">
                  <c:v>207.86228245370799</c:v>
                </c:pt>
                <c:pt idx="19">
                  <c:v>217.2172359237147</c:v>
                </c:pt>
                <c:pt idx="20">
                  <c:v>227.237381046271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7C-C544-A24A-BE7FC5B81A64}"/>
            </c:ext>
          </c:extLst>
        </c:ser>
        <c:ser>
          <c:idx val="2"/>
          <c:order val="2"/>
          <c:tx>
            <c:strRef>
              <c:f>ws_Max_Drawdown_Matched!$D$2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108.46120234424571</c:v>
                </c:pt>
                <c:pt idx="2">
                  <c:v>116.801667955049</c:v>
                </c:pt>
                <c:pt idx="3">
                  <c:v>125.25322135789411</c:v>
                </c:pt>
                <c:pt idx="4">
                  <c:v>134.80107872739671</c:v>
                </c:pt>
                <c:pt idx="5">
                  <c:v>145.39875008092119</c:v>
                </c:pt>
                <c:pt idx="6">
                  <c:v>156.22810662100619</c:v>
                </c:pt>
                <c:pt idx="7">
                  <c:v>167.08035503949381</c:v>
                </c:pt>
                <c:pt idx="8">
                  <c:v>178.54993207595811</c:v>
                </c:pt>
                <c:pt idx="9">
                  <c:v>189.9471720839434</c:v>
                </c:pt>
                <c:pt idx="10">
                  <c:v>202.1994818284854</c:v>
                </c:pt>
                <c:pt idx="11">
                  <c:v>214.83607339595781</c:v>
                </c:pt>
                <c:pt idx="12">
                  <c:v>227.74927808811489</c:v>
                </c:pt>
                <c:pt idx="13">
                  <c:v>242.08022414711439</c:v>
                </c:pt>
                <c:pt idx="14">
                  <c:v>257.11931324706222</c:v>
                </c:pt>
                <c:pt idx="15">
                  <c:v>272.7976941438327</c:v>
                </c:pt>
                <c:pt idx="16">
                  <c:v>289.39385470208799</c:v>
                </c:pt>
                <c:pt idx="17">
                  <c:v>307.01023235240871</c:v>
                </c:pt>
                <c:pt idx="18">
                  <c:v>326.4090381958066</c:v>
                </c:pt>
                <c:pt idx="19">
                  <c:v>346.50071710512168</c:v>
                </c:pt>
                <c:pt idx="20">
                  <c:v>368.87926122239338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27C-C544-A24A-BE7FC5B81A64}"/>
            </c:ext>
          </c:extLst>
        </c:ser>
        <c:ser>
          <c:idx val="3"/>
          <c:order val="3"/>
          <c:tx>
            <c:strRef>
              <c:f>ws_Max_Drawdown_Matched!$E$2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117.41214524717731</c:v>
                </c:pt>
                <c:pt idx="2">
                  <c:v>129.75208325597819</c:v>
                </c:pt>
                <c:pt idx="3">
                  <c:v>142.24780483796161</c:v>
                </c:pt>
                <c:pt idx="4">
                  <c:v>157.18477470710971</c:v>
                </c:pt>
                <c:pt idx="5">
                  <c:v>173.22714010015761</c:v>
                </c:pt>
                <c:pt idx="6">
                  <c:v>189.62018182709389</c:v>
                </c:pt>
                <c:pt idx="7">
                  <c:v>207.56664759867181</c:v>
                </c:pt>
                <c:pt idx="8">
                  <c:v>226.3585817371239</c:v>
                </c:pt>
                <c:pt idx="9">
                  <c:v>246.42007956934179</c:v>
                </c:pt>
                <c:pt idx="10">
                  <c:v>267.89127093974702</c:v>
                </c:pt>
                <c:pt idx="11">
                  <c:v>290.39333566958538</c:v>
                </c:pt>
                <c:pt idx="12">
                  <c:v>315.62135313101459</c:v>
                </c:pt>
                <c:pt idx="13">
                  <c:v>340.09679039578282</c:v>
                </c:pt>
                <c:pt idx="14">
                  <c:v>369.39270068318871</c:v>
                </c:pt>
                <c:pt idx="15">
                  <c:v>399.97280071926372</c:v>
                </c:pt>
                <c:pt idx="16">
                  <c:v>432.76502063312228</c:v>
                </c:pt>
                <c:pt idx="17">
                  <c:v>467.29698931805592</c:v>
                </c:pt>
                <c:pt idx="18">
                  <c:v>504.35970328644129</c:v>
                </c:pt>
                <c:pt idx="19">
                  <c:v>541.8546210781991</c:v>
                </c:pt>
                <c:pt idx="20">
                  <c:v>584.88415181245387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27C-C544-A24A-BE7FC5B81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ws_Max_Drawdown_Matched!$F$2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ws_Max_Drawdown_Matched!$F$3:$F$23</c:f>
              <c:numCache>
                <c:formatCode>General</c:formatCode>
                <c:ptCount val="21"/>
                <c:pt idx="0">
                  <c:v>100</c:v>
                </c:pt>
                <c:pt idx="1">
                  <c:v>87.077528035288935</c:v>
                </c:pt>
                <c:pt idx="2">
                  <c:v>87.580068149039803</c:v>
                </c:pt>
                <c:pt idx="3">
                  <c:v>88.479851487841515</c:v>
                </c:pt>
                <c:pt idx="4">
                  <c:v>88.372382313965744</c:v>
                </c:pt>
                <c:pt idx="5">
                  <c:v>89.293012482695318</c:v>
                </c:pt>
                <c:pt idx="6">
                  <c:v>90.333539435934071</c:v>
                </c:pt>
                <c:pt idx="7">
                  <c:v>89.346029838770775</c:v>
                </c:pt>
                <c:pt idx="8">
                  <c:v>89.667657903632161</c:v>
                </c:pt>
                <c:pt idx="9">
                  <c:v>89.151397432375504</c:v>
                </c:pt>
                <c:pt idx="10">
                  <c:v>89.088321815211302</c:v>
                </c:pt>
                <c:pt idx="11">
                  <c:v>89.773348351052846</c:v>
                </c:pt>
                <c:pt idx="12">
                  <c:v>90.7997020502401</c:v>
                </c:pt>
                <c:pt idx="13">
                  <c:v>91.42377839016811</c:v>
                </c:pt>
                <c:pt idx="14">
                  <c:v>92.049717800125336</c:v>
                </c:pt>
                <c:pt idx="15">
                  <c:v>93.788502192068762</c:v>
                </c:pt>
                <c:pt idx="16">
                  <c:v>94.096592425774048</c:v>
                </c:pt>
                <c:pt idx="17">
                  <c:v>96.084798726812707</c:v>
                </c:pt>
                <c:pt idx="18">
                  <c:v>97.330325862385621</c:v>
                </c:pt>
                <c:pt idx="19">
                  <c:v>99.585290896025498</c:v>
                </c:pt>
                <c:pt idx="20">
                  <c:v>100.81516531247139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5A-8F43-B78C-4C53747523D6}"/>
            </c:ext>
          </c:extLst>
        </c:ser>
        <c:ser>
          <c:idx val="1"/>
          <c:order val="1"/>
          <c:tx>
            <c:strRef>
              <c:f>ws_Max_Drawdown_Matched!$G$2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ws_Max_Drawdown_Matched!$G$3:$G$23</c:f>
              <c:numCache>
                <c:formatCode>General</c:formatCode>
                <c:ptCount val="21"/>
                <c:pt idx="0">
                  <c:v>100</c:v>
                </c:pt>
                <c:pt idx="1">
                  <c:v>96.816436482358881</c:v>
                </c:pt>
                <c:pt idx="2">
                  <c:v>98.021360842556874</c:v>
                </c:pt>
                <c:pt idx="3">
                  <c:v>101.1849829284991</c:v>
                </c:pt>
                <c:pt idx="4">
                  <c:v>103.3540826468036</c:v>
                </c:pt>
                <c:pt idx="5">
                  <c:v>106.502329943425</c:v>
                </c:pt>
                <c:pt idx="6">
                  <c:v>109.7806231327113</c:v>
                </c:pt>
                <c:pt idx="7">
                  <c:v>112.0302367651645</c:v>
                </c:pt>
                <c:pt idx="8">
                  <c:v>114.37895868530239</c:v>
                </c:pt>
                <c:pt idx="9">
                  <c:v>116.33160304814049</c:v>
                </c:pt>
                <c:pt idx="10">
                  <c:v>119.20274187367269</c:v>
                </c:pt>
                <c:pt idx="11">
                  <c:v>121.6778523095623</c:v>
                </c:pt>
                <c:pt idx="12">
                  <c:v>124.31207485491051</c:v>
                </c:pt>
                <c:pt idx="13">
                  <c:v>127.1222484382298</c:v>
                </c:pt>
                <c:pt idx="14">
                  <c:v>130.3235736436722</c:v>
                </c:pt>
                <c:pt idx="15">
                  <c:v>133.22850360815929</c:v>
                </c:pt>
                <c:pt idx="16">
                  <c:v>136.38140798198819</c:v>
                </c:pt>
                <c:pt idx="17">
                  <c:v>139.7507838441723</c:v>
                </c:pt>
                <c:pt idx="18">
                  <c:v>142.76909847087879</c:v>
                </c:pt>
                <c:pt idx="19">
                  <c:v>146.31016039372051</c:v>
                </c:pt>
                <c:pt idx="20">
                  <c:v>150.54649089282151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5A-8F43-B78C-4C53747523D6}"/>
            </c:ext>
          </c:extLst>
        </c:ser>
        <c:ser>
          <c:idx val="2"/>
          <c:order val="2"/>
          <c:tx>
            <c:strRef>
              <c:f>ws_Max_Drawdown_Matched!$H$2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106.1168857159653</c:v>
                </c:pt>
                <c:pt idx="2">
                  <c:v>111.6222891837357</c:v>
                </c:pt>
                <c:pt idx="3">
                  <c:v>117.1289827130398</c:v>
                </c:pt>
                <c:pt idx="4">
                  <c:v>123.450650488004</c:v>
                </c:pt>
                <c:pt idx="5">
                  <c:v>130.20117148819151</c:v>
                </c:pt>
                <c:pt idx="6">
                  <c:v>136.95910814904519</c:v>
                </c:pt>
                <c:pt idx="7">
                  <c:v>143.59019522747991</c:v>
                </c:pt>
                <c:pt idx="8">
                  <c:v>150.37683769743921</c:v>
                </c:pt>
                <c:pt idx="9">
                  <c:v>156.66048215812739</c:v>
                </c:pt>
                <c:pt idx="10">
                  <c:v>163.28072044404169</c:v>
                </c:pt>
                <c:pt idx="11">
                  <c:v>170.11897358691661</c:v>
                </c:pt>
                <c:pt idx="12">
                  <c:v>177.03272870183241</c:v>
                </c:pt>
                <c:pt idx="13">
                  <c:v>184.582532400784</c:v>
                </c:pt>
                <c:pt idx="14">
                  <c:v>192.27939475539051</c:v>
                </c:pt>
                <c:pt idx="15">
                  <c:v>199.615281048914</c:v>
                </c:pt>
                <c:pt idx="16">
                  <c:v>208.2726614246628</c:v>
                </c:pt>
                <c:pt idx="17">
                  <c:v>216.53704508191589</c:v>
                </c:pt>
                <c:pt idx="18">
                  <c:v>226.02723883231209</c:v>
                </c:pt>
                <c:pt idx="19">
                  <c:v>235.78161589603189</c:v>
                </c:pt>
                <c:pt idx="20">
                  <c:v>245.6576278776715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5A-8F43-B78C-4C53747523D6}"/>
            </c:ext>
          </c:extLst>
        </c:ser>
        <c:ser>
          <c:idx val="3"/>
          <c:order val="3"/>
          <c:tx>
            <c:strRef>
              <c:f>ws_Max_Drawdown_Matched!$I$2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115.1628451716405</c:v>
                </c:pt>
                <c:pt idx="2">
                  <c:v>124.489188437469</c:v>
                </c:pt>
                <c:pt idx="3">
                  <c:v>133.67474253249611</c:v>
                </c:pt>
                <c:pt idx="4">
                  <c:v>144.66425957411539</c:v>
                </c:pt>
                <c:pt idx="5">
                  <c:v>156.23787905275529</c:v>
                </c:pt>
                <c:pt idx="6">
                  <c:v>167.43287587308549</c:v>
                </c:pt>
                <c:pt idx="7">
                  <c:v>179.43148748667889</c:v>
                </c:pt>
                <c:pt idx="8">
                  <c:v>191.78579354237311</c:v>
                </c:pt>
                <c:pt idx="9">
                  <c:v>205.32526817561271</c:v>
                </c:pt>
                <c:pt idx="10">
                  <c:v>218.5306845986955</c:v>
                </c:pt>
                <c:pt idx="11">
                  <c:v>231.72916148373781</c:v>
                </c:pt>
                <c:pt idx="12">
                  <c:v>246.86754688625001</c:v>
                </c:pt>
                <c:pt idx="13">
                  <c:v>261.57461694786082</c:v>
                </c:pt>
                <c:pt idx="14">
                  <c:v>277.51763008757428</c:v>
                </c:pt>
                <c:pt idx="15">
                  <c:v>294.38843697195648</c:v>
                </c:pt>
                <c:pt idx="16">
                  <c:v>311.78029272938028</c:v>
                </c:pt>
                <c:pt idx="17">
                  <c:v>329.85693326526228</c:v>
                </c:pt>
                <c:pt idx="18">
                  <c:v>348.61580932835147</c:v>
                </c:pt>
                <c:pt idx="19">
                  <c:v>366.85005584739997</c:v>
                </c:pt>
                <c:pt idx="20">
                  <c:v>387.61513503736319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D5A-8F43-B78C-4C53747523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ws_Max_Drawdown_Matched!$N$2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65-DB44-981C-D992CCB096CB}"/>
            </c:ext>
          </c:extLst>
        </c:ser>
        <c:ser>
          <c:idx val="1"/>
          <c:order val="1"/>
          <c:tx>
            <c:strRef>
              <c:f>ws_Max_Drawdown_Matched!$O$2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65-DB44-981C-D992CCB096CB}"/>
            </c:ext>
          </c:extLst>
        </c:ser>
        <c:ser>
          <c:idx val="2"/>
          <c:order val="2"/>
          <c:tx>
            <c:strRef>
              <c:f>ws_Max_Drawdown_Matched!$P$2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865-DB44-981C-D992CCB096CB}"/>
            </c:ext>
          </c:extLst>
        </c:ser>
        <c:ser>
          <c:idx val="3"/>
          <c:order val="3"/>
          <c:tx>
            <c:strRef>
              <c:f>ws_Max_Drawdown_Matched!$Q$2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ws_Max_Drawdown_Matched!$A$3:$A$23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ws_Max_Drawdown_Matched!$Q$3:$Q$23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865-DB44-981C-D992CCB09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ws_Volatility_Parity!$J$2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ws_Volatility_Parity!$J$3:$J$23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BE-AE42-B6A3-2E1325414849}"/>
            </c:ext>
          </c:extLst>
        </c:ser>
        <c:ser>
          <c:idx val="1"/>
          <c:order val="1"/>
          <c:tx>
            <c:strRef>
              <c:f>ws_Volatility_Parity!$K$2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ws_Volatility_Parity!$K$3:$K$23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BE-AE42-B6A3-2E1325414849}"/>
            </c:ext>
          </c:extLst>
        </c:ser>
        <c:ser>
          <c:idx val="2"/>
          <c:order val="2"/>
          <c:tx>
            <c:strRef>
              <c:f>ws_Volatility_Parity!$L$2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ws_Volatility_Parity!$L$3:$L$23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BE-AE42-B6A3-2E1325414849}"/>
            </c:ext>
          </c:extLst>
        </c:ser>
        <c:ser>
          <c:idx val="3"/>
          <c:order val="3"/>
          <c:tx>
            <c:strRef>
              <c:f>ws_Volatility_Parity!$M$2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ws_Volatility_Parity!$M$3:$M$23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BE-AE42-B6A3-2E13254148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ws_Volatility_Parity!$B$2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ws_Volatility_Parity!$B$3:$B$23</c:f>
              <c:numCache>
                <c:formatCode>General</c:formatCode>
                <c:ptCount val="21"/>
                <c:pt idx="0">
                  <c:v>100</c:v>
                </c:pt>
                <c:pt idx="1">
                  <c:v>87.740045225763922</c:v>
                </c:pt>
                <c:pt idx="2">
                  <c:v>90.189715852104058</c:v>
                </c:pt>
                <c:pt idx="3">
                  <c:v>92.68922672050131</c:v>
                </c:pt>
                <c:pt idx="4">
                  <c:v>94.077190559017765</c:v>
                </c:pt>
                <c:pt idx="5">
                  <c:v>97.111906218690677</c:v>
                </c:pt>
                <c:pt idx="6">
                  <c:v>100.0310269876682</c:v>
                </c:pt>
                <c:pt idx="7">
                  <c:v>101.1184302571837</c:v>
                </c:pt>
                <c:pt idx="8">
                  <c:v>101.89092486398449</c:v>
                </c:pt>
                <c:pt idx="9">
                  <c:v>103.2412353300729</c:v>
                </c:pt>
                <c:pt idx="10">
                  <c:v>104.7287758585534</c:v>
                </c:pt>
                <c:pt idx="11">
                  <c:v>106.860546345269</c:v>
                </c:pt>
                <c:pt idx="12">
                  <c:v>108.33801863765279</c:v>
                </c:pt>
                <c:pt idx="13">
                  <c:v>110.08182651413161</c:v>
                </c:pt>
                <c:pt idx="14">
                  <c:v>112.75650689415509</c:v>
                </c:pt>
                <c:pt idx="15">
                  <c:v>115.11862368110221</c:v>
                </c:pt>
                <c:pt idx="16">
                  <c:v>117.7807120096236</c:v>
                </c:pt>
                <c:pt idx="17">
                  <c:v>121.1670335275014</c:v>
                </c:pt>
                <c:pt idx="18">
                  <c:v>125.8606488978314</c:v>
                </c:pt>
                <c:pt idx="19">
                  <c:v>129.58286062097761</c:v>
                </c:pt>
                <c:pt idx="20">
                  <c:v>132.09846265019871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AD-3B48-86E5-507EE09D6516}"/>
            </c:ext>
          </c:extLst>
        </c:ser>
        <c:ser>
          <c:idx val="1"/>
          <c:order val="1"/>
          <c:tx>
            <c:strRef>
              <c:f>ws_Volatility_Parity!$C$2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ws_Volatility_Parity!$C$3:$C$23</c:f>
              <c:numCache>
                <c:formatCode>General</c:formatCode>
                <c:ptCount val="21"/>
                <c:pt idx="0">
                  <c:v>100</c:v>
                </c:pt>
                <c:pt idx="1">
                  <c:v>98.270762978514071</c:v>
                </c:pt>
                <c:pt idx="2">
                  <c:v>101.5000999986687</c:v>
                </c:pt>
                <c:pt idx="3">
                  <c:v>107.3598376588655</c:v>
                </c:pt>
                <c:pt idx="4">
                  <c:v>111.7962037471523</c:v>
                </c:pt>
                <c:pt idx="5">
                  <c:v>117.4202102013746</c:v>
                </c:pt>
                <c:pt idx="6">
                  <c:v>123.31649651400549</c:v>
                </c:pt>
                <c:pt idx="7">
                  <c:v>127.27231218820221</c:v>
                </c:pt>
                <c:pt idx="8">
                  <c:v>131.7520291816648</c:v>
                </c:pt>
                <c:pt idx="9">
                  <c:v>135.66510294186401</c:v>
                </c:pt>
                <c:pt idx="10">
                  <c:v>140.71806011689691</c:v>
                </c:pt>
                <c:pt idx="11">
                  <c:v>145.73581588503259</c:v>
                </c:pt>
                <c:pt idx="12">
                  <c:v>151.1500106593366</c:v>
                </c:pt>
                <c:pt idx="13">
                  <c:v>155.77396192726951</c:v>
                </c:pt>
                <c:pt idx="14">
                  <c:v>161.33390375578489</c:v>
                </c:pt>
                <c:pt idx="15">
                  <c:v>167.49284078382129</c:v>
                </c:pt>
                <c:pt idx="16">
                  <c:v>173.33204581869509</c:v>
                </c:pt>
                <c:pt idx="17">
                  <c:v>180.2502679508668</c:v>
                </c:pt>
                <c:pt idx="18">
                  <c:v>186.4359686516222</c:v>
                </c:pt>
                <c:pt idx="19">
                  <c:v>193.71390163751019</c:v>
                </c:pt>
                <c:pt idx="20">
                  <c:v>201.24289232713849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1AD-3B48-86E5-507EE09D6516}"/>
            </c:ext>
          </c:extLst>
        </c:ser>
        <c:ser>
          <c:idx val="2"/>
          <c:order val="2"/>
          <c:tx>
            <c:strRef>
              <c:f>ws_Volatility_Parity!$D$2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ws_Volatility_Parity!$D$3:$D$23</c:f>
              <c:numCache>
                <c:formatCode>General</c:formatCode>
                <c:ptCount val="21"/>
                <c:pt idx="0">
                  <c:v>100</c:v>
                </c:pt>
                <c:pt idx="1">
                  <c:v>108.6750780454977</c:v>
                </c:pt>
                <c:pt idx="2">
                  <c:v>117.6027879254457</c:v>
                </c:pt>
                <c:pt idx="3">
                  <c:v>126.30764523719969</c:v>
                </c:pt>
                <c:pt idx="4">
                  <c:v>135.41052898910641</c:v>
                </c:pt>
                <c:pt idx="5">
                  <c:v>145.23379844870939</c:v>
                </c:pt>
                <c:pt idx="6">
                  <c:v>155.67772180917709</c:v>
                </c:pt>
                <c:pt idx="7">
                  <c:v>165.16670304770321</c:v>
                </c:pt>
                <c:pt idx="8">
                  <c:v>174.7639401206076</c:v>
                </c:pt>
                <c:pt idx="9">
                  <c:v>184.69585167374069</c:v>
                </c:pt>
                <c:pt idx="10">
                  <c:v>194.89982439694239</c:v>
                </c:pt>
                <c:pt idx="11">
                  <c:v>205.16183603160849</c:v>
                </c:pt>
                <c:pt idx="12">
                  <c:v>216.14186844487341</c:v>
                </c:pt>
                <c:pt idx="13">
                  <c:v>227.90782055916779</c:v>
                </c:pt>
                <c:pt idx="14">
                  <c:v>240.1702915050455</c:v>
                </c:pt>
                <c:pt idx="15">
                  <c:v>252.40773704054621</c:v>
                </c:pt>
                <c:pt idx="16">
                  <c:v>266.15265596192012</c:v>
                </c:pt>
                <c:pt idx="17">
                  <c:v>280.0160670898041</c:v>
                </c:pt>
                <c:pt idx="18">
                  <c:v>295.83210022642129</c:v>
                </c:pt>
                <c:pt idx="19">
                  <c:v>311.58798625399999</c:v>
                </c:pt>
                <c:pt idx="20">
                  <c:v>329.36103967211437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1AD-3B48-86E5-507EE09D6516}"/>
            </c:ext>
          </c:extLst>
        </c:ser>
        <c:ser>
          <c:idx val="3"/>
          <c:order val="3"/>
          <c:tx>
            <c:strRef>
              <c:f>ws_Volatility_Parity!$E$2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ws_Volatility_Parity!$E$3:$E$23</c:f>
              <c:numCache>
                <c:formatCode>General</c:formatCode>
                <c:ptCount val="21"/>
                <c:pt idx="0">
                  <c:v>100</c:v>
                </c:pt>
                <c:pt idx="1">
                  <c:v>118.6769539878881</c:v>
                </c:pt>
                <c:pt idx="2">
                  <c:v>131.89228561014519</c:v>
                </c:pt>
                <c:pt idx="3">
                  <c:v>145.04094175514521</c:v>
                </c:pt>
                <c:pt idx="4">
                  <c:v>160.23349186038629</c:v>
                </c:pt>
                <c:pt idx="5">
                  <c:v>176.21298940871691</c:v>
                </c:pt>
                <c:pt idx="6">
                  <c:v>192.16303170916481</c:v>
                </c:pt>
                <c:pt idx="7">
                  <c:v>208.91151747729009</c:v>
                </c:pt>
                <c:pt idx="8">
                  <c:v>225.97978857335491</c:v>
                </c:pt>
                <c:pt idx="9">
                  <c:v>243.90544993590481</c:v>
                </c:pt>
                <c:pt idx="10">
                  <c:v>263.42095242312053</c:v>
                </c:pt>
                <c:pt idx="11">
                  <c:v>283.25890253291999</c:v>
                </c:pt>
                <c:pt idx="12">
                  <c:v>304.34743828700073</c:v>
                </c:pt>
                <c:pt idx="13">
                  <c:v>326.42896179140871</c:v>
                </c:pt>
                <c:pt idx="14">
                  <c:v>350.67538884572139</c:v>
                </c:pt>
                <c:pt idx="15">
                  <c:v>375.33332276688418</c:v>
                </c:pt>
                <c:pt idx="16">
                  <c:v>404.24286893370891</c:v>
                </c:pt>
                <c:pt idx="17">
                  <c:v>432.22756456782957</c:v>
                </c:pt>
                <c:pt idx="18">
                  <c:v>462.65975873622801</c:v>
                </c:pt>
                <c:pt idx="19">
                  <c:v>493.99599522357579</c:v>
                </c:pt>
                <c:pt idx="20">
                  <c:v>526.73934280198637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1AD-3B48-86E5-507EE09D6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Nominal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ws_Volatility_Parity!$F$2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ws_Volatility_Parity!$F$3:$F$23</c:f>
              <c:numCache>
                <c:formatCode>General</c:formatCode>
                <c:ptCount val="21"/>
                <c:pt idx="0">
                  <c:v>100</c:v>
                </c:pt>
                <c:pt idx="1">
                  <c:v>84.701098859355795</c:v>
                </c:pt>
                <c:pt idx="2">
                  <c:v>84.897034777167164</c:v>
                </c:pt>
                <c:pt idx="3">
                  <c:v>85.207158958524744</c:v>
                </c:pt>
                <c:pt idx="4">
                  <c:v>84.735584184597954</c:v>
                </c:pt>
                <c:pt idx="5">
                  <c:v>85.59778020049167</c:v>
                </c:pt>
                <c:pt idx="6">
                  <c:v>86.431190460603702</c:v>
                </c:pt>
                <c:pt idx="7">
                  <c:v>85.235289948051758</c:v>
                </c:pt>
                <c:pt idx="8">
                  <c:v>84.483315942616343</c:v>
                </c:pt>
                <c:pt idx="9">
                  <c:v>84.128071505902682</c:v>
                </c:pt>
                <c:pt idx="10">
                  <c:v>83.842779862198796</c:v>
                </c:pt>
                <c:pt idx="11">
                  <c:v>83.259362609418403</c:v>
                </c:pt>
                <c:pt idx="12">
                  <c:v>83.583058402900775</c:v>
                </c:pt>
                <c:pt idx="13">
                  <c:v>82.865751775723822</c:v>
                </c:pt>
                <c:pt idx="14">
                  <c:v>83.198367248775426</c:v>
                </c:pt>
                <c:pt idx="15">
                  <c:v>83.98367798000038</c:v>
                </c:pt>
                <c:pt idx="16">
                  <c:v>83.96187447607177</c:v>
                </c:pt>
                <c:pt idx="17">
                  <c:v>84.61307638349399</c:v>
                </c:pt>
                <c:pt idx="18">
                  <c:v>85.034966947806268</c:v>
                </c:pt>
                <c:pt idx="19">
                  <c:v>86.047376906353378</c:v>
                </c:pt>
                <c:pt idx="20">
                  <c:v>86.973501708694386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B0-944E-A482-15DCED75DC16}"/>
            </c:ext>
          </c:extLst>
        </c:ser>
        <c:ser>
          <c:idx val="1"/>
          <c:order val="1"/>
          <c:tx>
            <c:strRef>
              <c:f>ws_Volatility_Parity!$G$2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ws_Volatility_Parity!$G$3:$G$23</c:f>
              <c:numCache>
                <c:formatCode>General</c:formatCode>
                <c:ptCount val="21"/>
                <c:pt idx="0">
                  <c:v>100</c:v>
                </c:pt>
                <c:pt idx="1">
                  <c:v>95.813942179317706</c:v>
                </c:pt>
                <c:pt idx="2">
                  <c:v>96.299128128373241</c:v>
                </c:pt>
                <c:pt idx="3">
                  <c:v>99.57978380775485</c:v>
                </c:pt>
                <c:pt idx="4">
                  <c:v>101.3976838875632</c:v>
                </c:pt>
                <c:pt idx="5">
                  <c:v>104.10595418450541</c:v>
                </c:pt>
                <c:pt idx="6">
                  <c:v>106.7880789166848</c:v>
                </c:pt>
                <c:pt idx="7">
                  <c:v>108.1328252729293</c:v>
                </c:pt>
                <c:pt idx="8">
                  <c:v>109.8394374215391</c:v>
                </c:pt>
                <c:pt idx="9">
                  <c:v>110.73071088886179</c:v>
                </c:pt>
                <c:pt idx="10">
                  <c:v>112.57707572353981</c:v>
                </c:pt>
                <c:pt idx="11">
                  <c:v>114.2587804194458</c:v>
                </c:pt>
                <c:pt idx="12">
                  <c:v>116.0441500726765</c:v>
                </c:pt>
                <c:pt idx="13">
                  <c:v>117.51086495367591</c:v>
                </c:pt>
                <c:pt idx="14">
                  <c:v>119.24971297186769</c:v>
                </c:pt>
                <c:pt idx="15">
                  <c:v>121.3471745861216</c:v>
                </c:pt>
                <c:pt idx="16">
                  <c:v>123.19760504679159</c:v>
                </c:pt>
                <c:pt idx="17">
                  <c:v>124.5712512229654</c:v>
                </c:pt>
                <c:pt idx="18">
                  <c:v>127.1409391246934</c:v>
                </c:pt>
                <c:pt idx="19">
                  <c:v>129.49346734374609</c:v>
                </c:pt>
                <c:pt idx="20">
                  <c:v>131.6571546312328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B0-944E-A482-15DCED75DC16}"/>
            </c:ext>
          </c:extLst>
        </c:ser>
        <c:ser>
          <c:idx val="2"/>
          <c:order val="2"/>
          <c:tx>
            <c:strRef>
              <c:f>ws_Volatility_Parity!$H$2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ws_Volatility_Parity!$H$3:$H$23</c:f>
              <c:numCache>
                <c:formatCode>General</c:formatCode>
                <c:ptCount val="21"/>
                <c:pt idx="0">
                  <c:v>100</c:v>
                </c:pt>
                <c:pt idx="1">
                  <c:v>106.3064544126122</c:v>
                </c:pt>
                <c:pt idx="2">
                  <c:v>112.34587535593209</c:v>
                </c:pt>
                <c:pt idx="3">
                  <c:v>118.1476613378495</c:v>
                </c:pt>
                <c:pt idx="4">
                  <c:v>124.0250373267764</c:v>
                </c:pt>
                <c:pt idx="5">
                  <c:v>130.21404390333771</c:v>
                </c:pt>
                <c:pt idx="6">
                  <c:v>136.56955115964141</c:v>
                </c:pt>
                <c:pt idx="7">
                  <c:v>142.07151666741859</c:v>
                </c:pt>
                <c:pt idx="8">
                  <c:v>147.44497981580099</c:v>
                </c:pt>
                <c:pt idx="9">
                  <c:v>152.63286487671601</c:v>
                </c:pt>
                <c:pt idx="10">
                  <c:v>157.4496782849956</c:v>
                </c:pt>
                <c:pt idx="11">
                  <c:v>162.80501431261479</c:v>
                </c:pt>
                <c:pt idx="12">
                  <c:v>168.2130514188255</c:v>
                </c:pt>
                <c:pt idx="13">
                  <c:v>174.17355820896299</c:v>
                </c:pt>
                <c:pt idx="14">
                  <c:v>179.69012513104701</c:v>
                </c:pt>
                <c:pt idx="15">
                  <c:v>185.41464478799929</c:v>
                </c:pt>
                <c:pt idx="16">
                  <c:v>191.67381906832929</c:v>
                </c:pt>
                <c:pt idx="17">
                  <c:v>197.3838758926758</c:v>
                </c:pt>
                <c:pt idx="18">
                  <c:v>204.22001922686289</c:v>
                </c:pt>
                <c:pt idx="19">
                  <c:v>211.7832100679818</c:v>
                </c:pt>
                <c:pt idx="20">
                  <c:v>219.85721323512391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B0-944E-A482-15DCED75DC16}"/>
            </c:ext>
          </c:extLst>
        </c:ser>
        <c:ser>
          <c:idx val="3"/>
          <c:order val="3"/>
          <c:tx>
            <c:strRef>
              <c:f>ws_Volatility_Parity!$I$2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ws_Volatility_Parity!$I$3:$I$23</c:f>
              <c:numCache>
                <c:formatCode>General</c:formatCode>
                <c:ptCount val="21"/>
                <c:pt idx="0">
                  <c:v>100</c:v>
                </c:pt>
                <c:pt idx="1">
                  <c:v>116.3910321563381</c:v>
                </c:pt>
                <c:pt idx="2">
                  <c:v>126.62972557886</c:v>
                </c:pt>
                <c:pt idx="3">
                  <c:v>136.37356683048449</c:v>
                </c:pt>
                <c:pt idx="4">
                  <c:v>147.6094568455901</c:v>
                </c:pt>
                <c:pt idx="5">
                  <c:v>159.06788368250329</c:v>
                </c:pt>
                <c:pt idx="6">
                  <c:v>170.16186964441181</c:v>
                </c:pt>
                <c:pt idx="7">
                  <c:v>181.34622669004241</c:v>
                </c:pt>
                <c:pt idx="8">
                  <c:v>192.08806676380249</c:v>
                </c:pt>
                <c:pt idx="9">
                  <c:v>203.6322708889906</c:v>
                </c:pt>
                <c:pt idx="10">
                  <c:v>215.19402928956691</c:v>
                </c:pt>
                <c:pt idx="11">
                  <c:v>227.12856259194891</c:v>
                </c:pt>
                <c:pt idx="12">
                  <c:v>239.40315494301461</c:v>
                </c:pt>
                <c:pt idx="13">
                  <c:v>252.4314774263913</c:v>
                </c:pt>
                <c:pt idx="14">
                  <c:v>265.64423998568782</c:v>
                </c:pt>
                <c:pt idx="15">
                  <c:v>278.62005939395192</c:v>
                </c:pt>
                <c:pt idx="16">
                  <c:v>293.8297419080713</c:v>
                </c:pt>
                <c:pt idx="17">
                  <c:v>307.67677406901652</c:v>
                </c:pt>
                <c:pt idx="18">
                  <c:v>321.93127708510548</c:v>
                </c:pt>
                <c:pt idx="19">
                  <c:v>336.47187711094438</c:v>
                </c:pt>
                <c:pt idx="20">
                  <c:v>352.65532608517123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B0-944E-A482-15DCED75DC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Portfolio Values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ws_Volatility_Parity!$N$2</c:f>
              <c:strCache>
                <c:ptCount val="1"/>
                <c:pt idx="0">
                  <c:v>1st %ile</c:v>
                </c:pt>
              </c:strCache>
            </c:strRef>
          </c:tx>
          <c:spPr>
            <a:ln w="12700">
              <a:solidFill>
                <a:srgbClr val="C00000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ws_Volatility_Parity!$N$3:$N$23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9A-BD44-9DE2-0B597E2C6862}"/>
            </c:ext>
          </c:extLst>
        </c:ser>
        <c:ser>
          <c:idx val="1"/>
          <c:order val="1"/>
          <c:tx>
            <c:strRef>
              <c:f>ws_Volatility_Parity!$O$2</c:f>
              <c:strCache>
                <c:ptCount val="1"/>
                <c:pt idx="0">
                  <c:v>10th %ile</c:v>
                </c:pt>
              </c:strCache>
            </c:strRef>
          </c:tx>
          <c:spPr>
            <a:ln w="12700">
              <a:solidFill>
                <a:srgbClr val="8064A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ws_Volatility_Parity!$O$3:$O$23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9A-BD44-9DE2-0B597E2C6862}"/>
            </c:ext>
          </c:extLst>
        </c:ser>
        <c:ser>
          <c:idx val="2"/>
          <c:order val="2"/>
          <c:tx>
            <c:strRef>
              <c:f>ws_Volatility_Parity!$P$2</c:f>
              <c:strCache>
                <c:ptCount val="1"/>
                <c:pt idx="0">
                  <c:v>50th %ile</c:v>
                </c:pt>
              </c:strCache>
            </c:strRef>
          </c:tx>
          <c:spPr>
            <a:ln w="12700">
              <a:solidFill>
                <a:srgbClr val="376092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ws_Volatility_Parity!$P$3:$P$23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9A-BD44-9DE2-0B597E2C6862}"/>
            </c:ext>
          </c:extLst>
        </c:ser>
        <c:ser>
          <c:idx val="3"/>
          <c:order val="3"/>
          <c:tx>
            <c:strRef>
              <c:f>ws_Volatility_Parity!$Q$2</c:f>
              <c:strCache>
                <c:ptCount val="1"/>
                <c:pt idx="0">
                  <c:v>90th %ile</c:v>
                </c:pt>
              </c:strCache>
            </c:strRef>
          </c:tx>
          <c:spPr>
            <a:ln w="12700">
              <a:solidFill>
                <a:srgbClr val="77933C"/>
              </a:solidFill>
              <a:prstDash val="solid"/>
            </a:ln>
          </c:spPr>
          <c:marker>
            <c:symbol val="none"/>
          </c:marker>
          <c:cat>
            <c:numRef>
              <c:f>ws_Volatility_Parity!$A$3:$A$23</c:f>
              <c:numCache>
                <c:formatCode>General</c:formatCode>
                <c:ptCount val="2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cat>
          <c:val>
            <c:numRef>
              <c:f>ws_Volatility_Parity!$Q$3:$Q$23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9A-BD44-9DE2-0B597E2C68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0"/>
        <c:crosses val="autoZero"/>
        <c:auto val="0"/>
        <c:lblAlgn val="ctr"/>
        <c:lblOffset val="100"/>
        <c:tickLblSkip val="5"/>
        <c:tickMarkSkip val="5"/>
        <c:noMultiLvlLbl val="0"/>
      </c:catAx>
      <c:valAx>
        <c:axId val="1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GB" sz="900" b="0">
                    <a:latin typeface="Aptos"/>
                  </a:rPr>
                  <a:t>Real Net Flows ($)</a:t>
                </a:r>
              </a:p>
            </c:rich>
          </c:tx>
          <c:overlay val="0"/>
        </c:title>
        <c:numFmt formatCode="General" sourceLinked="1"/>
        <c:majorTickMark val="cross"/>
        <c:minorTickMark val="none"/>
        <c:tickLblPos val="nextTo"/>
        <c:txPr>
          <a:bodyPr/>
          <a:lstStyle/>
          <a:p>
            <a:pPr>
              <a:defRPr sz="900" b="0">
                <a:latin typeface="Aptos"/>
              </a:defRPr>
            </a:pPr>
            <a:endParaRPr lang="en-US"/>
          </a:p>
        </c:txPr>
        <c:crossAx val="1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25"/>
          <c:y val="1.4066060120915477E-2"/>
          <c:w val="1"/>
          <c:h val="0.1"/>
        </c:manualLayout>
      </c:layout>
      <c:overlay val="0"/>
      <c:txPr>
        <a:bodyPr/>
        <a:lstStyle/>
        <a:p>
          <a:pPr>
            <a:defRPr sz="900" b="0">
              <a:latin typeface="Aptos"/>
            </a:defRPr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Relationship Id="rId4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4" Type="http://schemas.openxmlformats.org/officeDocument/2006/relationships/chart" Target="../charts/chart19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2.xml"/><Relationship Id="rId2" Type="http://schemas.openxmlformats.org/officeDocument/2006/relationships/chart" Target="../charts/chart21.xml"/><Relationship Id="rId1" Type="http://schemas.openxmlformats.org/officeDocument/2006/relationships/chart" Target="../charts/chart20.xml"/><Relationship Id="rId4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4" Type="http://schemas.openxmlformats.org/officeDocument/2006/relationships/chart" Target="../charts/chart2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0.xml"/><Relationship Id="rId2" Type="http://schemas.openxmlformats.org/officeDocument/2006/relationships/chart" Target="../charts/chart29.xml"/><Relationship Id="rId1" Type="http://schemas.openxmlformats.org/officeDocument/2006/relationships/chart" Target="../charts/chart28.xml"/><Relationship Id="rId4" Type="http://schemas.openxmlformats.org/officeDocument/2006/relationships/chart" Target="../charts/chart3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903817</xdr:colOff>
      <xdr:row>35</xdr:row>
      <xdr:rowOff>33337</xdr:rowOff>
    </xdr:from>
    <xdr:to>
      <xdr:col>12</xdr:col>
      <xdr:colOff>833967</xdr:colOff>
      <xdr:row>43</xdr:row>
      <xdr:rowOff>58737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2DF0885-6120-DC45-B799-E2A25DFBCC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856193</xdr:colOff>
      <xdr:row>35</xdr:row>
      <xdr:rowOff>33337</xdr:rowOff>
    </xdr:from>
    <xdr:to>
      <xdr:col>10</xdr:col>
      <xdr:colOff>786343</xdr:colOff>
      <xdr:row>43</xdr:row>
      <xdr:rowOff>58737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5878AFB7-B18C-B54E-AE41-E2DE7D3E8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851959</xdr:colOff>
      <xdr:row>35</xdr:row>
      <xdr:rowOff>33336</xdr:rowOff>
    </xdr:from>
    <xdr:to>
      <xdr:col>8</xdr:col>
      <xdr:colOff>782110</xdr:colOff>
      <xdr:row>43</xdr:row>
      <xdr:rowOff>58736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F86E260-6167-474A-97EB-654C3D5CF2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787400</xdr:colOff>
      <xdr:row>35</xdr:row>
      <xdr:rowOff>25399</xdr:rowOff>
    </xdr:from>
    <xdr:to>
      <xdr:col>6</xdr:col>
      <xdr:colOff>717550</xdr:colOff>
      <xdr:row>43</xdr:row>
      <xdr:rowOff>50799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97CBC5E3-6989-1640-8079-49059DE268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846667</xdr:colOff>
      <xdr:row>35</xdr:row>
      <xdr:rowOff>25399</xdr:rowOff>
    </xdr:from>
    <xdr:to>
      <xdr:col>4</xdr:col>
      <xdr:colOff>776817</xdr:colOff>
      <xdr:row>43</xdr:row>
      <xdr:rowOff>50799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0A5BF16A-B54B-CD43-A22B-B2EE648E81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3031067</xdr:colOff>
      <xdr:row>35</xdr:row>
      <xdr:rowOff>25399</xdr:rowOff>
    </xdr:from>
    <xdr:to>
      <xdr:col>2</xdr:col>
      <xdr:colOff>819151</xdr:colOff>
      <xdr:row>43</xdr:row>
      <xdr:rowOff>50799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31141BF6-6600-6D4D-AF40-F79CD292C4B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63499</xdr:colOff>
      <xdr:row>14</xdr:row>
      <xdr:rowOff>105833</xdr:rowOff>
    </xdr:from>
    <xdr:to>
      <xdr:col>12</xdr:col>
      <xdr:colOff>696181</xdr:colOff>
      <xdr:row>23</xdr:row>
      <xdr:rowOff>76804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A6A4A9B-4491-FB48-A876-D8BD5717C5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27</xdr:row>
      <xdr:rowOff>0</xdr:rowOff>
    </xdr:from>
    <xdr:ext cx="4320000" cy="286199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2</xdr:col>
      <xdr:colOff>0</xdr:colOff>
      <xdr:row>27</xdr:row>
      <xdr:rowOff>0</xdr:rowOff>
    </xdr:from>
    <xdr:ext cx="4320000" cy="2861999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27</xdr:row>
      <xdr:rowOff>0</xdr:rowOff>
    </xdr:from>
    <xdr:ext cx="4320000" cy="2861999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14</xdr:col>
      <xdr:colOff>0</xdr:colOff>
      <xdr:row>27</xdr:row>
      <xdr:rowOff>0</xdr:rowOff>
    </xdr:from>
    <xdr:ext cx="4320000" cy="2861999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1"/>
  <sheetViews>
    <sheetView workbookViewId="0">
      <selection activeCell="G53" sqref="A1:G53"/>
    </sheetView>
  </sheetViews>
  <sheetFormatPr baseColWidth="10" defaultColWidth="8.83203125" defaultRowHeight="15" x14ac:dyDescent="0.2"/>
  <cols>
    <col min="1" max="1" width="40" customWidth="1"/>
    <col min="2" max="7" width="20.1640625" customWidth="1"/>
  </cols>
  <sheetData>
    <row r="1" spans="1:7" ht="23" customHeight="1" x14ac:dyDescent="0.2">
      <c r="A1" s="103"/>
      <c r="B1" s="104"/>
      <c r="C1" s="104"/>
      <c r="D1" s="102" t="s">
        <v>130</v>
      </c>
      <c r="E1" s="102"/>
      <c r="F1" s="102"/>
      <c r="G1" s="105"/>
    </row>
    <row r="2" spans="1:7" ht="37" customHeight="1" x14ac:dyDescent="0.2">
      <c r="A2" s="98"/>
      <c r="B2" s="99" t="s">
        <v>0</v>
      </c>
      <c r="C2" s="99" t="s">
        <v>2</v>
      </c>
      <c r="D2" s="100" t="s">
        <v>42</v>
      </c>
      <c r="E2" s="100" t="s">
        <v>131</v>
      </c>
      <c r="F2" s="100" t="s">
        <v>107</v>
      </c>
      <c r="G2" s="101" t="s">
        <v>3</v>
      </c>
    </row>
    <row r="3" spans="1:7" ht="15" customHeight="1" x14ac:dyDescent="0.2">
      <c r="A3" s="74" t="s">
        <v>4</v>
      </c>
      <c r="B3" s="1">
        <v>0.38000000000000012</v>
      </c>
      <c r="C3" s="1">
        <v>0.47498842805223912</v>
      </c>
      <c r="D3" s="1">
        <v>0.31240057137827082</v>
      </c>
      <c r="E3" s="1">
        <v>0.31865737047049619</v>
      </c>
      <c r="F3" s="1">
        <v>0.33582636401678972</v>
      </c>
      <c r="G3" s="75">
        <v>1.3487069894121331</v>
      </c>
    </row>
    <row r="4" spans="1:7" ht="15" customHeight="1" x14ac:dyDescent="0.2">
      <c r="A4" s="76" t="s">
        <v>6</v>
      </c>
      <c r="B4" s="2">
        <v>18</v>
      </c>
      <c r="C4" s="2">
        <v>15.591246563269429</v>
      </c>
      <c r="D4" s="2"/>
      <c r="E4" s="2"/>
      <c r="F4" s="2"/>
      <c r="G4" s="77">
        <v>80.16991413621102</v>
      </c>
    </row>
    <row r="5" spans="1:7" ht="15" customHeight="1" x14ac:dyDescent="0.2">
      <c r="A5" s="76" t="s">
        <v>5</v>
      </c>
      <c r="B5" s="2">
        <v>20</v>
      </c>
      <c r="C5" s="2">
        <v>17.73569055236009</v>
      </c>
      <c r="D5" s="2">
        <v>16.500000482750149</v>
      </c>
      <c r="E5" s="2">
        <v>16.500000116060811</v>
      </c>
      <c r="F5" s="2">
        <v>16.500000325811481</v>
      </c>
      <c r="G5" s="77">
        <v>31.440909446010441</v>
      </c>
    </row>
    <row r="6" spans="1:7" ht="15" customHeight="1" x14ac:dyDescent="0.2">
      <c r="A6" s="76" t="s">
        <v>7</v>
      </c>
      <c r="B6" s="2">
        <v>0</v>
      </c>
      <c r="C6" s="2">
        <v>9.3290825895252016</v>
      </c>
      <c r="D6" s="2">
        <v>9.7290583206986962</v>
      </c>
      <c r="E6" s="2">
        <v>10.14411021791709</v>
      </c>
      <c r="F6" s="2">
        <v>11.280823781453289</v>
      </c>
      <c r="G6" s="77">
        <v>11.9143753649863</v>
      </c>
    </row>
    <row r="7" spans="1:7" ht="15" customHeight="1" x14ac:dyDescent="0.2">
      <c r="A7" s="76" t="s">
        <v>8</v>
      </c>
      <c r="B7" s="2">
        <v>0</v>
      </c>
      <c r="C7" s="2">
        <v>4.8428231000691886</v>
      </c>
      <c r="D7" s="2">
        <v>5.0109981904307386</v>
      </c>
      <c r="E7" s="2">
        <v>5.221626682432011</v>
      </c>
      <c r="F7" s="2">
        <v>5.8018121830173639</v>
      </c>
      <c r="G7" s="77">
        <v>11.34549999400557</v>
      </c>
    </row>
    <row r="8" spans="1:7" ht="15" customHeight="1" x14ac:dyDescent="0.2">
      <c r="A8" s="74" t="s">
        <v>9</v>
      </c>
      <c r="B8" s="1"/>
      <c r="C8" s="1">
        <v>5.6535337268710982E-2</v>
      </c>
      <c r="D8" s="1">
        <v>8.2281581725671502E-2</v>
      </c>
      <c r="E8" s="1">
        <v>8.1923101968256112E-2</v>
      </c>
      <c r="F8" s="1">
        <v>8.09610913336343E-2</v>
      </c>
      <c r="G8" s="75">
        <v>8.2101685822479273E-2</v>
      </c>
    </row>
    <row r="9" spans="1:7" ht="15" customHeight="1" x14ac:dyDescent="0.2">
      <c r="A9" s="76" t="s">
        <v>10</v>
      </c>
      <c r="B9" s="2">
        <v>0</v>
      </c>
      <c r="C9" s="2">
        <v>3.8166767273594209</v>
      </c>
      <c r="D9" s="2">
        <v>5.2245978800736603</v>
      </c>
      <c r="E9" s="2">
        <v>5.2223727927599084</v>
      </c>
      <c r="F9" s="2">
        <v>5.2180570447934107</v>
      </c>
      <c r="G9" s="77">
        <v>5.0270200880978537</v>
      </c>
    </row>
    <row r="10" spans="1:7" ht="15" customHeight="1" x14ac:dyDescent="0.2">
      <c r="A10" s="76" t="s">
        <v>11</v>
      </c>
      <c r="B10" s="2">
        <v>0</v>
      </c>
      <c r="C10" s="2">
        <v>1.8368569995116759</v>
      </c>
      <c r="D10" s="2">
        <v>3.003560292493491</v>
      </c>
      <c r="E10" s="2">
        <v>2.9699374040657052</v>
      </c>
      <c r="F10" s="2">
        <v>2.87805208857002</v>
      </c>
      <c r="G10" s="77">
        <v>3.1831484941500729</v>
      </c>
    </row>
    <row r="11" spans="1:7" ht="15" customHeight="1" x14ac:dyDescent="0.2">
      <c r="A11" s="74" t="s">
        <v>12</v>
      </c>
      <c r="B11" s="1">
        <v>0.46000000000000008</v>
      </c>
      <c r="C11" s="1">
        <v>0.25577201368241342</v>
      </c>
      <c r="D11" s="1">
        <v>0.36208467903889319</v>
      </c>
      <c r="E11" s="1">
        <v>0.35460814947560648</v>
      </c>
      <c r="F11" s="1">
        <v>0.3340545276196738</v>
      </c>
      <c r="G11" s="75">
        <v>0.26418252728451802</v>
      </c>
    </row>
    <row r="12" spans="1:7" ht="15" customHeight="1" x14ac:dyDescent="0.2">
      <c r="A12" s="76" t="s">
        <v>13</v>
      </c>
      <c r="B12" s="2">
        <v>10</v>
      </c>
      <c r="C12" s="2"/>
      <c r="D12" s="2"/>
      <c r="E12" s="2"/>
      <c r="F12" s="2"/>
      <c r="G12" s="77">
        <v>2.2059526447757141</v>
      </c>
    </row>
    <row r="13" spans="1:7" ht="15" customHeight="1" x14ac:dyDescent="0.2">
      <c r="A13" s="78" t="s">
        <v>108</v>
      </c>
      <c r="B13" s="2">
        <f>SUM(B14:B16)</f>
        <v>11.000000000000002</v>
      </c>
      <c r="C13" s="2">
        <f t="shared" ref="C13:G13" si="0">SUM(C14:C16)</f>
        <v>10.225934147363137</v>
      </c>
      <c r="D13" s="2">
        <f t="shared" si="0"/>
        <v>15.383442745689166</v>
      </c>
      <c r="E13" s="2">
        <f t="shared" si="0"/>
        <v>15.073611926538474</v>
      </c>
      <c r="F13" s="2">
        <f t="shared" si="0"/>
        <v>14.224785131913599</v>
      </c>
      <c r="G13" s="77">
        <f t="shared" si="0"/>
        <v>6.59376432912737</v>
      </c>
    </row>
    <row r="14" spans="1:7" ht="17" hidden="1" customHeight="1" x14ac:dyDescent="0.2">
      <c r="A14" s="76" t="s">
        <v>14</v>
      </c>
      <c r="B14" s="2">
        <v>6.0000000000000009</v>
      </c>
      <c r="C14" s="2">
        <v>4.0903736589451274</v>
      </c>
      <c r="D14" s="2">
        <v>6.153377098274512</v>
      </c>
      <c r="E14" s="2">
        <v>6.0294447706151804</v>
      </c>
      <c r="F14" s="2">
        <v>5.6899140527648608</v>
      </c>
      <c r="G14" s="77">
        <v>2.1504349303806989</v>
      </c>
    </row>
    <row r="15" spans="1:7" ht="17" hidden="1" customHeight="1" x14ac:dyDescent="0.2">
      <c r="A15" s="76" t="s">
        <v>15</v>
      </c>
      <c r="B15" s="2">
        <v>5.0000000000000009</v>
      </c>
      <c r="C15" s="2">
        <v>4.6016703663133578</v>
      </c>
      <c r="D15" s="2">
        <v>6.9225492355593392</v>
      </c>
      <c r="E15" s="2">
        <v>6.783125366942194</v>
      </c>
      <c r="F15" s="2">
        <v>6.401153309361046</v>
      </c>
      <c r="G15" s="77">
        <v>2.455903334302675</v>
      </c>
    </row>
    <row r="16" spans="1:7" ht="17" hidden="1" customHeight="1" x14ac:dyDescent="0.2">
      <c r="A16" s="76" t="s">
        <v>16</v>
      </c>
      <c r="B16" s="2">
        <v>0</v>
      </c>
      <c r="C16" s="2">
        <v>1.533890122104651</v>
      </c>
      <c r="D16" s="2">
        <v>2.307516411855314</v>
      </c>
      <c r="E16" s="2">
        <v>2.2610417889811001</v>
      </c>
      <c r="F16" s="2">
        <v>2.1337177697876921</v>
      </c>
      <c r="G16" s="77">
        <v>1.9874260644439961</v>
      </c>
    </row>
    <row r="17" spans="1:7" ht="15" customHeight="1" x14ac:dyDescent="0.2">
      <c r="A17" s="78" t="s">
        <v>129</v>
      </c>
      <c r="B17" s="2">
        <v>19.000000000000007</v>
      </c>
      <c r="C17" s="2">
        <v>11.523181840124249</v>
      </c>
      <c r="D17" s="2">
        <v>14.344436182898967</v>
      </c>
      <c r="E17" s="2">
        <v>14.021994076380857</v>
      </c>
      <c r="F17" s="2">
        <v>13.129998821402442</v>
      </c>
      <c r="G17" s="77">
        <v>9.3243049036249808</v>
      </c>
    </row>
    <row r="18" spans="1:7" ht="17" hidden="1" customHeight="1" x14ac:dyDescent="0.2">
      <c r="A18" s="76" t="s">
        <v>17</v>
      </c>
      <c r="B18" s="2">
        <v>7.0000000000000018</v>
      </c>
      <c r="C18" s="2">
        <v>3.115624337748268</v>
      </c>
      <c r="D18" s="2">
        <v>3.841269556818447</v>
      </c>
      <c r="E18" s="2">
        <v>3.7483717738925439</v>
      </c>
      <c r="F18" s="2">
        <v>3.4917411869024799</v>
      </c>
      <c r="G18" s="77">
        <v>2.2352622828986379</v>
      </c>
    </row>
    <row r="19" spans="1:7" ht="17" hidden="1" customHeight="1" x14ac:dyDescent="0.2">
      <c r="A19" s="76" t="s">
        <v>18</v>
      </c>
      <c r="B19" s="2">
        <v>0</v>
      </c>
      <c r="C19" s="2">
        <v>3.9346941047385982</v>
      </c>
      <c r="D19" s="2">
        <v>5.5842681543279644</v>
      </c>
      <c r="E19" s="2">
        <v>5.4805020055883977</v>
      </c>
      <c r="F19" s="2">
        <v>5.1954634348673574</v>
      </c>
      <c r="G19" s="77">
        <v>2.5290890206290628</v>
      </c>
    </row>
    <row r="20" spans="1:7" ht="17" hidden="1" customHeight="1" x14ac:dyDescent="0.2">
      <c r="A20" s="76" t="s">
        <v>19</v>
      </c>
      <c r="B20" s="2">
        <v>4.0000000000000009</v>
      </c>
      <c r="C20" s="2">
        <v>1.425923808745851</v>
      </c>
      <c r="D20" s="2">
        <v>0.38053280151190327</v>
      </c>
      <c r="E20" s="2">
        <v>0.35133085286364379</v>
      </c>
      <c r="F20" s="2">
        <v>0.26656930409350771</v>
      </c>
      <c r="G20" s="77">
        <v>2.410407435536893</v>
      </c>
    </row>
    <row r="21" spans="1:7" ht="17" hidden="1" customHeight="1" x14ac:dyDescent="0.2">
      <c r="A21" s="76" t="s">
        <v>20</v>
      </c>
      <c r="B21" s="2">
        <v>8.0000000000000018</v>
      </c>
      <c r="C21" s="2">
        <v>3.0469395888915312</v>
      </c>
      <c r="D21" s="2">
        <v>4.5383656702406521</v>
      </c>
      <c r="E21" s="2">
        <v>4.44178944403627</v>
      </c>
      <c r="F21" s="2">
        <v>4.1762248955390966</v>
      </c>
      <c r="G21" s="77">
        <v>2.1495461645603879</v>
      </c>
    </row>
    <row r="22" spans="1:7" ht="15" customHeight="1" x14ac:dyDescent="0.2">
      <c r="A22" s="76" t="s">
        <v>21</v>
      </c>
      <c r="B22" s="2">
        <v>6.0000000000000009</v>
      </c>
      <c r="C22" s="2">
        <v>2.1995207463779169</v>
      </c>
      <c r="D22" s="2">
        <v>3.6141785609968822</v>
      </c>
      <c r="E22" s="2">
        <v>3.528896057840933</v>
      </c>
      <c r="F22" s="2">
        <v>3.295083044634624</v>
      </c>
      <c r="G22" s="77">
        <v>1.6766568795683401</v>
      </c>
    </row>
    <row r="23" spans="1:7" ht="15" customHeight="1" x14ac:dyDescent="0.2">
      <c r="A23" s="78" t="s">
        <v>109</v>
      </c>
      <c r="B23" s="2">
        <f>B24+B25</f>
        <v>0</v>
      </c>
      <c r="C23" s="2">
        <f t="shared" ref="C23:G23" si="1">C24+C25</f>
        <v>1.6285646343022289</v>
      </c>
      <c r="D23" s="2">
        <f t="shared" si="1"/>
        <v>2.8664104135585697</v>
      </c>
      <c r="E23" s="2">
        <f t="shared" si="1"/>
        <v>2.8363128866608518</v>
      </c>
      <c r="F23" s="2">
        <f t="shared" si="1"/>
        <v>2.755585763546716</v>
      </c>
      <c r="G23" s="77">
        <f t="shared" si="1"/>
        <v>6.6175739713553972</v>
      </c>
    </row>
    <row r="24" spans="1:7" ht="17" hidden="1" customHeight="1" x14ac:dyDescent="0.2">
      <c r="A24" s="76" t="s">
        <v>22</v>
      </c>
      <c r="B24" s="2">
        <v>0</v>
      </c>
      <c r="C24" s="2">
        <v>0.81428231714834343</v>
      </c>
      <c r="D24" s="2">
        <v>1.4332052067736349</v>
      </c>
      <c r="E24" s="2">
        <v>1.41815644332922</v>
      </c>
      <c r="F24" s="2">
        <v>1.377792881763797</v>
      </c>
      <c r="G24" s="77">
        <v>3.3573157630662021</v>
      </c>
    </row>
    <row r="25" spans="1:7" ht="17" hidden="1" customHeight="1" x14ac:dyDescent="0.2">
      <c r="A25" s="76" t="s">
        <v>23</v>
      </c>
      <c r="B25" s="2">
        <v>0</v>
      </c>
      <c r="C25" s="2">
        <v>0.81428231715388544</v>
      </c>
      <c r="D25" s="2">
        <v>1.433205206784935</v>
      </c>
      <c r="E25" s="2">
        <v>1.418156443331632</v>
      </c>
      <c r="F25" s="2">
        <v>1.377792881782919</v>
      </c>
      <c r="G25" s="77">
        <v>3.2602582082891951</v>
      </c>
    </row>
    <row r="26" spans="1:7" ht="15" customHeight="1" x14ac:dyDescent="0.2">
      <c r="A26" s="74" t="s">
        <v>24</v>
      </c>
      <c r="B26" s="1">
        <v>0.16</v>
      </c>
      <c r="C26" s="1">
        <v>0.1406057047034229</v>
      </c>
      <c r="D26" s="1">
        <v>0.1057609916449635</v>
      </c>
      <c r="E26" s="1">
        <v>0.1091183541564696</v>
      </c>
      <c r="F26" s="1">
        <v>0.1182402268381747</v>
      </c>
      <c r="G26" s="75">
        <v>0.30370531391748889</v>
      </c>
    </row>
    <row r="27" spans="1:7" ht="15" customHeight="1" x14ac:dyDescent="0.2">
      <c r="A27" s="76" t="s">
        <v>25</v>
      </c>
      <c r="B27" s="2">
        <v>16</v>
      </c>
      <c r="C27" s="2"/>
      <c r="D27" s="2"/>
      <c r="E27" s="2"/>
      <c r="F27" s="2"/>
      <c r="G27" s="77">
        <v>7.8339736440397978</v>
      </c>
    </row>
    <row r="28" spans="1:7" ht="15" customHeight="1" x14ac:dyDescent="0.2">
      <c r="A28" s="76" t="s">
        <v>26</v>
      </c>
      <c r="B28" s="2">
        <v>0</v>
      </c>
      <c r="C28" s="2">
        <v>6.4650209413700779</v>
      </c>
      <c r="D28" s="2">
        <v>3.1151499771569848</v>
      </c>
      <c r="E28" s="2">
        <v>3.317764420396617</v>
      </c>
      <c r="F28" s="2">
        <v>3.86713032901877</v>
      </c>
      <c r="G28" s="77">
        <v>6.6701250032881019</v>
      </c>
    </row>
    <row r="29" spans="1:7" ht="15" customHeight="1" x14ac:dyDescent="0.2">
      <c r="A29" s="76" t="s">
        <v>27</v>
      </c>
      <c r="B29" s="2">
        <v>0</v>
      </c>
      <c r="C29" s="2">
        <v>3.3950684590940292</v>
      </c>
      <c r="D29" s="2">
        <v>0.83678261258926501</v>
      </c>
      <c r="E29" s="2">
        <v>0.88161669666170139</v>
      </c>
      <c r="F29" s="2">
        <v>0.99552012882214613</v>
      </c>
      <c r="G29" s="77">
        <v>4.2381812440126572</v>
      </c>
    </row>
    <row r="30" spans="1:7" ht="15" customHeight="1" x14ac:dyDescent="0.2">
      <c r="A30" s="76" t="s">
        <v>28</v>
      </c>
      <c r="B30" s="2">
        <v>0</v>
      </c>
      <c r="C30" s="2">
        <v>4.2004810698084656</v>
      </c>
      <c r="D30" s="2">
        <v>6.6241665740274156</v>
      </c>
      <c r="E30" s="2">
        <v>6.7124542984527791</v>
      </c>
      <c r="F30" s="2">
        <v>6.96137222552158</v>
      </c>
      <c r="G30" s="77">
        <v>11.62825150040833</v>
      </c>
    </row>
    <row r="31" spans="1:7" ht="15" customHeight="1" x14ac:dyDescent="0.2">
      <c r="A31" s="74" t="s">
        <v>29</v>
      </c>
      <c r="B31" s="1"/>
      <c r="C31" s="1">
        <v>3.2439581857968573E-2</v>
      </c>
      <c r="D31" s="1">
        <v>5.6057780123517129E-2</v>
      </c>
      <c r="E31" s="1">
        <v>5.5086112565020939E-2</v>
      </c>
      <c r="F31" s="1">
        <v>5.2444138551549578E-2</v>
      </c>
      <c r="G31" s="75">
        <v>6.6858028156292965E-2</v>
      </c>
    </row>
    <row r="32" spans="1:7" ht="15" customHeight="1" x14ac:dyDescent="0.2">
      <c r="A32" s="76" t="s">
        <v>30</v>
      </c>
      <c r="B32" s="2">
        <v>0</v>
      </c>
      <c r="C32" s="2">
        <v>1.3283813576704651</v>
      </c>
      <c r="D32" s="2">
        <v>2.3667725872872909</v>
      </c>
      <c r="E32" s="2">
        <v>2.3289629939206362</v>
      </c>
      <c r="F32" s="2">
        <v>2.226511046766789</v>
      </c>
      <c r="G32" s="77">
        <v>2.3863397725197939</v>
      </c>
    </row>
    <row r="33" spans="1:7" ht="15" customHeight="1" x14ac:dyDescent="0.2">
      <c r="A33" s="76" t="s">
        <v>31</v>
      </c>
      <c r="B33" s="2">
        <v>0</v>
      </c>
      <c r="C33" s="2">
        <v>1.05882366266706</v>
      </c>
      <c r="D33" s="2">
        <v>1.8482070513997311</v>
      </c>
      <c r="E33" s="2">
        <v>1.8157078338259229</v>
      </c>
      <c r="F33" s="2">
        <v>1.727334966235194</v>
      </c>
      <c r="G33" s="77">
        <v>2.179584811152834</v>
      </c>
    </row>
    <row r="34" spans="1:7" ht="15" customHeight="1" x14ac:dyDescent="0.2">
      <c r="A34" s="76" t="s">
        <v>32</v>
      </c>
      <c r="B34" s="2">
        <v>0</v>
      </c>
      <c r="C34" s="2">
        <v>0.85675316545933222</v>
      </c>
      <c r="D34" s="2">
        <v>1.3907983736646909</v>
      </c>
      <c r="E34" s="2">
        <v>1.363940428755535</v>
      </c>
      <c r="F34" s="2">
        <v>1.290567842152974</v>
      </c>
      <c r="G34" s="77">
        <v>2.1198782319566689</v>
      </c>
    </row>
    <row r="35" spans="1:7" ht="15" customHeight="1" x14ac:dyDescent="0.2">
      <c r="A35" s="74" t="s">
        <v>33</v>
      </c>
      <c r="B35" s="1"/>
      <c r="C35" s="1">
        <v>3.9658934435256463E-2</v>
      </c>
      <c r="D35" s="1">
        <v>8.1414396088670044E-2</v>
      </c>
      <c r="E35" s="1">
        <v>8.0606911364136724E-2</v>
      </c>
      <c r="F35" s="1">
        <v>7.8473651640219966E-2</v>
      </c>
      <c r="G35" s="75">
        <v>0.1066006641576224</v>
      </c>
    </row>
    <row r="36" spans="1:7" ht="15" customHeight="1" x14ac:dyDescent="0.2">
      <c r="A36" s="76" t="s">
        <v>34</v>
      </c>
      <c r="B36" s="2">
        <v>0</v>
      </c>
      <c r="C36" s="2">
        <v>1.7787983254622119</v>
      </c>
      <c r="D36" s="2">
        <v>3.5201129485940328</v>
      </c>
      <c r="E36" s="2">
        <v>3.4885678285164059</v>
      </c>
      <c r="F36" s="2">
        <v>3.4055878295293378</v>
      </c>
      <c r="G36" s="77">
        <v>3.9331671197745059</v>
      </c>
    </row>
    <row r="37" spans="1:7" ht="15" customHeight="1" x14ac:dyDescent="0.2">
      <c r="A37" s="76" t="s">
        <v>35</v>
      </c>
      <c r="B37" s="2">
        <v>0</v>
      </c>
      <c r="C37" s="2">
        <v>1.640321338546495</v>
      </c>
      <c r="D37" s="2">
        <v>3.465994995194023</v>
      </c>
      <c r="E37" s="2">
        <v>3.4290924809208549</v>
      </c>
      <c r="F37" s="2">
        <v>3.3313330008638551</v>
      </c>
      <c r="G37" s="77">
        <v>3.3366095360736341</v>
      </c>
    </row>
    <row r="38" spans="1:7" ht="15" customHeight="1" x14ac:dyDescent="0.2">
      <c r="A38" s="76" t="s">
        <v>36</v>
      </c>
      <c r="B38" s="2">
        <v>0</v>
      </c>
      <c r="C38" s="2">
        <v>0.54677377951693906</v>
      </c>
      <c r="D38" s="2">
        <v>1.155331665078948</v>
      </c>
      <c r="E38" s="2">
        <v>1.1430308269764089</v>
      </c>
      <c r="F38" s="2">
        <v>1.1104443336288039</v>
      </c>
      <c r="G38" s="77">
        <v>3.3902897599141042</v>
      </c>
    </row>
    <row r="39" spans="1:7" ht="15" customHeight="1" x14ac:dyDescent="0.2">
      <c r="A39" s="74" t="s">
        <v>37</v>
      </c>
      <c r="B39" s="1"/>
      <c r="C39" s="1"/>
      <c r="D39" s="1"/>
      <c r="E39" s="1"/>
      <c r="F39" s="1"/>
      <c r="G39" s="75">
        <v>-1.172155208750534</v>
      </c>
    </row>
    <row r="40" spans="1:7" ht="15" customHeight="1" x14ac:dyDescent="0.2">
      <c r="A40" s="76" t="s">
        <v>38</v>
      </c>
      <c r="B40" s="2">
        <v>0</v>
      </c>
      <c r="C40" s="2">
        <v>0</v>
      </c>
      <c r="D40" s="2">
        <v>0</v>
      </c>
      <c r="E40" s="2">
        <v>0</v>
      </c>
      <c r="F40" s="2">
        <v>0</v>
      </c>
      <c r="G40" s="77">
        <v>-117.2155208750534</v>
      </c>
    </row>
    <row r="41" spans="1:7" ht="16" customHeight="1" x14ac:dyDescent="0.2">
      <c r="A41" s="79" t="s">
        <v>39</v>
      </c>
      <c r="B41" s="3">
        <v>1</v>
      </c>
      <c r="C41" s="3">
        <v>1</v>
      </c>
      <c r="D41" s="3">
        <v>1</v>
      </c>
      <c r="E41" s="3">
        <v>1</v>
      </c>
      <c r="F41" s="3">
        <v>1</v>
      </c>
      <c r="G41" s="80">
        <v>1</v>
      </c>
    </row>
    <row r="42" spans="1:7" ht="3" customHeight="1" x14ac:dyDescent="0.2">
      <c r="A42" s="81"/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82">
        <v>0</v>
      </c>
    </row>
    <row r="43" spans="1:7" ht="19" customHeight="1" x14ac:dyDescent="0.2">
      <c r="A43" s="83" t="s">
        <v>40</v>
      </c>
      <c r="B43" s="5">
        <v>5.399026561172747E-2</v>
      </c>
      <c r="C43" s="39">
        <v>5.3990265611720448E-2</v>
      </c>
      <c r="D43" s="5">
        <v>6.4666390128677309E-2</v>
      </c>
      <c r="E43" s="5">
        <v>6.4318022256016308E-2</v>
      </c>
      <c r="F43" s="5">
        <v>6.3368042855884793E-2</v>
      </c>
      <c r="G43" s="84">
        <v>5.5734391847800852E-2</v>
      </c>
    </row>
    <row r="44" spans="1:7" ht="19" customHeight="1" x14ac:dyDescent="0.2">
      <c r="A44" s="83" t="s">
        <v>41</v>
      </c>
      <c r="B44" s="6">
        <v>0.39333907606745722</v>
      </c>
      <c r="C44" s="6">
        <v>0.53548993982397441</v>
      </c>
      <c r="D44" s="6">
        <v>0.5381924214429239</v>
      </c>
      <c r="E44" s="6">
        <v>0.54082561563966125</v>
      </c>
      <c r="F44" s="6">
        <v>0.54841600734884344</v>
      </c>
      <c r="G44" s="85">
        <v>0.4170033298356115</v>
      </c>
    </row>
    <row r="45" spans="1:7" ht="3" customHeight="1" x14ac:dyDescent="0.2">
      <c r="A45" s="81"/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82">
        <v>0</v>
      </c>
    </row>
    <row r="46" spans="1:7" ht="19" customHeight="1" x14ac:dyDescent="0.2">
      <c r="A46" s="83" t="s">
        <v>42</v>
      </c>
      <c r="B46" s="5">
        <v>7.3702989038281236E-2</v>
      </c>
      <c r="C46" s="5">
        <v>5.4137834263049057E-2</v>
      </c>
      <c r="D46" s="39">
        <v>7.3702989020784621E-2</v>
      </c>
      <c r="E46" s="5">
        <v>7.2699999998174891E-2</v>
      </c>
      <c r="F46" s="5">
        <v>6.9961566295928992E-2</v>
      </c>
      <c r="G46" s="84">
        <v>7.3702989038281236E-2</v>
      </c>
    </row>
    <row r="47" spans="1:7" ht="19" customHeight="1" x14ac:dyDescent="0.2">
      <c r="A47" s="83" t="s">
        <v>106</v>
      </c>
      <c r="B47" s="5">
        <f>risk_dashboard!B25</f>
        <v>0.1713212306623714</v>
      </c>
      <c r="C47" s="5">
        <f>risk_dashboard!D25</f>
        <v>0.1159539572175922</v>
      </c>
      <c r="D47" s="5">
        <f>risk_dashboard!F25</f>
        <v>0.1745233245113883</v>
      </c>
      <c r="E47" s="39">
        <f>risk_dashboard!H25</f>
        <v>0.17119430851673681</v>
      </c>
      <c r="F47" s="5">
        <f>risk_dashboard!J25</f>
        <v>0.16322220237534921</v>
      </c>
      <c r="G47" s="84">
        <f>risk_dashboard!L25</f>
        <v>0.1703220730569559</v>
      </c>
    </row>
    <row r="48" spans="1:7" ht="19" customHeight="1" x14ac:dyDescent="0.2">
      <c r="A48" s="86" t="s">
        <v>107</v>
      </c>
      <c r="B48" s="40">
        <f>risk_dashboard!B22</f>
        <v>-9.2205775861361916E-2</v>
      </c>
      <c r="C48" s="40">
        <f>risk_dashboard!D22</f>
        <v>-6.816889297532569E-2</v>
      </c>
      <c r="D48" s="40">
        <f>risk_dashboard!F22</f>
        <v>-9.8189053436447016E-2</v>
      </c>
      <c r="E48" s="40">
        <f>risk_dashboard!H22</f>
        <v>-9.6593514945535475E-2</v>
      </c>
      <c r="F48" s="41">
        <f>risk_dashboard!J22</f>
        <v>-9.2205775862106543E-2</v>
      </c>
      <c r="G48" s="87">
        <f>risk_dashboard!L22</f>
        <v>-8.4503929167318859E-2</v>
      </c>
    </row>
    <row r="49" spans="1:7" ht="4" customHeight="1" x14ac:dyDescent="0.2">
      <c r="A49" s="88"/>
      <c r="B49" s="62"/>
      <c r="C49" s="62"/>
      <c r="D49" s="62"/>
      <c r="E49" s="62"/>
      <c r="F49" s="62"/>
      <c r="G49" s="89"/>
    </row>
    <row r="50" spans="1:7" ht="19" customHeight="1" x14ac:dyDescent="0.2">
      <c r="A50" s="90" t="s">
        <v>112</v>
      </c>
      <c r="B50" s="5"/>
      <c r="C50" s="5"/>
      <c r="D50" s="5"/>
      <c r="E50" s="5"/>
      <c r="F50" s="39"/>
      <c r="G50" s="84"/>
    </row>
    <row r="51" spans="1:7" ht="19" customHeight="1" x14ac:dyDescent="0.2">
      <c r="A51" s="91" t="s">
        <v>113</v>
      </c>
      <c r="B51" s="45">
        <f>B61</f>
        <v>475.19458292480061</v>
      </c>
      <c r="C51" s="45">
        <f t="shared" ref="C51:G51" si="2">C61</f>
        <v>463.68757632468117</v>
      </c>
      <c r="D51" s="45">
        <f t="shared" si="2"/>
        <v>605.27007648635981</v>
      </c>
      <c r="E51" s="45">
        <f t="shared" si="2"/>
        <v>599.92465082384092</v>
      </c>
      <c r="F51" s="45">
        <f t="shared" si="2"/>
        <v>584.88415181245387</v>
      </c>
      <c r="G51" s="92">
        <f t="shared" si="2"/>
        <v>526.73934280198637</v>
      </c>
    </row>
    <row r="52" spans="1:7" ht="19" customHeight="1" x14ac:dyDescent="0.2">
      <c r="A52" s="93" t="s">
        <v>114</v>
      </c>
      <c r="B52" s="46">
        <f>B60</f>
        <v>290.67048422949279</v>
      </c>
      <c r="C52" s="46">
        <f t="shared" ref="C52:G52" si="3">C60</f>
        <v>311.64269032949937</v>
      </c>
      <c r="D52" s="46">
        <f t="shared" si="3"/>
        <v>375.23052088100519</v>
      </c>
      <c r="E52" s="46">
        <f t="shared" si="3"/>
        <v>373.6069499350312</v>
      </c>
      <c r="F52" s="46">
        <f t="shared" si="3"/>
        <v>368.87926122239338</v>
      </c>
      <c r="G52" s="94">
        <f t="shared" si="3"/>
        <v>329.36103967211437</v>
      </c>
    </row>
    <row r="53" spans="1:7" ht="19" customHeight="1" x14ac:dyDescent="0.2">
      <c r="A53" s="95" t="s">
        <v>115</v>
      </c>
      <c r="B53" s="96">
        <f>B58</f>
        <v>110.67117834453811</v>
      </c>
      <c r="C53" s="96">
        <f t="shared" ref="C53:G53" si="4">C58</f>
        <v>149.5608817145243</v>
      </c>
      <c r="D53" s="96">
        <f t="shared" si="4"/>
        <v>146.73475069392259</v>
      </c>
      <c r="E53" s="96">
        <f t="shared" si="4"/>
        <v>147.87051798178379</v>
      </c>
      <c r="F53" s="96">
        <f t="shared" si="4"/>
        <v>150.74441394055091</v>
      </c>
      <c r="G53" s="97">
        <f t="shared" si="4"/>
        <v>132.09846265019871</v>
      </c>
    </row>
    <row r="58" spans="1:7" x14ac:dyDescent="0.2">
      <c r="B58" cm="1">
        <f t="array" ref="B58:B61">TRANSPOSE(ws_Current_Portfolio!B23:E23)</f>
        <v>110.67117834453811</v>
      </c>
      <c r="C58" cm="1">
        <f t="array" ref="C58:C61">TRANSPOSE(ws_Return_Matched!B23:E23)</f>
        <v>149.5608817145243</v>
      </c>
      <c r="D58" cm="1">
        <f t="array" ref="D58:D61">TRANSPOSE(ws_Volatility_Matched!B23:E23)</f>
        <v>146.73475069392259</v>
      </c>
      <c r="E58" cm="1">
        <f t="array" ref="E58:E61">TRANSPOSE(ws_CVaR_Matched!B23:E23)</f>
        <v>147.87051798178379</v>
      </c>
      <c r="F58" cm="1">
        <f t="array" ref="F58:F61">TRANSPOSE(ws_Max_Drawdown_Matched!B23:E23)</f>
        <v>150.74441394055091</v>
      </c>
      <c r="G58" cm="1">
        <f t="array" ref="G58:G61">TRANSPOSE(ws_Volatility_Parity!B23:E23)</f>
        <v>132.09846265019871</v>
      </c>
    </row>
    <row r="59" spans="1:7" x14ac:dyDescent="0.2">
      <c r="B59">
        <v>173.23977525078459</v>
      </c>
      <c r="C59">
        <v>209.04026609377959</v>
      </c>
      <c r="D59">
        <v>225.9667149934902</v>
      </c>
      <c r="E59">
        <v>226.31540395495099</v>
      </c>
      <c r="F59">
        <v>227.237381046271</v>
      </c>
      <c r="G59">
        <v>201.24289232713849</v>
      </c>
    </row>
    <row r="60" spans="1:7" x14ac:dyDescent="0.2">
      <c r="B60">
        <v>290.67048422949279</v>
      </c>
      <c r="C60">
        <v>311.64269032949937</v>
      </c>
      <c r="D60">
        <v>375.23052088100519</v>
      </c>
      <c r="E60">
        <v>373.6069499350312</v>
      </c>
      <c r="F60">
        <v>368.87926122239338</v>
      </c>
      <c r="G60">
        <v>329.36103967211437</v>
      </c>
    </row>
    <row r="61" spans="1:7" x14ac:dyDescent="0.2">
      <c r="B61">
        <v>475.19458292480061</v>
      </c>
      <c r="C61">
        <v>463.68757632468117</v>
      </c>
      <c r="D61">
        <v>605.27007648635981</v>
      </c>
      <c r="E61">
        <v>599.92465082384092</v>
      </c>
      <c r="F61">
        <v>584.88415181245387</v>
      </c>
      <c r="G61">
        <v>526.73934280198637</v>
      </c>
    </row>
  </sheetData>
  <mergeCells count="1">
    <mergeCell ref="D1:G1"/>
  </mergeCells>
  <conditionalFormatting sqref="B4:G7 B9:G10 B27:G30 B32:G34 B36:G38 B40:G40 B12:G23">
    <cfRule type="cellIs" dxfId="3" priority="1" operator="equal">
      <formula>0</formula>
    </cfRule>
  </conditionalFormatting>
  <pageMargins left="0.75" right="0.75" top="1" bottom="1" header="0.5" footer="0.5"/>
  <ignoredErrors>
    <ignoredError sqref="B13:G1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1"/>
  <sheetViews>
    <sheetView topLeftCell="A12" zoomScale="140" zoomScaleNormal="140" workbookViewId="0">
      <selection sqref="A1:M44"/>
    </sheetView>
  </sheetViews>
  <sheetFormatPr baseColWidth="10" defaultColWidth="8.83203125" defaultRowHeight="15" x14ac:dyDescent="0.2"/>
  <cols>
    <col min="1" max="1" width="40" customWidth="1"/>
    <col min="2" max="13" width="11.83203125" customWidth="1"/>
  </cols>
  <sheetData>
    <row r="1" spans="1:13" ht="35" customHeight="1" x14ac:dyDescent="0.2">
      <c r="A1" s="111"/>
      <c r="B1" s="112" t="s">
        <v>0</v>
      </c>
      <c r="C1" s="113"/>
      <c r="D1" s="112" t="s">
        <v>2</v>
      </c>
      <c r="E1" s="113"/>
      <c r="F1" s="112" t="s">
        <v>1</v>
      </c>
      <c r="G1" s="113"/>
      <c r="H1" s="112" t="s">
        <v>110</v>
      </c>
      <c r="I1" s="113"/>
      <c r="J1" s="112" t="s">
        <v>111</v>
      </c>
      <c r="K1" s="113"/>
      <c r="L1" s="112" t="s">
        <v>3</v>
      </c>
      <c r="M1" s="114"/>
    </row>
    <row r="2" spans="1:13" ht="15" customHeight="1" x14ac:dyDescent="0.2">
      <c r="A2" s="115" t="s">
        <v>4</v>
      </c>
      <c r="B2" s="64">
        <v>0.38000000000000012</v>
      </c>
      <c r="C2" s="65"/>
      <c r="D2" s="64">
        <v>0.47498842805223912</v>
      </c>
      <c r="E2" s="65"/>
      <c r="F2" s="64">
        <v>0.31240057137827082</v>
      </c>
      <c r="G2" s="65"/>
      <c r="H2" s="64">
        <v>0.31865737047049619</v>
      </c>
      <c r="I2" s="65"/>
      <c r="J2" s="64">
        <v>0.33582636401678972</v>
      </c>
      <c r="K2" s="65"/>
      <c r="L2" s="64">
        <v>1.3487069894121331</v>
      </c>
      <c r="M2" s="116"/>
    </row>
    <row r="3" spans="1:13" ht="15" customHeight="1" x14ac:dyDescent="0.2">
      <c r="A3" s="115" t="s">
        <v>9</v>
      </c>
      <c r="B3" s="64" t="s">
        <v>132</v>
      </c>
      <c r="C3" s="65"/>
      <c r="D3" s="64">
        <v>5.6535337268710982E-2</v>
      </c>
      <c r="E3" s="65"/>
      <c r="F3" s="64">
        <v>8.2281581725671502E-2</v>
      </c>
      <c r="G3" s="65"/>
      <c r="H3" s="64">
        <v>8.1923101968256112E-2</v>
      </c>
      <c r="I3" s="65"/>
      <c r="J3" s="64">
        <v>8.09610913336343E-2</v>
      </c>
      <c r="K3" s="65"/>
      <c r="L3" s="64">
        <v>8.2101685822479273E-2</v>
      </c>
      <c r="M3" s="116"/>
    </row>
    <row r="4" spans="1:13" ht="15" customHeight="1" x14ac:dyDescent="0.2">
      <c r="A4" s="115" t="s">
        <v>12</v>
      </c>
      <c r="B4" s="64">
        <v>0.46000000000000008</v>
      </c>
      <c r="C4" s="65"/>
      <c r="D4" s="64">
        <v>0.25577201368241342</v>
      </c>
      <c r="E4" s="65"/>
      <c r="F4" s="64">
        <v>0.36208467903889319</v>
      </c>
      <c r="G4" s="65"/>
      <c r="H4" s="64">
        <v>0.35460814947560648</v>
      </c>
      <c r="I4" s="65"/>
      <c r="J4" s="64">
        <v>0.3340545276196738</v>
      </c>
      <c r="K4" s="65"/>
      <c r="L4" s="64">
        <v>0.26418252728451802</v>
      </c>
      <c r="M4" s="116"/>
    </row>
    <row r="5" spans="1:13" ht="15" customHeight="1" x14ac:dyDescent="0.2">
      <c r="A5" s="115" t="s">
        <v>24</v>
      </c>
      <c r="B5" s="64">
        <v>0.16</v>
      </c>
      <c r="C5" s="65"/>
      <c r="D5" s="64">
        <v>0.1406057047034229</v>
      </c>
      <c r="E5" s="65"/>
      <c r="F5" s="64">
        <v>0.1057609916449635</v>
      </c>
      <c r="G5" s="65"/>
      <c r="H5" s="64">
        <v>0.1091183541564696</v>
      </c>
      <c r="I5" s="65"/>
      <c r="J5" s="64">
        <v>0.1182402268381747</v>
      </c>
      <c r="K5" s="65"/>
      <c r="L5" s="64">
        <v>0.30370531391748889</v>
      </c>
      <c r="M5" s="116"/>
    </row>
    <row r="6" spans="1:13" ht="15" customHeight="1" x14ac:dyDescent="0.2">
      <c r="A6" s="115" t="s">
        <v>29</v>
      </c>
      <c r="B6" s="64" t="s">
        <v>132</v>
      </c>
      <c r="C6" s="65"/>
      <c r="D6" s="64">
        <v>3.2439581857968573E-2</v>
      </c>
      <c r="E6" s="65"/>
      <c r="F6" s="64">
        <v>5.6057780123517129E-2</v>
      </c>
      <c r="G6" s="65"/>
      <c r="H6" s="64">
        <v>5.5086112565020939E-2</v>
      </c>
      <c r="I6" s="65"/>
      <c r="J6" s="64">
        <v>5.2444138551549578E-2</v>
      </c>
      <c r="K6" s="65"/>
      <c r="L6" s="64">
        <v>6.6858028156292965E-2</v>
      </c>
      <c r="M6" s="116"/>
    </row>
    <row r="7" spans="1:13" ht="15" customHeight="1" x14ac:dyDescent="0.2">
      <c r="A7" s="115" t="s">
        <v>33</v>
      </c>
      <c r="B7" s="64" t="s">
        <v>132</v>
      </c>
      <c r="C7" s="65"/>
      <c r="D7" s="64">
        <v>3.9658934435256463E-2</v>
      </c>
      <c r="E7" s="65"/>
      <c r="F7" s="64">
        <v>8.1414396088670044E-2</v>
      </c>
      <c r="G7" s="65"/>
      <c r="H7" s="64">
        <v>8.0606911364136724E-2</v>
      </c>
      <c r="I7" s="65"/>
      <c r="J7" s="64">
        <v>7.8473651640219966E-2</v>
      </c>
      <c r="K7" s="65"/>
      <c r="L7" s="64">
        <v>0.1066006641576224</v>
      </c>
      <c r="M7" s="116"/>
    </row>
    <row r="8" spans="1:13" ht="15" customHeight="1" x14ac:dyDescent="0.2">
      <c r="A8" s="115" t="s">
        <v>37</v>
      </c>
      <c r="B8" s="64" t="s">
        <v>132</v>
      </c>
      <c r="C8" s="65"/>
      <c r="D8" s="64" t="s">
        <v>132</v>
      </c>
      <c r="E8" s="65"/>
      <c r="F8" s="64" t="s">
        <v>132</v>
      </c>
      <c r="G8" s="65"/>
      <c r="H8" s="64" t="s">
        <v>132</v>
      </c>
      <c r="I8" s="65"/>
      <c r="J8" s="64" t="s">
        <v>132</v>
      </c>
      <c r="K8" s="65"/>
      <c r="L8" s="64">
        <v>-1.172155208750534</v>
      </c>
      <c r="M8" s="116"/>
    </row>
    <row r="9" spans="1:13" ht="15" customHeight="1" x14ac:dyDescent="0.2">
      <c r="A9" s="117" t="s">
        <v>40</v>
      </c>
      <c r="B9" s="66">
        <v>5.399026561172747E-2</v>
      </c>
      <c r="C9" s="68"/>
      <c r="D9" s="66">
        <v>5.3990265611720448E-2</v>
      </c>
      <c r="E9" s="68"/>
      <c r="F9" s="66">
        <v>6.4666390128677309E-2</v>
      </c>
      <c r="G9" s="68"/>
      <c r="H9" s="66">
        <v>6.4318022256016308E-2</v>
      </c>
      <c r="I9" s="68"/>
      <c r="J9" s="66">
        <v>6.3368042855884793E-2</v>
      </c>
      <c r="K9" s="68"/>
      <c r="L9" s="66">
        <v>5.5734391847800852E-2</v>
      </c>
      <c r="M9" s="118"/>
    </row>
    <row r="10" spans="1:13" ht="15" customHeight="1" x14ac:dyDescent="0.2">
      <c r="A10" s="115" t="s">
        <v>41</v>
      </c>
      <c r="B10" s="67">
        <v>0.39333907606745722</v>
      </c>
      <c r="C10" s="65"/>
      <c r="D10" s="67">
        <v>0.53548993982397441</v>
      </c>
      <c r="E10" s="65"/>
      <c r="F10" s="67">
        <v>0.5381924214429239</v>
      </c>
      <c r="G10" s="65"/>
      <c r="H10" s="67">
        <v>0.54082561563966125</v>
      </c>
      <c r="I10" s="65"/>
      <c r="J10" s="67">
        <v>0.54841600734884344</v>
      </c>
      <c r="K10" s="65"/>
      <c r="L10" s="67">
        <v>0.4170033298356115</v>
      </c>
      <c r="M10" s="116"/>
    </row>
    <row r="11" spans="1:13" ht="15" customHeight="1" x14ac:dyDescent="0.2">
      <c r="A11" s="115" t="s">
        <v>42</v>
      </c>
      <c r="B11" s="64">
        <v>7.3702989038281236E-2</v>
      </c>
      <c r="C11" s="65"/>
      <c r="D11" s="64">
        <v>5.4137834263049057E-2</v>
      </c>
      <c r="E11" s="65"/>
      <c r="F11" s="64">
        <v>7.3702989020784621E-2</v>
      </c>
      <c r="G11" s="65"/>
      <c r="H11" s="64">
        <v>7.2699999998174891E-2</v>
      </c>
      <c r="I11" s="65"/>
      <c r="J11" s="64">
        <v>6.9961566295928992E-2</v>
      </c>
      <c r="K11" s="65"/>
      <c r="L11" s="64">
        <v>7.3702989038281236E-2</v>
      </c>
      <c r="M11" s="116"/>
    </row>
    <row r="12" spans="1:13" ht="15" customHeight="1" x14ac:dyDescent="0.2">
      <c r="A12" s="119" t="s">
        <v>43</v>
      </c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120"/>
    </row>
    <row r="13" spans="1:13" ht="15" customHeight="1" x14ac:dyDescent="0.2">
      <c r="A13" s="121" t="s">
        <v>44</v>
      </c>
      <c r="B13" s="42" t="s">
        <v>45</v>
      </c>
      <c r="C13" s="106" t="s">
        <v>46</v>
      </c>
      <c r="D13" s="42" t="s">
        <v>45</v>
      </c>
      <c r="E13" s="106" t="s">
        <v>46</v>
      </c>
      <c r="F13" s="42" t="s">
        <v>45</v>
      </c>
      <c r="G13" s="106" t="s">
        <v>46</v>
      </c>
      <c r="H13" s="42" t="s">
        <v>45</v>
      </c>
      <c r="I13" s="106" t="s">
        <v>46</v>
      </c>
      <c r="J13" s="42" t="s">
        <v>45</v>
      </c>
      <c r="K13" s="106" t="s">
        <v>46</v>
      </c>
      <c r="L13" s="42" t="s">
        <v>45</v>
      </c>
      <c r="M13" s="122" t="s">
        <v>46</v>
      </c>
    </row>
    <row r="14" spans="1:13" ht="15" customHeight="1" x14ac:dyDescent="0.2">
      <c r="A14" s="123" t="s">
        <v>47</v>
      </c>
      <c r="B14" s="8">
        <v>-0.14483801254945641</v>
      </c>
      <c r="C14" s="107">
        <v>-0.27328000394130852</v>
      </c>
      <c r="D14" s="8">
        <v>-9.4594885236820359E-2</v>
      </c>
      <c r="E14" s="107">
        <v>-0.23058319816832409</v>
      </c>
      <c r="F14" s="8">
        <v>-0.16092900928296089</v>
      </c>
      <c r="G14" s="107">
        <v>-0.28695419579543269</v>
      </c>
      <c r="H14" s="8">
        <v>-0.1579329828745365</v>
      </c>
      <c r="I14" s="107">
        <v>-0.28440816085506648</v>
      </c>
      <c r="J14" s="8">
        <v>-0.1496594650932758</v>
      </c>
      <c r="K14" s="107">
        <v>-0.27737729313921522</v>
      </c>
      <c r="L14" s="8">
        <v>-0.19697794370340271</v>
      </c>
      <c r="M14" s="124">
        <v>-0.31758872102502672</v>
      </c>
    </row>
    <row r="15" spans="1:13" ht="15" customHeight="1" x14ac:dyDescent="0.2">
      <c r="A15" s="123" t="s">
        <v>48</v>
      </c>
      <c r="B15" s="8">
        <v>0.14089278218308279</v>
      </c>
      <c r="C15" s="107">
        <v>-3.8581176310079179E-2</v>
      </c>
      <c r="D15" s="8">
        <v>9.6723861121708943E-2</v>
      </c>
      <c r="E15" s="107">
        <v>-7.580187994992782E-2</v>
      </c>
      <c r="F15" s="8">
        <v>8.8165336680602113E-2</v>
      </c>
      <c r="G15" s="107">
        <v>-8.3014062049060477E-2</v>
      </c>
      <c r="H15" s="8">
        <v>8.7513046682812456E-2</v>
      </c>
      <c r="I15" s="107">
        <v>-8.3563740241589302E-2</v>
      </c>
      <c r="J15" s="8">
        <v>8.5688203390374085E-2</v>
      </c>
      <c r="K15" s="107">
        <v>-8.510151725186843E-2</v>
      </c>
      <c r="L15" s="8">
        <v>-1.4015081896200381E-3</v>
      </c>
      <c r="M15" s="124">
        <v>-0.15849113753022351</v>
      </c>
    </row>
    <row r="16" spans="1:13" ht="15" customHeight="1" x14ac:dyDescent="0.2">
      <c r="A16" s="123" t="s">
        <v>49</v>
      </c>
      <c r="B16" s="8">
        <v>3.3694949225525413E-2</v>
      </c>
      <c r="C16" s="107">
        <v>-9.2473682099793786E-2</v>
      </c>
      <c r="D16" s="8">
        <v>0.1158136159659879</v>
      </c>
      <c r="E16" s="107">
        <v>-2.0378088217205551E-2</v>
      </c>
      <c r="F16" s="8">
        <v>7.150803109822923E-2</v>
      </c>
      <c r="G16" s="107">
        <v>-5.9275912306969818E-2</v>
      </c>
      <c r="H16" s="8">
        <v>7.4240356904853755E-2</v>
      </c>
      <c r="I16" s="107">
        <v>-5.6877083154861063E-2</v>
      </c>
      <c r="J16" s="8">
        <v>8.1803676302952155E-2</v>
      </c>
      <c r="K16" s="107">
        <v>-5.0236911980955028E-2</v>
      </c>
      <c r="L16" s="8">
        <v>6.1358362213283613E-2</v>
      </c>
      <c r="M16" s="124">
        <v>-6.818675359332993E-2</v>
      </c>
    </row>
    <row r="17" spans="1:13" ht="15" customHeight="1" x14ac:dyDescent="0.2">
      <c r="A17" s="123" t="s">
        <v>50</v>
      </c>
      <c r="B17" s="8">
        <v>-9.2492094367075617E-2</v>
      </c>
      <c r="C17" s="107">
        <v>-9.4866958609828855E-2</v>
      </c>
      <c r="D17" s="8">
        <v>-5.7897347151535272E-2</v>
      </c>
      <c r="E17" s="107">
        <v>-6.0362742647668721E-2</v>
      </c>
      <c r="F17" s="8">
        <v>-8.3709866688184698E-2</v>
      </c>
      <c r="G17" s="107">
        <v>-8.610771320840005E-2</v>
      </c>
      <c r="H17" s="8">
        <v>-8.2072068031903811E-2</v>
      </c>
      <c r="I17" s="107">
        <v>-8.4474200519703113E-2</v>
      </c>
      <c r="J17" s="8">
        <v>-7.7563783108969497E-2</v>
      </c>
      <c r="K17" s="107">
        <v>-7.9977713361386704E-2</v>
      </c>
      <c r="L17" s="8">
        <v>-6.3653087138450748E-2</v>
      </c>
      <c r="M17" s="124">
        <v>-6.6103420395455692E-2</v>
      </c>
    </row>
    <row r="18" spans="1:13" ht="15" customHeight="1" x14ac:dyDescent="0.2">
      <c r="A18" s="123" t="s">
        <v>51</v>
      </c>
      <c r="B18" s="8">
        <v>-1.800790865081359E-2</v>
      </c>
      <c r="C18" s="107">
        <v>-4.0952317120729331E-2</v>
      </c>
      <c r="D18" s="8">
        <v>-1.962272029072187E-2</v>
      </c>
      <c r="E18" s="107">
        <v>-4.2529398418209803E-2</v>
      </c>
      <c r="F18" s="8">
        <v>-3.010524361400679E-2</v>
      </c>
      <c r="G18" s="107">
        <v>-5.2766995841333493E-2</v>
      </c>
      <c r="H18" s="8">
        <v>-2.9953102478264101E-2</v>
      </c>
      <c r="I18" s="107">
        <v>-5.2618409508520703E-2</v>
      </c>
      <c r="J18" s="8">
        <v>-2.9542504596867029E-2</v>
      </c>
      <c r="K18" s="107">
        <v>-5.2217405314884169E-2</v>
      </c>
      <c r="L18" s="8">
        <v>-6.9605046653951286E-2</v>
      </c>
      <c r="M18" s="124">
        <v>-9.1343879416433293E-2</v>
      </c>
    </row>
    <row r="19" spans="1:13" ht="15" customHeight="1" x14ac:dyDescent="0.2">
      <c r="A19" s="123" t="s">
        <v>52</v>
      </c>
      <c r="B19" s="8">
        <v>-8.010668726471748E-2</v>
      </c>
      <c r="C19" s="107">
        <v>-8.1236174035639541E-2</v>
      </c>
      <c r="D19" s="8">
        <v>-5.420731394897238E-2</v>
      </c>
      <c r="E19" s="107">
        <v>-5.5368601146237761E-2</v>
      </c>
      <c r="F19" s="8">
        <v>-7.8490595777563232E-2</v>
      </c>
      <c r="G19" s="107">
        <v>-7.96220668589811E-2</v>
      </c>
      <c r="H19" s="8">
        <v>-7.720424153293004E-2</v>
      </c>
      <c r="I19" s="107">
        <v>-7.8337292058487606E-2</v>
      </c>
      <c r="J19" s="8">
        <v>-7.3669894674694092E-2</v>
      </c>
      <c r="K19" s="107">
        <v>-7.4807284831777343E-2</v>
      </c>
      <c r="L19" s="8">
        <v>-6.8181469535899319E-2</v>
      </c>
      <c r="M19" s="124">
        <v>-6.9325598630532892E-2</v>
      </c>
    </row>
    <row r="20" spans="1:13" ht="15" customHeight="1" x14ac:dyDescent="0.2">
      <c r="A20" s="123" t="s">
        <v>53</v>
      </c>
      <c r="B20" s="8">
        <v>-0.19376490842818611</v>
      </c>
      <c r="C20" s="107">
        <v>-0.23746713503780581</v>
      </c>
      <c r="D20" s="8">
        <v>-6.1228857213177501E-2</v>
      </c>
      <c r="E20" s="107">
        <v>-0.1121152421467054</v>
      </c>
      <c r="F20" s="8">
        <v>-0.10978879198737899</v>
      </c>
      <c r="G20" s="107">
        <v>-0.15804297038979051</v>
      </c>
      <c r="H20" s="8">
        <v>-0.1058343040448403</v>
      </c>
      <c r="I20" s="107">
        <v>-0.15430283670942241</v>
      </c>
      <c r="J20" s="8">
        <v>-9.4834377360259903E-2</v>
      </c>
      <c r="K20" s="107">
        <v>-0.1438991645090292</v>
      </c>
      <c r="L20" s="8">
        <v>-8.8039767937579616E-2</v>
      </c>
      <c r="M20" s="124">
        <v>-0.13747285902625159</v>
      </c>
    </row>
    <row r="21" spans="1:13" ht="15" customHeight="1" x14ac:dyDescent="0.2">
      <c r="A21" s="123" t="s">
        <v>54</v>
      </c>
      <c r="B21" s="8">
        <v>-0.27355460831394218</v>
      </c>
      <c r="C21" s="107">
        <v>-0.28556061599715921</v>
      </c>
      <c r="D21" s="8">
        <v>-0.19338441321955979</v>
      </c>
      <c r="E21" s="107">
        <v>-0.20671539864960239</v>
      </c>
      <c r="F21" s="8">
        <v>-0.27244816904318342</v>
      </c>
      <c r="G21" s="107">
        <v>-0.28447246291630218</v>
      </c>
      <c r="H21" s="8">
        <v>-0.26830808624627761</v>
      </c>
      <c r="I21" s="107">
        <v>-0.28040080352250107</v>
      </c>
      <c r="J21" s="8">
        <v>-0.25682898216652877</v>
      </c>
      <c r="K21" s="107">
        <v>-0.26911141530213439</v>
      </c>
      <c r="L21" s="8">
        <v>-0.25216868321319957</v>
      </c>
      <c r="M21" s="124">
        <v>-0.26452813739633352</v>
      </c>
    </row>
    <row r="22" spans="1:13" ht="15" customHeight="1" x14ac:dyDescent="0.2">
      <c r="A22" s="123" t="s">
        <v>55</v>
      </c>
      <c r="B22" s="8">
        <v>-9.2205775861361916E-2</v>
      </c>
      <c r="C22" s="107">
        <v>-8.8992249958941394E-2</v>
      </c>
      <c r="D22" s="8">
        <v>-6.816889297532569E-2</v>
      </c>
      <c r="E22" s="107">
        <v>-6.4870278245818924E-2</v>
      </c>
      <c r="F22" s="8">
        <v>-9.8189053436447016E-2</v>
      </c>
      <c r="G22" s="107">
        <v>-9.4996707903935884E-2</v>
      </c>
      <c r="H22" s="8">
        <v>-9.6593514945535475E-2</v>
      </c>
      <c r="I22" s="107">
        <v>-9.3395521322154895E-2</v>
      </c>
      <c r="J22" s="8">
        <v>-9.2205775862106543E-2</v>
      </c>
      <c r="K22" s="107">
        <v>-8.8992249959688685E-2</v>
      </c>
      <c r="L22" s="8">
        <v>-8.4503929167318859E-2</v>
      </c>
      <c r="M22" s="124">
        <v>-8.1263139284593611E-2</v>
      </c>
    </row>
    <row r="23" spans="1:13" ht="15" customHeight="1" x14ac:dyDescent="0.2">
      <c r="A23" s="121" t="s">
        <v>56</v>
      </c>
      <c r="B23" s="42"/>
      <c r="C23" s="106"/>
      <c r="D23" s="42"/>
      <c r="E23" s="106"/>
      <c r="F23" s="42"/>
      <c r="G23" s="106"/>
      <c r="H23" s="42"/>
      <c r="I23" s="106"/>
      <c r="J23" s="42"/>
      <c r="K23" s="106"/>
      <c r="L23" s="42"/>
      <c r="M23" s="122"/>
    </row>
    <row r="24" spans="1:13" ht="15" customHeight="1" x14ac:dyDescent="0.2">
      <c r="A24" s="123" t="s">
        <v>57</v>
      </c>
      <c r="B24" s="64">
        <v>5.3102767438950482E-2</v>
      </c>
      <c r="C24" s="108"/>
      <c r="D24" s="64">
        <v>4.0619679383599998E-2</v>
      </c>
      <c r="E24" s="108">
        <v>4.2649554027831223E-2</v>
      </c>
      <c r="F24" s="64">
        <v>5.6964289296992821E-2</v>
      </c>
      <c r="G24" s="108">
        <v>5.8959581712966891E-2</v>
      </c>
      <c r="H24" s="64">
        <v>5.6267111567522732E-2</v>
      </c>
      <c r="I24" s="108">
        <v>5.8263879085044268E-2</v>
      </c>
      <c r="J24" s="64">
        <v>5.4049204846655541E-2</v>
      </c>
      <c r="K24" s="108">
        <v>5.6050665052279181E-2</v>
      </c>
      <c r="L24" s="64">
        <v>5.8244202359698183E-2</v>
      </c>
      <c r="M24" s="125">
        <v>6.02367867119179E-2</v>
      </c>
    </row>
    <row r="25" spans="1:13" ht="15" customHeight="1" x14ac:dyDescent="0.2">
      <c r="A25" s="123" t="s">
        <v>58</v>
      </c>
      <c r="B25" s="64">
        <v>0.1713212306623714</v>
      </c>
      <c r="C25" s="108"/>
      <c r="D25" s="64">
        <v>0.1159539572175922</v>
      </c>
      <c r="E25" s="108">
        <v>0.1380970041237648</v>
      </c>
      <c r="F25" s="64">
        <v>0.1745233245113883</v>
      </c>
      <c r="G25" s="108">
        <v>0.19477945975441749</v>
      </c>
      <c r="H25" s="64">
        <v>0.17119430851673681</v>
      </c>
      <c r="I25" s="108">
        <v>0.19174002001636631</v>
      </c>
      <c r="J25" s="64">
        <v>0.16322220237534921</v>
      </c>
      <c r="K25" s="108">
        <v>0.1833567613050264</v>
      </c>
      <c r="L25" s="64">
        <v>0.1703220730569559</v>
      </c>
      <c r="M25" s="125">
        <v>0.18970425001067759</v>
      </c>
    </row>
    <row r="26" spans="1:13" ht="15" customHeight="1" x14ac:dyDescent="0.2">
      <c r="A26" s="123" t="s">
        <v>59</v>
      </c>
      <c r="B26" s="69">
        <v>0.19407783094955519</v>
      </c>
      <c r="C26" s="109"/>
      <c r="D26" s="69">
        <v>0.100411691960683</v>
      </c>
      <c r="E26" s="109">
        <v>0.15729489168403921</v>
      </c>
      <c r="F26" s="69">
        <v>0.1641241456428629</v>
      </c>
      <c r="G26" s="109">
        <v>0.21525978942807741</v>
      </c>
      <c r="H26" s="69">
        <v>0.15987308769584829</v>
      </c>
      <c r="I26" s="109">
        <v>0.2114592209117899</v>
      </c>
      <c r="J26" s="69">
        <v>0.1481234102153233</v>
      </c>
      <c r="K26" s="109">
        <v>0.20131318721520389</v>
      </c>
      <c r="L26" s="69">
        <v>0.1695124865792251</v>
      </c>
      <c r="M26" s="126">
        <v>0.22076960818127961</v>
      </c>
    </row>
    <row r="27" spans="1:13" ht="15" customHeight="1" x14ac:dyDescent="0.2">
      <c r="A27" s="121" t="s">
        <v>60</v>
      </c>
      <c r="B27" s="42"/>
      <c r="C27" s="106"/>
      <c r="D27" s="42"/>
      <c r="E27" s="106"/>
      <c r="F27" s="42"/>
      <c r="G27" s="106"/>
      <c r="H27" s="42"/>
      <c r="I27" s="106"/>
      <c r="J27" s="42"/>
      <c r="K27" s="106"/>
      <c r="L27" s="42"/>
      <c r="M27" s="122"/>
    </row>
    <row r="28" spans="1:13" ht="15" customHeight="1" x14ac:dyDescent="0.2">
      <c r="A28" s="123" t="s">
        <v>57</v>
      </c>
      <c r="B28" s="64">
        <v>7.4840608538578102E-2</v>
      </c>
      <c r="C28" s="108">
        <v>7.6798077907340279E-2</v>
      </c>
      <c r="D28" s="64">
        <v>5.4161651203809218E-2</v>
      </c>
      <c r="E28" s="108">
        <v>5.6162873493348357E-2</v>
      </c>
      <c r="F28" s="64">
        <v>7.7167891496377927E-2</v>
      </c>
      <c r="G28" s="108">
        <v>7.912043675677094E-2</v>
      </c>
      <c r="H28" s="64">
        <v>7.598203753140198E-2</v>
      </c>
      <c r="I28" s="108">
        <v>7.7937091843569006E-2</v>
      </c>
      <c r="J28" s="64">
        <v>7.2729594684958543E-2</v>
      </c>
      <c r="K28" s="108">
        <v>7.4691530575915377E-2</v>
      </c>
      <c r="L28" s="64">
        <v>7.2082562162731456E-2</v>
      </c>
      <c r="M28" s="125">
        <v>7.4045867057078163E-2</v>
      </c>
    </row>
    <row r="29" spans="1:13" ht="15" customHeight="1" x14ac:dyDescent="0.2">
      <c r="A29" s="123" t="s">
        <v>58</v>
      </c>
      <c r="B29" s="64">
        <v>0.2092701813090129</v>
      </c>
      <c r="C29" s="108">
        <v>0.22732156910586851</v>
      </c>
      <c r="D29" s="64">
        <v>0.1433310655973962</v>
      </c>
      <c r="E29" s="108">
        <v>0.16288138242238659</v>
      </c>
      <c r="F29" s="64">
        <v>0.20819164284674549</v>
      </c>
      <c r="G29" s="108">
        <v>0.22628589978558011</v>
      </c>
      <c r="H29" s="64">
        <v>0.20479273931916209</v>
      </c>
      <c r="I29" s="108">
        <v>0.22296502575861299</v>
      </c>
      <c r="J29" s="64">
        <v>0.1954102983607772</v>
      </c>
      <c r="K29" s="108">
        <v>0.21379858699621609</v>
      </c>
      <c r="L29" s="64">
        <v>0.1975702498545675</v>
      </c>
      <c r="M29" s="125">
        <v>0.21589840268100791</v>
      </c>
    </row>
    <row r="30" spans="1:13" ht="15" customHeight="1" x14ac:dyDescent="0.2">
      <c r="A30" s="123" t="s">
        <v>59</v>
      </c>
      <c r="B30" s="69">
        <v>0.24381044598060689</v>
      </c>
      <c r="C30" s="109">
        <v>0.29139845881200188</v>
      </c>
      <c r="D30" s="69">
        <v>0.14362706692833269</v>
      </c>
      <c r="E30" s="109">
        <v>0.19724354183133019</v>
      </c>
      <c r="F30" s="69">
        <v>0.2178500838764024</v>
      </c>
      <c r="G30" s="109">
        <v>0.26670006276650038</v>
      </c>
      <c r="H30" s="69">
        <v>0.2135625822672842</v>
      </c>
      <c r="I30" s="109">
        <v>0.26270427170646021</v>
      </c>
      <c r="J30" s="69">
        <v>0.20173605680207121</v>
      </c>
      <c r="K30" s="109">
        <v>0.25164539395967422</v>
      </c>
      <c r="L30" s="69">
        <v>0.22042810212900521</v>
      </c>
      <c r="M30" s="126">
        <v>0.26900710953745682</v>
      </c>
    </row>
    <row r="31" spans="1:13" ht="15" customHeight="1" x14ac:dyDescent="0.2">
      <c r="A31" s="121" t="s">
        <v>61</v>
      </c>
      <c r="B31" s="42"/>
      <c r="C31" s="106"/>
      <c r="D31" s="42"/>
      <c r="E31" s="106"/>
      <c r="F31" s="42"/>
      <c r="G31" s="106"/>
      <c r="H31" s="42"/>
      <c r="I31" s="106"/>
      <c r="J31" s="42"/>
      <c r="K31" s="106"/>
      <c r="L31" s="42"/>
      <c r="M31" s="122"/>
    </row>
    <row r="32" spans="1:13" ht="15" customHeight="1" x14ac:dyDescent="0.2">
      <c r="A32" s="123" t="s">
        <v>57</v>
      </c>
      <c r="B32" s="64">
        <v>0.34200000000000003</v>
      </c>
      <c r="C32" s="108">
        <v>0.38340000000000002</v>
      </c>
      <c r="D32" s="64">
        <v>0.29354999999999998</v>
      </c>
      <c r="E32" s="108">
        <v>0.34470000000000001</v>
      </c>
      <c r="F32" s="64">
        <v>0.31474999999999997</v>
      </c>
      <c r="G32" s="108">
        <v>0.35249999999999998</v>
      </c>
      <c r="H32" s="64">
        <v>0.31324999999999997</v>
      </c>
      <c r="I32" s="108">
        <v>0.35175000000000001</v>
      </c>
      <c r="J32" s="64">
        <v>0.30945</v>
      </c>
      <c r="K32" s="108">
        <v>0.34820000000000001</v>
      </c>
      <c r="L32" s="64">
        <v>0.32500000000000001</v>
      </c>
      <c r="M32" s="125">
        <v>0.36864999999999998</v>
      </c>
    </row>
    <row r="33" spans="1:14" ht="15" customHeight="1" x14ac:dyDescent="0.2">
      <c r="A33" s="123" t="s">
        <v>58</v>
      </c>
      <c r="B33" s="64">
        <v>0.18665000000000001</v>
      </c>
      <c r="C33" s="108">
        <v>0.2581</v>
      </c>
      <c r="D33" s="64">
        <v>0.12164999999999999</v>
      </c>
      <c r="E33" s="108">
        <v>0.19814999999999999</v>
      </c>
      <c r="F33" s="64">
        <v>0.15454999999999999</v>
      </c>
      <c r="G33" s="108">
        <v>0.22084999999999999</v>
      </c>
      <c r="H33" s="64">
        <v>0.15185000000000001</v>
      </c>
      <c r="I33" s="108">
        <v>0.21925</v>
      </c>
      <c r="J33" s="64">
        <v>0.14480000000000001</v>
      </c>
      <c r="K33" s="108">
        <v>0.2145</v>
      </c>
      <c r="L33" s="64">
        <v>0.17100000000000001</v>
      </c>
      <c r="M33" s="125">
        <v>0.24374999999999999</v>
      </c>
    </row>
    <row r="34" spans="1:14" ht="15" customHeight="1" x14ac:dyDescent="0.2">
      <c r="A34" s="127" t="s">
        <v>59</v>
      </c>
      <c r="B34" s="70">
        <v>0.1081</v>
      </c>
      <c r="C34" s="110">
        <v>0.19139999999999999</v>
      </c>
      <c r="D34" s="70">
        <v>5.6899999999999999E-2</v>
      </c>
      <c r="E34" s="110">
        <v>0.13159999999999999</v>
      </c>
      <c r="F34" s="70">
        <v>8.0250000000000002E-2</v>
      </c>
      <c r="G34" s="110">
        <v>0.14795</v>
      </c>
      <c r="H34" s="70">
        <v>7.8600000000000003E-2</v>
      </c>
      <c r="I34" s="110">
        <v>0.1462</v>
      </c>
      <c r="J34" s="70">
        <v>7.4450000000000002E-2</v>
      </c>
      <c r="K34" s="110">
        <v>0.14165</v>
      </c>
      <c r="L34" s="70">
        <v>9.9900000000000003E-2</v>
      </c>
      <c r="M34" s="128">
        <v>0.1883</v>
      </c>
    </row>
    <row r="35" spans="1:14" ht="15" customHeight="1" x14ac:dyDescent="0.2">
      <c r="A35" s="119" t="s">
        <v>62</v>
      </c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120"/>
    </row>
    <row r="36" spans="1:14" ht="16" customHeight="1" x14ac:dyDescent="0.2">
      <c r="A36" s="88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89"/>
      <c r="N36" s="43"/>
    </row>
    <row r="37" spans="1:14" ht="20" customHeight="1" x14ac:dyDescent="0.2">
      <c r="A37" s="88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89"/>
      <c r="N37" s="43"/>
    </row>
    <row r="38" spans="1:14" x14ac:dyDescent="0.2">
      <c r="A38" s="88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89"/>
      <c r="N38" s="43"/>
    </row>
    <row r="39" spans="1:14" x14ac:dyDescent="0.2">
      <c r="A39" s="88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89"/>
      <c r="N39" s="43"/>
    </row>
    <row r="40" spans="1:14" x14ac:dyDescent="0.2">
      <c r="A40" s="88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89"/>
      <c r="N40" s="43"/>
    </row>
    <row r="41" spans="1:14" x14ac:dyDescent="0.2">
      <c r="A41" s="88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89"/>
      <c r="N41" s="43"/>
    </row>
    <row r="42" spans="1:14" x14ac:dyDescent="0.2">
      <c r="A42" s="88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89"/>
      <c r="N42" s="43"/>
    </row>
    <row r="43" spans="1:14" x14ac:dyDescent="0.2">
      <c r="A43" s="88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89"/>
      <c r="N43" s="43"/>
    </row>
    <row r="44" spans="1:14" x14ac:dyDescent="0.2">
      <c r="A44" s="129"/>
      <c r="B44" s="130"/>
      <c r="C44" s="130"/>
      <c r="D44" s="130"/>
      <c r="E44" s="130"/>
      <c r="F44" s="130"/>
      <c r="G44" s="130"/>
      <c r="H44" s="130"/>
      <c r="I44" s="130"/>
      <c r="J44" s="130"/>
      <c r="K44" s="130"/>
      <c r="L44" s="130"/>
      <c r="M44" s="131"/>
      <c r="N44" s="43"/>
    </row>
    <row r="45" spans="1:14" x14ac:dyDescent="0.2">
      <c r="A45" s="44"/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</row>
    <row r="46" spans="1:14" x14ac:dyDescent="0.2">
      <c r="A46" s="44"/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</row>
    <row r="54" spans="17:23" x14ac:dyDescent="0.2">
      <c r="R54" s="47">
        <v>0</v>
      </c>
      <c r="S54" s="47">
        <v>0</v>
      </c>
      <c r="T54" s="47">
        <v>0</v>
      </c>
      <c r="U54" s="47">
        <v>0</v>
      </c>
      <c r="V54" s="47">
        <v>0</v>
      </c>
      <c r="W54" s="47">
        <v>0</v>
      </c>
    </row>
    <row r="55" spans="17:23" x14ac:dyDescent="0.2">
      <c r="Q55" t="s">
        <v>116</v>
      </c>
      <c r="R55" s="63">
        <v>2.25026479283548E-2</v>
      </c>
      <c r="S55" s="63">
        <v>2.2410336733154901E-2</v>
      </c>
      <c r="T55" s="63">
        <v>2.20978424168265E-2</v>
      </c>
      <c r="U55" s="63">
        <v>1.64487900759838E-2</v>
      </c>
      <c r="V55" s="63">
        <v>2.12388651715734E-2</v>
      </c>
      <c r="W55" s="63">
        <v>2.1250038187947299E-2</v>
      </c>
    </row>
    <row r="56" spans="17:23" x14ac:dyDescent="0.2">
      <c r="Q56" t="s">
        <v>117</v>
      </c>
      <c r="R56" s="63">
        <v>3.0363085785869198E-3</v>
      </c>
      <c r="S56" s="63">
        <v>7.0147646638842598E-3</v>
      </c>
      <c r="T56" s="63">
        <v>7.0690424354016602E-3</v>
      </c>
      <c r="U56" s="63">
        <v>6.1144890175538497E-3</v>
      </c>
      <c r="V56" s="63">
        <v>7.2206749762327698E-3</v>
      </c>
      <c r="W56" s="63">
        <v>1.30098666908067E-2</v>
      </c>
    </row>
    <row r="57" spans="17:23" x14ac:dyDescent="0.2">
      <c r="Q57" t="s">
        <v>118</v>
      </c>
      <c r="R57" s="63">
        <v>1.3912181182817101E-4</v>
      </c>
      <c r="S57" s="63">
        <v>3.6462354284219202E-3</v>
      </c>
      <c r="T57" s="63">
        <v>3.6118743437529299E-3</v>
      </c>
      <c r="U57" s="63">
        <v>2.2683787896170698E-3</v>
      </c>
      <c r="V57" s="63">
        <v>3.5195765562646901E-3</v>
      </c>
      <c r="W57" s="63">
        <v>3.3377297465648401E-3</v>
      </c>
    </row>
    <row r="58" spans="17:23" x14ac:dyDescent="0.2">
      <c r="Q58" t="s">
        <v>119</v>
      </c>
      <c r="R58" s="63">
        <v>4.2682384258748199E-4</v>
      </c>
      <c r="S58" s="63">
        <v>4.5144649557646898E-3</v>
      </c>
      <c r="T58" s="63">
        <v>4.4822385420152698E-3</v>
      </c>
      <c r="U58" s="63">
        <v>2.7015725180697201E-3</v>
      </c>
      <c r="V58" s="63">
        <v>4.3965558302868496E-3</v>
      </c>
      <c r="W58" s="63">
        <v>5.8323170074962996E-3</v>
      </c>
    </row>
    <row r="59" spans="17:23" x14ac:dyDescent="0.2">
      <c r="Q59" t="s">
        <v>120</v>
      </c>
      <c r="R59" s="63">
        <v>5.2315820747962503E-5</v>
      </c>
      <c r="S59" s="63">
        <v>-3.58084535524825E-4</v>
      </c>
      <c r="T59" s="63">
        <v>-3.58084535524825E-4</v>
      </c>
      <c r="U59" s="63">
        <v>-3.0160625404552501E-4</v>
      </c>
      <c r="V59" s="63">
        <v>-3.7542344819657398E-4</v>
      </c>
      <c r="W59" s="63">
        <v>-6.8615323107948996E-4</v>
      </c>
    </row>
    <row r="60" spans="17:23" x14ac:dyDescent="0.2">
      <c r="Q60" t="s">
        <v>121</v>
      </c>
      <c r="R60" s="63">
        <v>2.8330476296220498E-3</v>
      </c>
      <c r="S60" s="63">
        <v>2.0349827437956E-3</v>
      </c>
      <c r="T60" s="63">
        <v>2.0123617956378801E-3</v>
      </c>
      <c r="U60" s="63">
        <v>1.50661260035273E-3</v>
      </c>
      <c r="V60" s="63">
        <v>1.95011143619125E-3</v>
      </c>
      <c r="W60" s="63">
        <v>1.9448384654222599E-3</v>
      </c>
    </row>
    <row r="61" spans="17:23" x14ac:dyDescent="0.2">
      <c r="R61" s="47"/>
      <c r="S61" s="47"/>
      <c r="T61" s="47"/>
      <c r="U61" s="47"/>
      <c r="V61" s="47"/>
      <c r="W61" s="47"/>
    </row>
  </sheetData>
  <mergeCells count="120">
    <mergeCell ref="L34:M34"/>
    <mergeCell ref="B34:C34"/>
    <mergeCell ref="D34:E34"/>
    <mergeCell ref="F34:G34"/>
    <mergeCell ref="H34:I34"/>
    <mergeCell ref="J34:K34"/>
    <mergeCell ref="L32:M32"/>
    <mergeCell ref="B33:C33"/>
    <mergeCell ref="D33:E33"/>
    <mergeCell ref="F33:G33"/>
    <mergeCell ref="H33:I33"/>
    <mergeCell ref="J33:K33"/>
    <mergeCell ref="L33:M33"/>
    <mergeCell ref="B32:C32"/>
    <mergeCell ref="D32:E32"/>
    <mergeCell ref="F32:G32"/>
    <mergeCell ref="H32:I32"/>
    <mergeCell ref="J32:K32"/>
    <mergeCell ref="B28:C28"/>
    <mergeCell ref="D28:E28"/>
    <mergeCell ref="F28:G28"/>
    <mergeCell ref="H28:I28"/>
    <mergeCell ref="J28:K28"/>
    <mergeCell ref="L28:M28"/>
    <mergeCell ref="L29:M29"/>
    <mergeCell ref="B30:C30"/>
    <mergeCell ref="D30:E30"/>
    <mergeCell ref="F30:G30"/>
    <mergeCell ref="H30:I30"/>
    <mergeCell ref="J30:K30"/>
    <mergeCell ref="L30:M30"/>
    <mergeCell ref="B29:C29"/>
    <mergeCell ref="D29:E29"/>
    <mergeCell ref="F29:G29"/>
    <mergeCell ref="H29:I29"/>
    <mergeCell ref="J29:K29"/>
    <mergeCell ref="L11:M11"/>
    <mergeCell ref="B24:C24"/>
    <mergeCell ref="B25:C25"/>
    <mergeCell ref="B26:C26"/>
    <mergeCell ref="D24:E24"/>
    <mergeCell ref="D25:E25"/>
    <mergeCell ref="D26:E26"/>
    <mergeCell ref="F24:G24"/>
    <mergeCell ref="F25:G25"/>
    <mergeCell ref="F26:G26"/>
    <mergeCell ref="H24:I24"/>
    <mergeCell ref="H25:I25"/>
    <mergeCell ref="H26:I26"/>
    <mergeCell ref="J24:K24"/>
    <mergeCell ref="J25:K25"/>
    <mergeCell ref="J26:K26"/>
    <mergeCell ref="B11:C11"/>
    <mergeCell ref="F11:G11"/>
    <mergeCell ref="H11:I11"/>
    <mergeCell ref="D11:E11"/>
    <mergeCell ref="J11:K11"/>
    <mergeCell ref="L24:M24"/>
    <mergeCell ref="L25:M25"/>
    <mergeCell ref="L26:M26"/>
    <mergeCell ref="L9:M9"/>
    <mergeCell ref="B10:C10"/>
    <mergeCell ref="F10:G10"/>
    <mergeCell ref="H10:I10"/>
    <mergeCell ref="D10:E10"/>
    <mergeCell ref="J10:K10"/>
    <mergeCell ref="L10:M10"/>
    <mergeCell ref="B9:C9"/>
    <mergeCell ref="F9:G9"/>
    <mergeCell ref="H9:I9"/>
    <mergeCell ref="D9:E9"/>
    <mergeCell ref="J9:K9"/>
    <mergeCell ref="L7:M7"/>
    <mergeCell ref="B8:C8"/>
    <mergeCell ref="F8:G8"/>
    <mergeCell ref="H8:I8"/>
    <mergeCell ref="D8:E8"/>
    <mergeCell ref="J8:K8"/>
    <mergeCell ref="L8:M8"/>
    <mergeCell ref="B7:C7"/>
    <mergeCell ref="F7:G7"/>
    <mergeCell ref="H7:I7"/>
    <mergeCell ref="D7:E7"/>
    <mergeCell ref="J7:K7"/>
    <mergeCell ref="L5:M5"/>
    <mergeCell ref="B6:C6"/>
    <mergeCell ref="F6:G6"/>
    <mergeCell ref="H6:I6"/>
    <mergeCell ref="D6:E6"/>
    <mergeCell ref="J6:K6"/>
    <mergeCell ref="L6:M6"/>
    <mergeCell ref="B5:C5"/>
    <mergeCell ref="F5:G5"/>
    <mergeCell ref="H5:I5"/>
    <mergeCell ref="D5:E5"/>
    <mergeCell ref="J5:K5"/>
    <mergeCell ref="L3:M3"/>
    <mergeCell ref="B4:C4"/>
    <mergeCell ref="F4:G4"/>
    <mergeCell ref="H4:I4"/>
    <mergeCell ref="D4:E4"/>
    <mergeCell ref="J4:K4"/>
    <mergeCell ref="L4:M4"/>
    <mergeCell ref="B3:C3"/>
    <mergeCell ref="F3:G3"/>
    <mergeCell ref="H3:I3"/>
    <mergeCell ref="D3:E3"/>
    <mergeCell ref="J3:K3"/>
    <mergeCell ref="L1:M1"/>
    <mergeCell ref="B2:C2"/>
    <mergeCell ref="F2:G2"/>
    <mergeCell ref="H2:I2"/>
    <mergeCell ref="D2:E2"/>
    <mergeCell ref="J2:K2"/>
    <mergeCell ref="L2:M2"/>
    <mergeCell ref="B1:C1"/>
    <mergeCell ref="F1:G1"/>
    <mergeCell ref="H1:I1"/>
    <mergeCell ref="D1:E1"/>
    <mergeCell ref="J1:K1"/>
  </mergeCells>
  <conditionalFormatting sqref="B14:M22">
    <cfRule type="cellIs" dxfId="2" priority="2" operator="lessThan">
      <formula>0</formula>
    </cfRule>
    <cfRule type="cellIs" dxfId="1" priority="3" operator="greaterThan">
      <formula>0</formula>
    </cfRule>
  </conditionalFormatting>
  <conditionalFormatting sqref="B2:M8">
    <cfRule type="cellIs" dxfId="0" priority="1" operator="equal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C56F1-177F-354B-A2F5-67DFA8167642}">
  <dimension ref="A1:L25"/>
  <sheetViews>
    <sheetView tabSelected="1" zoomScale="180" zoomScaleNormal="180" workbookViewId="0">
      <selection activeCell="B26" sqref="B26"/>
    </sheetView>
  </sheetViews>
  <sheetFormatPr baseColWidth="10" defaultRowHeight="15" x14ac:dyDescent="0.2"/>
  <cols>
    <col min="2" max="2" width="1.1640625" customWidth="1"/>
    <col min="3" max="3" width="2" customWidth="1"/>
    <col min="4" max="4" width="0.6640625" customWidth="1"/>
    <col min="5" max="5" width="10.1640625" customWidth="1"/>
    <col min="6" max="6" width="17.83203125" customWidth="1"/>
  </cols>
  <sheetData>
    <row r="1" spans="1:12" x14ac:dyDescent="0.2">
      <c r="A1" s="44"/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</row>
    <row r="2" spans="1:12" x14ac:dyDescent="0.2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</row>
    <row r="3" spans="1:12" ht="10" customHeight="1" x14ac:dyDescent="0.2">
      <c r="A3" s="44"/>
      <c r="B3" s="44"/>
      <c r="C3" s="137"/>
      <c r="D3" s="132"/>
      <c r="E3" s="132"/>
      <c r="F3" s="133" t="s">
        <v>135</v>
      </c>
      <c r="G3" s="44"/>
      <c r="H3" s="44"/>
      <c r="I3" s="44"/>
      <c r="J3" s="44"/>
      <c r="K3" s="44"/>
      <c r="L3" s="44"/>
    </row>
    <row r="4" spans="1:12" ht="1" customHeight="1" x14ac:dyDescent="0.2">
      <c r="A4" s="44"/>
      <c r="B4" s="44"/>
      <c r="C4" s="138"/>
      <c r="D4" s="134"/>
      <c r="E4" s="134"/>
      <c r="F4" s="135"/>
      <c r="G4" s="44"/>
      <c r="H4" s="44"/>
      <c r="I4" s="44"/>
      <c r="J4" s="44"/>
      <c r="K4" s="44"/>
      <c r="L4" s="44"/>
    </row>
    <row r="5" spans="1:12" ht="9" customHeight="1" x14ac:dyDescent="0.2">
      <c r="A5" s="44"/>
      <c r="B5" s="44"/>
      <c r="C5" s="139"/>
      <c r="D5" s="140"/>
      <c r="E5" s="141" t="s">
        <v>116</v>
      </c>
      <c r="F5" s="136" t="s">
        <v>136</v>
      </c>
      <c r="G5" s="44"/>
      <c r="H5" s="44"/>
      <c r="I5" s="44"/>
      <c r="J5" s="44"/>
      <c r="K5" s="44"/>
      <c r="L5" s="44"/>
    </row>
    <row r="6" spans="1:12" ht="3" customHeight="1" x14ac:dyDescent="0.2">
      <c r="A6" s="44"/>
      <c r="B6" s="44"/>
      <c r="C6" s="142"/>
      <c r="D6" s="140"/>
      <c r="E6" s="143"/>
      <c r="F6" s="136"/>
      <c r="G6" s="44"/>
      <c r="H6" s="44"/>
      <c r="I6" s="44"/>
      <c r="J6" s="44"/>
      <c r="K6" s="44"/>
      <c r="L6" s="44"/>
    </row>
    <row r="7" spans="1:12" ht="9" customHeight="1" x14ac:dyDescent="0.2">
      <c r="A7" s="44"/>
      <c r="B7" s="44"/>
      <c r="C7" s="144"/>
      <c r="D7" s="140"/>
      <c r="E7" s="141" t="s">
        <v>117</v>
      </c>
      <c r="F7" s="136" t="s">
        <v>125</v>
      </c>
      <c r="G7" s="44"/>
      <c r="H7" s="44"/>
      <c r="I7" s="44"/>
      <c r="J7" s="44"/>
      <c r="K7" s="44"/>
      <c r="L7" s="44"/>
    </row>
    <row r="8" spans="1:12" ht="3" customHeight="1" x14ac:dyDescent="0.2">
      <c r="A8" s="44"/>
      <c r="B8" s="44"/>
      <c r="C8" s="142"/>
      <c r="D8" s="140"/>
      <c r="E8" s="143"/>
      <c r="F8" s="136"/>
      <c r="G8" s="44"/>
      <c r="H8" s="44"/>
      <c r="I8" s="44"/>
      <c r="J8" s="44"/>
      <c r="K8" s="44"/>
      <c r="L8" s="44"/>
    </row>
    <row r="9" spans="1:12" ht="9" customHeight="1" x14ac:dyDescent="0.2">
      <c r="A9" s="44"/>
      <c r="B9" s="44"/>
      <c r="C9" s="145"/>
      <c r="D9" s="140"/>
      <c r="E9" s="141" t="s">
        <v>118</v>
      </c>
      <c r="F9" s="136" t="s">
        <v>133</v>
      </c>
      <c r="G9" s="44"/>
      <c r="H9" s="44"/>
      <c r="I9" s="44"/>
      <c r="J9" s="44"/>
      <c r="K9" s="44"/>
      <c r="L9" s="44"/>
    </row>
    <row r="10" spans="1:12" ht="3" customHeight="1" x14ac:dyDescent="0.2">
      <c r="A10" s="44"/>
      <c r="B10" s="44"/>
      <c r="C10" s="142"/>
      <c r="D10" s="140"/>
      <c r="E10" s="143"/>
      <c r="F10" s="136"/>
      <c r="G10" s="44"/>
      <c r="H10" s="44"/>
      <c r="I10" s="44"/>
      <c r="J10" s="44"/>
      <c r="K10" s="44"/>
      <c r="L10" s="44"/>
    </row>
    <row r="11" spans="1:12" ht="9" customHeight="1" x14ac:dyDescent="0.2">
      <c r="A11" s="44"/>
      <c r="B11" s="44"/>
      <c r="C11" s="146"/>
      <c r="D11" s="140"/>
      <c r="E11" s="141" t="s">
        <v>119</v>
      </c>
      <c r="F11" s="136" t="s">
        <v>134</v>
      </c>
      <c r="G11" s="44"/>
      <c r="H11" s="44"/>
      <c r="I11" s="44"/>
      <c r="J11" s="44"/>
      <c r="K11" s="44"/>
      <c r="L11" s="44"/>
    </row>
    <row r="12" spans="1:12" ht="3" customHeight="1" x14ac:dyDescent="0.2">
      <c r="A12" s="44"/>
      <c r="B12" s="44"/>
      <c r="C12" s="142"/>
      <c r="D12" s="140"/>
      <c r="E12" s="143"/>
      <c r="F12" s="136"/>
      <c r="G12" s="44"/>
      <c r="H12" s="44"/>
      <c r="I12" s="44"/>
      <c r="J12" s="44"/>
      <c r="K12" s="44"/>
      <c r="L12" s="44"/>
    </row>
    <row r="13" spans="1:12" ht="9" customHeight="1" x14ac:dyDescent="0.2">
      <c r="A13" s="44"/>
      <c r="B13" s="44"/>
      <c r="C13" s="147"/>
      <c r="D13" s="140"/>
      <c r="E13" s="141" t="s">
        <v>120</v>
      </c>
      <c r="F13" s="136" t="s">
        <v>126</v>
      </c>
      <c r="G13" s="44"/>
      <c r="H13" s="44"/>
      <c r="I13" s="44"/>
      <c r="J13" s="44"/>
      <c r="K13" s="44"/>
      <c r="L13" s="44"/>
    </row>
    <row r="14" spans="1:12" ht="3" customHeight="1" x14ac:dyDescent="0.2">
      <c r="A14" s="44"/>
      <c r="B14" s="44"/>
      <c r="C14" s="142"/>
      <c r="D14" s="140"/>
      <c r="E14" s="143"/>
      <c r="F14" s="136"/>
      <c r="G14" s="44"/>
      <c r="H14" s="44"/>
      <c r="I14" s="44"/>
      <c r="J14" s="44"/>
      <c r="K14" s="44"/>
      <c r="L14" s="44"/>
    </row>
    <row r="15" spans="1:12" ht="9" customHeight="1" x14ac:dyDescent="0.2">
      <c r="A15" s="44"/>
      <c r="B15" s="44"/>
      <c r="C15" s="148"/>
      <c r="D15" s="140"/>
      <c r="E15" s="141" t="s">
        <v>121</v>
      </c>
      <c r="F15" s="136" t="s">
        <v>123</v>
      </c>
      <c r="G15" s="44"/>
      <c r="H15" s="44"/>
      <c r="I15" s="44"/>
      <c r="J15" s="44"/>
      <c r="K15" s="44"/>
      <c r="L15" s="44"/>
    </row>
    <row r="16" spans="1:12" ht="2" customHeight="1" x14ac:dyDescent="0.2">
      <c r="A16" s="44"/>
      <c r="B16" s="44"/>
      <c r="C16" s="88"/>
      <c r="D16" s="62"/>
      <c r="E16" s="62"/>
      <c r="F16" s="62"/>
      <c r="G16" s="44"/>
      <c r="H16" s="44"/>
      <c r="I16" s="44"/>
      <c r="J16" s="44"/>
      <c r="K16" s="44"/>
      <c r="L16" s="44"/>
    </row>
    <row r="17" spans="1:12" x14ac:dyDescent="0.2">
      <c r="A17" s="44"/>
      <c r="B17" s="44"/>
      <c r="C17" s="62"/>
      <c r="D17" s="62"/>
      <c r="E17" s="62"/>
      <c r="F17" s="62"/>
      <c r="G17" s="44"/>
      <c r="H17" s="44"/>
      <c r="I17" s="44"/>
      <c r="J17" s="44"/>
      <c r="K17" s="44"/>
      <c r="L17" s="44"/>
    </row>
    <row r="18" spans="1:12" x14ac:dyDescent="0.2">
      <c r="A18" s="44"/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</row>
    <row r="19" spans="1:12" x14ac:dyDescent="0.2">
      <c r="A19" s="44"/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</row>
    <row r="20" spans="1:12" x14ac:dyDescent="0.2">
      <c r="A20" s="44"/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</row>
    <row r="21" spans="1:12" x14ac:dyDescent="0.2">
      <c r="A21" s="44"/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x14ac:dyDescent="0.2">
      <c r="A22" s="44"/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</row>
    <row r="23" spans="1:12" x14ac:dyDescent="0.2">
      <c r="A23" s="44"/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</row>
    <row r="24" spans="1:12" x14ac:dyDescent="0.2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</row>
    <row r="25" spans="1:12" x14ac:dyDescent="0.2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</row>
  </sheetData>
  <mergeCells count="1">
    <mergeCell ref="C3:E3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8BC2C-6E85-2E49-92C6-F371F1D5796C}">
  <dimension ref="A1:E12"/>
  <sheetViews>
    <sheetView workbookViewId="0">
      <selection activeCell="B4" sqref="B4:D9"/>
    </sheetView>
  </sheetViews>
  <sheetFormatPr baseColWidth="10" defaultRowHeight="15" x14ac:dyDescent="0.2"/>
  <cols>
    <col min="2" max="2" width="9.6640625" style="49" customWidth="1"/>
    <col min="3" max="3" width="1.1640625" customWidth="1"/>
    <col min="4" max="4" width="38.5" bestFit="1" customWidth="1"/>
  </cols>
  <sheetData>
    <row r="1" spans="1:5" x14ac:dyDescent="0.2">
      <c r="A1" s="44"/>
      <c r="B1" s="48"/>
      <c r="C1" s="44"/>
      <c r="D1" s="44"/>
      <c r="E1" s="44"/>
    </row>
    <row r="2" spans="1:5" x14ac:dyDescent="0.2">
      <c r="A2" s="44"/>
      <c r="B2" s="48"/>
      <c r="C2" s="44"/>
      <c r="D2" s="44"/>
      <c r="E2" s="44"/>
    </row>
    <row r="3" spans="1:5" x14ac:dyDescent="0.2">
      <c r="A3" s="44"/>
      <c r="B3" s="48"/>
      <c r="C3" s="44"/>
      <c r="D3" s="44"/>
      <c r="E3" s="44"/>
    </row>
    <row r="4" spans="1:5" s="51" customFormat="1" ht="17" customHeight="1" x14ac:dyDescent="0.2">
      <c r="A4" s="50"/>
      <c r="B4" s="52" t="s">
        <v>116</v>
      </c>
      <c r="C4" s="53"/>
      <c r="D4" s="54" t="s">
        <v>124</v>
      </c>
      <c r="E4" s="50"/>
    </row>
    <row r="5" spans="1:5" s="51" customFormat="1" ht="17" customHeight="1" x14ac:dyDescent="0.2">
      <c r="A5" s="50"/>
      <c r="B5" s="55" t="s">
        <v>117</v>
      </c>
      <c r="C5" s="53"/>
      <c r="D5" s="54" t="s">
        <v>125</v>
      </c>
      <c r="E5" s="50"/>
    </row>
    <row r="6" spans="1:5" s="51" customFormat="1" ht="17" customHeight="1" x14ac:dyDescent="0.2">
      <c r="A6" s="50"/>
      <c r="B6" s="56" t="s">
        <v>118</v>
      </c>
      <c r="C6" s="53"/>
      <c r="D6" s="54" t="s">
        <v>127</v>
      </c>
      <c r="E6" s="50"/>
    </row>
    <row r="7" spans="1:5" s="51" customFormat="1" ht="17" customHeight="1" x14ac:dyDescent="0.2">
      <c r="A7" s="50"/>
      <c r="B7" s="57" t="s">
        <v>119</v>
      </c>
      <c r="C7" s="53"/>
      <c r="D7" s="54" t="s">
        <v>128</v>
      </c>
      <c r="E7" s="50"/>
    </row>
    <row r="8" spans="1:5" s="51" customFormat="1" ht="17" customHeight="1" x14ac:dyDescent="0.2">
      <c r="A8" s="50"/>
      <c r="B8" s="58" t="s">
        <v>120</v>
      </c>
      <c r="C8" s="53"/>
      <c r="D8" s="54" t="s">
        <v>126</v>
      </c>
      <c r="E8" s="50"/>
    </row>
    <row r="9" spans="1:5" s="51" customFormat="1" ht="17" customHeight="1" x14ac:dyDescent="0.2">
      <c r="A9" s="50"/>
      <c r="B9" s="59" t="s">
        <v>122</v>
      </c>
      <c r="C9" s="60"/>
      <c r="D9" s="61" t="s">
        <v>123</v>
      </c>
      <c r="E9" s="50"/>
    </row>
    <row r="10" spans="1:5" x14ac:dyDescent="0.2">
      <c r="A10" s="44"/>
      <c r="B10" s="48"/>
      <c r="C10" s="44"/>
      <c r="D10" s="44"/>
      <c r="E10" s="44"/>
    </row>
    <row r="11" spans="1:5" x14ac:dyDescent="0.2">
      <c r="A11" s="44"/>
      <c r="B11" s="48"/>
      <c r="C11" s="44"/>
      <c r="D11" s="44"/>
      <c r="E11" s="44"/>
    </row>
    <row r="12" spans="1:5" x14ac:dyDescent="0.2">
      <c r="A12" s="44"/>
      <c r="B12" s="48"/>
      <c r="C12" s="44"/>
      <c r="D12" s="44"/>
      <c r="E12" s="4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7"/>
  <sheetViews>
    <sheetView workbookViewId="0"/>
  </sheetViews>
  <sheetFormatPr baseColWidth="10" defaultColWidth="8.83203125" defaultRowHeight="15" x14ac:dyDescent="0.2"/>
  <cols>
    <col min="1" max="1" width="40" customWidth="1"/>
    <col min="2" max="4" width="7" customWidth="1"/>
    <col min="5" max="5" width="12" customWidth="1"/>
    <col min="6" max="6" width="14.5" customWidth="1"/>
    <col min="7" max="7" width="26" customWidth="1"/>
    <col min="8" max="8" width="16.5" customWidth="1"/>
    <col min="9" max="10" width="11" customWidth="1"/>
  </cols>
  <sheetData>
    <row r="1" spans="1:10" ht="20" customHeight="1" x14ac:dyDescent="0.2">
      <c r="A1" s="9"/>
      <c r="B1" s="71" t="s">
        <v>63</v>
      </c>
      <c r="C1" s="72"/>
      <c r="D1" s="72"/>
      <c r="E1" s="72"/>
      <c r="F1" s="72"/>
      <c r="G1" s="72"/>
      <c r="H1" s="11"/>
      <c r="I1" s="71" t="s">
        <v>64</v>
      </c>
      <c r="J1" s="72"/>
    </row>
    <row r="2" spans="1:10" ht="49" customHeight="1" x14ac:dyDescent="0.2">
      <c r="A2" s="12"/>
      <c r="B2" s="73" t="s">
        <v>65</v>
      </c>
      <c r="C2" s="72"/>
      <c r="D2" s="72"/>
      <c r="E2" s="10" t="s">
        <v>42</v>
      </c>
      <c r="F2" s="10" t="s">
        <v>41</v>
      </c>
      <c r="G2" s="13" t="s">
        <v>66</v>
      </c>
      <c r="H2" s="10" t="s">
        <v>67</v>
      </c>
      <c r="I2" s="10" t="s">
        <v>68</v>
      </c>
      <c r="J2" s="10" t="s">
        <v>69</v>
      </c>
    </row>
    <row r="3" spans="1:10" ht="17" customHeight="1" x14ac:dyDescent="0.2">
      <c r="A3" s="14" t="s">
        <v>4</v>
      </c>
      <c r="B3" s="15"/>
      <c r="C3" s="15"/>
      <c r="D3" s="15"/>
      <c r="E3" s="15"/>
      <c r="F3" s="16"/>
      <c r="G3" s="15"/>
      <c r="H3" s="15"/>
      <c r="I3" s="15"/>
      <c r="J3" s="15"/>
    </row>
    <row r="4" spans="1:10" ht="17" customHeight="1" x14ac:dyDescent="0.2">
      <c r="A4" s="17" t="s">
        <v>70</v>
      </c>
      <c r="B4" s="18">
        <v>5.7327167405640438E-3</v>
      </c>
      <c r="C4" s="19">
        <v>1.0867351760870111E-2</v>
      </c>
      <c r="D4" s="20">
        <v>1.6001986781176172E-2</v>
      </c>
      <c r="E4" s="19">
        <v>3.2110810353131243E-2</v>
      </c>
      <c r="F4" s="21">
        <v>0.33843280942956311</v>
      </c>
      <c r="G4" s="19">
        <v>3.5867351760870109E-2</v>
      </c>
      <c r="H4" s="22">
        <v>0</v>
      </c>
      <c r="I4" s="23">
        <v>26723</v>
      </c>
      <c r="J4" s="23">
        <v>45777</v>
      </c>
    </row>
    <row r="5" spans="1:10" ht="17" customHeight="1" x14ac:dyDescent="0.2">
      <c r="A5" s="17" t="s">
        <v>71</v>
      </c>
      <c r="B5" s="18">
        <v>4.38304516484619E-4</v>
      </c>
      <c r="C5" s="19">
        <v>3.0901253037299362E-3</v>
      </c>
      <c r="D5" s="20">
        <v>5.7419460909752529E-3</v>
      </c>
      <c r="E5" s="19">
        <v>1.473073916155143E-2</v>
      </c>
      <c r="F5" s="21">
        <v>0.20977394751482961</v>
      </c>
      <c r="G5" s="19">
        <v>2.8090125303729941E-2</v>
      </c>
      <c r="H5" s="22">
        <v>0</v>
      </c>
      <c r="I5" s="23">
        <v>33662</v>
      </c>
      <c r="J5" s="23">
        <v>45777</v>
      </c>
    </row>
    <row r="6" spans="1:10" ht="17" customHeight="1" x14ac:dyDescent="0.2">
      <c r="A6" s="17" t="s">
        <v>72</v>
      </c>
      <c r="B6" s="18">
        <v>1.001597189850747E-2</v>
      </c>
      <c r="C6" s="19">
        <v>1.9683612310258999E-2</v>
      </c>
      <c r="D6" s="20">
        <v>2.9351252722010529E-2</v>
      </c>
      <c r="E6" s="19">
        <v>4.6212231292721492E-2</v>
      </c>
      <c r="F6" s="21">
        <v>0.42593944848880738</v>
      </c>
      <c r="G6" s="19">
        <v>4.4683612310258997E-2</v>
      </c>
      <c r="H6" s="22">
        <v>0</v>
      </c>
      <c r="I6" s="23">
        <v>36585</v>
      </c>
      <c r="J6" s="23">
        <v>45777</v>
      </c>
    </row>
    <row r="7" spans="1:10" ht="17" customHeight="1" x14ac:dyDescent="0.2">
      <c r="A7" s="17" t="s">
        <v>73</v>
      </c>
      <c r="B7" s="18">
        <v>6.4340696993406988E-3</v>
      </c>
      <c r="C7" s="19">
        <v>1.994219801661444E-2</v>
      </c>
      <c r="D7" s="20">
        <v>3.3450326333888183E-2</v>
      </c>
      <c r="E7" s="19">
        <v>4.2238342638410517E-2</v>
      </c>
      <c r="F7" s="21">
        <v>0.47213495537297651</v>
      </c>
      <c r="G7" s="19">
        <v>4.4942198016614428E-2</v>
      </c>
      <c r="H7" s="22">
        <v>0</v>
      </c>
      <c r="I7" s="23">
        <v>26723</v>
      </c>
      <c r="J7" s="23">
        <v>45777</v>
      </c>
    </row>
    <row r="8" spans="1:10" ht="17" customHeight="1" x14ac:dyDescent="0.2">
      <c r="A8" s="24" t="s">
        <v>9</v>
      </c>
      <c r="B8" s="25"/>
      <c r="C8" s="26"/>
      <c r="D8" s="27"/>
      <c r="E8" s="26"/>
      <c r="F8" s="28"/>
      <c r="G8" s="26"/>
      <c r="H8" s="29"/>
      <c r="I8" s="30"/>
      <c r="J8" s="30"/>
    </row>
    <row r="9" spans="1:10" ht="17" customHeight="1" x14ac:dyDescent="0.2">
      <c r="A9" s="17" t="s">
        <v>74</v>
      </c>
      <c r="B9" s="18">
        <v>1.3275144405031551E-2</v>
      </c>
      <c r="C9" s="19">
        <v>3.2957299522559672E-2</v>
      </c>
      <c r="D9" s="20">
        <v>5.2639454640087797E-2</v>
      </c>
      <c r="E9" s="19">
        <v>8.2058406335332817E-2</v>
      </c>
      <c r="F9" s="21">
        <v>0.40163221532574261</v>
      </c>
      <c r="G9" s="19">
        <v>5.7957299522559673E-2</v>
      </c>
      <c r="H9" s="22">
        <v>0</v>
      </c>
      <c r="I9" s="23">
        <v>30559</v>
      </c>
      <c r="J9" s="23">
        <v>45777</v>
      </c>
    </row>
    <row r="10" spans="1:10" ht="17" customHeight="1" x14ac:dyDescent="0.2">
      <c r="A10" s="17" t="s">
        <v>75</v>
      </c>
      <c r="B10" s="18">
        <v>1.308276029743952E-2</v>
      </c>
      <c r="C10" s="19">
        <v>4.7110684345468737E-2</v>
      </c>
      <c r="D10" s="20">
        <v>8.1138608393497957E-2</v>
      </c>
      <c r="E10" s="19">
        <v>0.1220196208482812</v>
      </c>
      <c r="F10" s="21">
        <v>0.38609105665101212</v>
      </c>
      <c r="G10" s="19">
        <v>7.2110684345468745E-2</v>
      </c>
      <c r="H10" s="22">
        <v>0</v>
      </c>
      <c r="I10" s="23">
        <v>34365</v>
      </c>
      <c r="J10" s="23">
        <v>45107</v>
      </c>
    </row>
    <row r="11" spans="1:10" ht="17" customHeight="1" x14ac:dyDescent="0.2">
      <c r="A11" s="24" t="s">
        <v>12</v>
      </c>
      <c r="B11" s="25"/>
      <c r="C11" s="26"/>
      <c r="D11" s="27"/>
      <c r="E11" s="26"/>
      <c r="F11" s="28"/>
      <c r="G11" s="26"/>
      <c r="H11" s="29"/>
      <c r="I11" s="30"/>
      <c r="J11" s="30"/>
    </row>
    <row r="12" spans="1:10" ht="17" customHeight="1" x14ac:dyDescent="0.2">
      <c r="A12" s="17" t="s">
        <v>76</v>
      </c>
      <c r="B12" s="18">
        <v>2.1935921675440791E-2</v>
      </c>
      <c r="C12" s="19">
        <v>4.6797853363938748E-2</v>
      </c>
      <c r="D12" s="20">
        <v>7.1659785052436725E-2</v>
      </c>
      <c r="E12" s="19">
        <v>0.14696430180559181</v>
      </c>
      <c r="F12" s="21">
        <v>0.31843007307886351</v>
      </c>
      <c r="G12" s="19">
        <v>7.1797853363938763E-2</v>
      </c>
      <c r="H12" s="22">
        <v>0.7</v>
      </c>
      <c r="I12" s="23">
        <v>32171</v>
      </c>
      <c r="J12" s="23">
        <v>45777</v>
      </c>
    </row>
    <row r="13" spans="1:10" ht="17" customHeight="1" x14ac:dyDescent="0.2">
      <c r="A13" s="17" t="s">
        <v>77</v>
      </c>
      <c r="B13" s="18">
        <v>1.717616023930112E-2</v>
      </c>
      <c r="C13" s="19">
        <v>4.4244823467154477E-2</v>
      </c>
      <c r="D13" s="20">
        <v>7.1313486695007838E-2</v>
      </c>
      <c r="E13" s="19">
        <v>0.16928110917035849</v>
      </c>
      <c r="F13" s="21">
        <v>0.26136893646312342</v>
      </c>
      <c r="G13" s="19">
        <v>6.9244823467154493E-2</v>
      </c>
      <c r="H13" s="22">
        <v>0</v>
      </c>
      <c r="I13" s="23">
        <v>28886</v>
      </c>
      <c r="J13" s="23">
        <v>45777</v>
      </c>
    </row>
    <row r="14" spans="1:10" ht="17" customHeight="1" x14ac:dyDescent="0.2">
      <c r="A14" s="17" t="s">
        <v>78</v>
      </c>
      <c r="B14" s="18">
        <v>3.8328393380117128E-2</v>
      </c>
      <c r="C14" s="19">
        <v>6.1473144644885652E-2</v>
      </c>
      <c r="D14" s="20">
        <v>8.4617895909654156E-2</v>
      </c>
      <c r="E14" s="19">
        <v>0.14474187855499729</v>
      </c>
      <c r="F14" s="21">
        <v>0.42470876610550418</v>
      </c>
      <c r="G14" s="19">
        <v>8.6473144644885647E-2</v>
      </c>
      <c r="H14" s="22">
        <v>0</v>
      </c>
      <c r="I14" s="23">
        <v>28886</v>
      </c>
      <c r="J14" s="23">
        <v>45777</v>
      </c>
    </row>
    <row r="15" spans="1:10" ht="17" customHeight="1" x14ac:dyDescent="0.2">
      <c r="A15" s="17" t="s">
        <v>79</v>
      </c>
      <c r="B15" s="18">
        <v>3.9548088591888853E-2</v>
      </c>
      <c r="C15" s="19">
        <v>7.0287620802001807E-2</v>
      </c>
      <c r="D15" s="20">
        <v>0.1010271530121148</v>
      </c>
      <c r="E15" s="19">
        <v>0.1922378679768498</v>
      </c>
      <c r="F15" s="21">
        <v>0.36562838290771188</v>
      </c>
      <c r="G15" s="19">
        <v>9.5287620802001816E-2</v>
      </c>
      <c r="H15" s="22">
        <v>0</v>
      </c>
      <c r="I15" s="23">
        <v>28886</v>
      </c>
      <c r="J15" s="23">
        <v>45777</v>
      </c>
    </row>
    <row r="16" spans="1:10" ht="17" customHeight="1" x14ac:dyDescent="0.2">
      <c r="A16" s="17" t="s">
        <v>80</v>
      </c>
      <c r="B16" s="18">
        <v>2.1019364331575089E-2</v>
      </c>
      <c r="C16" s="19">
        <v>4.7103364879311882E-2</v>
      </c>
      <c r="D16" s="20">
        <v>7.3187365427048678E-2</v>
      </c>
      <c r="E16" s="19">
        <v>0.16312325832838301</v>
      </c>
      <c r="F16" s="21">
        <v>0.28875934285525512</v>
      </c>
      <c r="G16" s="19">
        <v>7.2103364879311876E-2</v>
      </c>
      <c r="H16" s="22">
        <v>0.7</v>
      </c>
      <c r="I16" s="23">
        <v>25626</v>
      </c>
      <c r="J16" s="23">
        <v>45777</v>
      </c>
    </row>
    <row r="17" spans="1:10" ht="17" customHeight="1" x14ac:dyDescent="0.2">
      <c r="A17" s="17" t="s">
        <v>81</v>
      </c>
      <c r="B17" s="18">
        <v>2.537093070079656E-2</v>
      </c>
      <c r="C17" s="19">
        <v>4.9088970154403527E-2</v>
      </c>
      <c r="D17" s="20">
        <v>7.2807009608010509E-2</v>
      </c>
      <c r="E17" s="19">
        <v>0.14832708923436991</v>
      </c>
      <c r="F17" s="21">
        <v>0.33095080883599509</v>
      </c>
      <c r="G17" s="19">
        <v>7.4088970154403536E-2</v>
      </c>
      <c r="H17" s="22">
        <v>0.7</v>
      </c>
      <c r="I17" s="23">
        <v>25598</v>
      </c>
      <c r="J17" s="23">
        <v>45777</v>
      </c>
    </row>
    <row r="18" spans="1:10" ht="17" customHeight="1" x14ac:dyDescent="0.2">
      <c r="A18" s="17" t="s">
        <v>82</v>
      </c>
      <c r="B18" s="18">
        <v>-1.528425824486708E-3</v>
      </c>
      <c r="C18" s="19">
        <v>2.7945937897505491E-2</v>
      </c>
      <c r="D18" s="20">
        <v>5.7420301619497682E-2</v>
      </c>
      <c r="E18" s="19">
        <v>0.18432579920737729</v>
      </c>
      <c r="F18" s="21">
        <v>0.15161164643081071</v>
      </c>
      <c r="G18" s="19">
        <v>5.2945937897505492E-2</v>
      </c>
      <c r="H18" s="22">
        <v>0.7</v>
      </c>
      <c r="I18" s="23">
        <v>25598</v>
      </c>
      <c r="J18" s="23">
        <v>45777</v>
      </c>
    </row>
    <row r="19" spans="1:10" ht="17" customHeight="1" x14ac:dyDescent="0.2">
      <c r="A19" s="17" t="s">
        <v>83</v>
      </c>
      <c r="B19" s="18">
        <v>2.752917685078874E-2</v>
      </c>
      <c r="C19" s="19">
        <v>5.6461831660523189E-2</v>
      </c>
      <c r="D19" s="20">
        <v>8.5394486470257644E-2</v>
      </c>
      <c r="E19" s="19">
        <v>0.1710272341976542</v>
      </c>
      <c r="F19" s="21">
        <v>0.33013357156481238</v>
      </c>
      <c r="G19" s="19">
        <v>8.146183166052319E-2</v>
      </c>
      <c r="H19" s="22">
        <v>0.7</v>
      </c>
      <c r="I19" s="23">
        <v>25626</v>
      </c>
      <c r="J19" s="23">
        <v>45777</v>
      </c>
    </row>
    <row r="20" spans="1:10" ht="17" customHeight="1" x14ac:dyDescent="0.2">
      <c r="A20" s="17" t="s">
        <v>84</v>
      </c>
      <c r="B20" s="18">
        <v>3.5868022051295918E-2</v>
      </c>
      <c r="C20" s="19">
        <v>7.5245769473422777E-2</v>
      </c>
      <c r="D20" s="20">
        <v>0.1146235168955496</v>
      </c>
      <c r="E20" s="19">
        <v>0.2327704552115373</v>
      </c>
      <c r="F20" s="21">
        <v>0.32326168458553239</v>
      </c>
      <c r="G20" s="19">
        <v>0.1002457694734228</v>
      </c>
      <c r="H20" s="22">
        <v>0</v>
      </c>
      <c r="I20" s="23">
        <v>32171</v>
      </c>
      <c r="J20" s="23">
        <v>45777</v>
      </c>
    </row>
    <row r="21" spans="1:10" ht="17" customHeight="1" x14ac:dyDescent="0.2">
      <c r="A21" s="17" t="s">
        <v>85</v>
      </c>
      <c r="B21" s="18">
        <v>-1.201814278479315E-2</v>
      </c>
      <c r="C21" s="19">
        <v>5.8342310196128878E-2</v>
      </c>
      <c r="D21" s="20">
        <v>0.1287027631770509</v>
      </c>
      <c r="E21" s="19">
        <v>0.13562199119584281</v>
      </c>
      <c r="F21" s="21">
        <v>0.43018325923176132</v>
      </c>
      <c r="G21" s="19">
        <v>8.334231019612888E-2</v>
      </c>
      <c r="H21" s="22">
        <v>0.7</v>
      </c>
      <c r="I21" s="23">
        <v>32720</v>
      </c>
      <c r="J21" s="23">
        <v>44925</v>
      </c>
    </row>
    <row r="22" spans="1:10" ht="17" customHeight="1" x14ac:dyDescent="0.2">
      <c r="A22" s="17" t="s">
        <v>86</v>
      </c>
      <c r="B22" s="18">
        <v>1.688838611526584E-2</v>
      </c>
      <c r="C22" s="19">
        <v>4.5625590064520882E-2</v>
      </c>
      <c r="D22" s="20">
        <v>7.4362794013775907E-2</v>
      </c>
      <c r="E22" s="19">
        <v>0.1405898501681038</v>
      </c>
      <c r="F22" s="21">
        <v>0.32452975808684759</v>
      </c>
      <c r="G22" s="19">
        <v>7.0625590064520877E-2</v>
      </c>
      <c r="H22" s="22">
        <v>0.7</v>
      </c>
      <c r="I22" s="23">
        <v>36189</v>
      </c>
      <c r="J22" s="23">
        <v>45777</v>
      </c>
    </row>
    <row r="23" spans="1:10" ht="17" customHeight="1" x14ac:dyDescent="0.2">
      <c r="A23" s="24" t="s">
        <v>24</v>
      </c>
      <c r="B23" s="25"/>
      <c r="C23" s="26"/>
      <c r="D23" s="27"/>
      <c r="E23" s="26"/>
      <c r="F23" s="28"/>
      <c r="G23" s="26"/>
      <c r="H23" s="29"/>
      <c r="I23" s="30"/>
      <c r="J23" s="30"/>
    </row>
    <row r="24" spans="1:10" ht="17" customHeight="1" x14ac:dyDescent="0.2">
      <c r="A24" s="17" t="s">
        <v>87</v>
      </c>
      <c r="B24" s="18">
        <v>5.3661960981587374E-3</v>
      </c>
      <c r="C24" s="19">
        <v>1.503546855947094E-2</v>
      </c>
      <c r="D24" s="20">
        <v>2.4704741020783131E-2</v>
      </c>
      <c r="E24" s="19">
        <v>5.5490336347120112E-2</v>
      </c>
      <c r="F24" s="21">
        <v>0.27095652232879752</v>
      </c>
      <c r="G24" s="19">
        <v>4.0035468559470939E-2</v>
      </c>
      <c r="H24" s="22">
        <v>1</v>
      </c>
      <c r="I24" s="23">
        <v>32904</v>
      </c>
      <c r="J24" s="23">
        <v>45777</v>
      </c>
    </row>
    <row r="25" spans="1:10" ht="17" customHeight="1" x14ac:dyDescent="0.2">
      <c r="A25" s="17" t="s">
        <v>88</v>
      </c>
      <c r="B25" s="18">
        <v>7.8845227205770769E-3</v>
      </c>
      <c r="C25" s="19">
        <v>1.9381268325582329E-2</v>
      </c>
      <c r="D25" s="20">
        <v>3.0878013930587589E-2</v>
      </c>
      <c r="E25" s="19">
        <v>6.1838706545769923E-2</v>
      </c>
      <c r="F25" s="21">
        <v>0.31341645723519918</v>
      </c>
      <c r="G25" s="19">
        <v>4.4381268325582333E-2</v>
      </c>
      <c r="H25" s="22">
        <v>1</v>
      </c>
      <c r="I25" s="23">
        <v>34365</v>
      </c>
      <c r="J25" s="23">
        <v>45777</v>
      </c>
    </row>
    <row r="26" spans="1:10" ht="17" customHeight="1" x14ac:dyDescent="0.2">
      <c r="A26" s="17" t="s">
        <v>89</v>
      </c>
      <c r="B26" s="18">
        <v>4.3523800542835459E-3</v>
      </c>
      <c r="C26" s="19">
        <v>2.0773446286426561E-2</v>
      </c>
      <c r="D26" s="20">
        <v>3.7194512518569582E-2</v>
      </c>
      <c r="E26" s="19">
        <v>8.8325647168886759E-2</v>
      </c>
      <c r="F26" s="21">
        <v>0.2351915548006778</v>
      </c>
      <c r="G26" s="19">
        <v>4.5773446286426572E-2</v>
      </c>
      <c r="H26" s="22">
        <v>1</v>
      </c>
      <c r="I26" s="23">
        <v>34365</v>
      </c>
      <c r="J26" s="23">
        <v>45777</v>
      </c>
    </row>
    <row r="27" spans="1:10" ht="17" customHeight="1" x14ac:dyDescent="0.2">
      <c r="A27" s="17" t="s">
        <v>90</v>
      </c>
      <c r="B27" s="18">
        <v>1.069289996815625E-2</v>
      </c>
      <c r="C27" s="19">
        <v>2.7968658495309991E-2</v>
      </c>
      <c r="D27" s="20">
        <v>4.524441702246372E-2</v>
      </c>
      <c r="E27" s="19">
        <v>7.3138510600272974E-2</v>
      </c>
      <c r="F27" s="21">
        <v>0.38240672753330041</v>
      </c>
      <c r="G27" s="19">
        <v>5.2968658495309989E-2</v>
      </c>
      <c r="H27" s="22">
        <v>1</v>
      </c>
      <c r="I27" s="23">
        <v>38383</v>
      </c>
      <c r="J27" s="23">
        <v>45777</v>
      </c>
    </row>
    <row r="28" spans="1:10" ht="17" customHeight="1" x14ac:dyDescent="0.2">
      <c r="A28" s="24" t="s">
        <v>29</v>
      </c>
      <c r="B28" s="25"/>
      <c r="C28" s="26"/>
      <c r="D28" s="27"/>
      <c r="E28" s="26"/>
      <c r="F28" s="28"/>
      <c r="G28" s="26"/>
      <c r="H28" s="29"/>
      <c r="I28" s="30"/>
      <c r="J28" s="30"/>
    </row>
    <row r="29" spans="1:10" ht="17" customHeight="1" x14ac:dyDescent="0.2">
      <c r="A29" s="17" t="s">
        <v>91</v>
      </c>
      <c r="B29" s="18">
        <v>1.8093277361216711E-2</v>
      </c>
      <c r="C29" s="19">
        <v>6.5301867527006729E-2</v>
      </c>
      <c r="D29" s="20">
        <v>0.1125104576927967</v>
      </c>
      <c r="E29" s="19">
        <v>0.1377719846412887</v>
      </c>
      <c r="F29" s="21">
        <v>0.47398509716638348</v>
      </c>
      <c r="G29" s="19">
        <v>9.0301867527006724E-2</v>
      </c>
      <c r="H29" s="22">
        <v>0</v>
      </c>
      <c r="I29" s="23">
        <v>25598</v>
      </c>
      <c r="J29" s="23">
        <v>45777</v>
      </c>
    </row>
    <row r="30" spans="1:10" ht="17" customHeight="1" x14ac:dyDescent="0.2">
      <c r="A30" s="17" t="s">
        <v>92</v>
      </c>
      <c r="B30" s="18">
        <v>1.3496497215615419E-2</v>
      </c>
      <c r="C30" s="19">
        <v>6.7090635723618397E-2</v>
      </c>
      <c r="D30" s="20">
        <v>0.1206847742316214</v>
      </c>
      <c r="E30" s="19">
        <v>0.15640735725123139</v>
      </c>
      <c r="F30" s="21">
        <v>0.42894808084924801</v>
      </c>
      <c r="G30" s="19">
        <v>9.2090635723618391E-2</v>
      </c>
      <c r="H30" s="22">
        <v>0</v>
      </c>
      <c r="I30" s="23">
        <v>28886</v>
      </c>
      <c r="J30" s="23">
        <v>45777</v>
      </c>
    </row>
    <row r="31" spans="1:10" ht="17" customHeight="1" x14ac:dyDescent="0.2">
      <c r="A31" s="17" t="s">
        <v>93</v>
      </c>
      <c r="B31" s="18">
        <v>4.8618709169252344E-3</v>
      </c>
      <c r="C31" s="19">
        <v>6.217206818719654E-2</v>
      </c>
      <c r="D31" s="20">
        <v>0.1194822654574678</v>
      </c>
      <c r="E31" s="19">
        <v>0.16725217996089919</v>
      </c>
      <c r="F31" s="21">
        <v>0.37172650426279258</v>
      </c>
      <c r="G31" s="19">
        <v>8.7172068187196541E-2</v>
      </c>
      <c r="H31" s="22">
        <v>0</v>
      </c>
      <c r="I31" s="23">
        <v>30680</v>
      </c>
      <c r="J31" s="23">
        <v>44925</v>
      </c>
    </row>
    <row r="32" spans="1:10" ht="17" customHeight="1" x14ac:dyDescent="0.2">
      <c r="A32" s="24" t="s">
        <v>33</v>
      </c>
      <c r="B32" s="25"/>
      <c r="C32" s="26"/>
      <c r="D32" s="27"/>
      <c r="E32" s="26"/>
      <c r="F32" s="28"/>
      <c r="G32" s="26"/>
      <c r="H32" s="29"/>
      <c r="I32" s="30"/>
      <c r="J32" s="30"/>
    </row>
    <row r="33" spans="1:10" ht="17" customHeight="1" x14ac:dyDescent="0.2">
      <c r="A33" s="17" t="s">
        <v>94</v>
      </c>
      <c r="B33" s="18">
        <v>2.0469028338070811E-2</v>
      </c>
      <c r="C33" s="19">
        <v>5.9395006840754223E-2</v>
      </c>
      <c r="D33" s="20">
        <v>9.8320985343437639E-2</v>
      </c>
      <c r="E33" s="19">
        <v>0.1136002853206385</v>
      </c>
      <c r="F33" s="21">
        <v>0.52284205689370344</v>
      </c>
      <c r="G33" s="19">
        <v>8.4395006840754225E-2</v>
      </c>
      <c r="H33" s="22">
        <v>0</v>
      </c>
      <c r="I33" s="23">
        <v>30589</v>
      </c>
      <c r="J33" s="23">
        <v>45777</v>
      </c>
    </row>
    <row r="34" spans="1:10" ht="17" customHeight="1" x14ac:dyDescent="0.2">
      <c r="A34" s="17" t="s">
        <v>95</v>
      </c>
      <c r="B34" s="18">
        <v>2.899500491554418E-2</v>
      </c>
      <c r="C34" s="19">
        <v>7.8592057555021813E-2</v>
      </c>
      <c r="D34" s="20">
        <v>0.12818911019449941</v>
      </c>
      <c r="E34" s="19">
        <v>0.14474239435031749</v>
      </c>
      <c r="F34" s="21">
        <v>0.54297884118737727</v>
      </c>
      <c r="G34" s="19">
        <v>0.10359205755502179</v>
      </c>
      <c r="H34" s="22">
        <v>0</v>
      </c>
      <c r="I34" s="23">
        <v>32720</v>
      </c>
      <c r="J34" s="23">
        <v>44925</v>
      </c>
    </row>
    <row r="35" spans="1:10" ht="17" customHeight="1" x14ac:dyDescent="0.2">
      <c r="A35" s="17" t="s">
        <v>96</v>
      </c>
      <c r="B35" s="18">
        <v>1.0324018166474019E-2</v>
      </c>
      <c r="C35" s="19">
        <v>6.0402182003979579E-2</v>
      </c>
      <c r="D35" s="20">
        <v>0.1104803458414851</v>
      </c>
      <c r="E35" s="19">
        <v>0.1461464533224808</v>
      </c>
      <c r="F35" s="21">
        <v>0.4132989931045305</v>
      </c>
      <c r="G35" s="19">
        <v>8.5402182003979588E-2</v>
      </c>
      <c r="H35" s="22">
        <v>0</v>
      </c>
      <c r="I35" s="23">
        <v>36189</v>
      </c>
      <c r="J35" s="23">
        <v>45777</v>
      </c>
    </row>
    <row r="36" spans="1:10" ht="17" customHeight="1" x14ac:dyDescent="0.2">
      <c r="A36" s="24" t="s">
        <v>37</v>
      </c>
      <c r="B36" s="25"/>
      <c r="C36" s="26"/>
      <c r="D36" s="27"/>
      <c r="E36" s="26"/>
      <c r="F36" s="28"/>
      <c r="G36" s="26"/>
      <c r="H36" s="29"/>
      <c r="I36" s="30"/>
      <c r="J36" s="30"/>
    </row>
    <row r="37" spans="1:10" ht="17" customHeight="1" x14ac:dyDescent="0.2">
      <c r="A37" s="31" t="s">
        <v>97</v>
      </c>
      <c r="B37" s="32">
        <v>1.2500000000000001E-2</v>
      </c>
      <c r="C37" s="33">
        <v>1.2500000000000001E-2</v>
      </c>
      <c r="D37" s="34">
        <v>1.2500000000000001E-2</v>
      </c>
      <c r="E37" s="33">
        <v>0</v>
      </c>
      <c r="F37" s="35"/>
      <c r="G37" s="33">
        <v>3.7500000000000012E-2</v>
      </c>
      <c r="H37" s="36">
        <v>0</v>
      </c>
      <c r="I37" s="37">
        <v>9708</v>
      </c>
      <c r="J37" s="37">
        <v>45807</v>
      </c>
    </row>
  </sheetData>
  <mergeCells count="3">
    <mergeCell ref="B1:G1"/>
    <mergeCell ref="I1:J1"/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98</v>
      </c>
      <c r="C1" s="38" t="s">
        <v>98</v>
      </c>
      <c r="D1" s="38" t="s">
        <v>98</v>
      </c>
      <c r="E1" s="38" t="s">
        <v>98</v>
      </c>
      <c r="F1" s="38" t="s">
        <v>99</v>
      </c>
      <c r="G1" s="38" t="s">
        <v>99</v>
      </c>
      <c r="H1" s="38" t="s">
        <v>99</v>
      </c>
      <c r="I1" s="38" t="s">
        <v>99</v>
      </c>
      <c r="J1" s="38" t="s">
        <v>100</v>
      </c>
      <c r="K1" s="38" t="s">
        <v>100</v>
      </c>
      <c r="L1" s="38" t="s">
        <v>100</v>
      </c>
      <c r="M1" s="38" t="s">
        <v>100</v>
      </c>
      <c r="N1" s="38" t="s">
        <v>101</v>
      </c>
      <c r="O1" s="38" t="s">
        <v>101</v>
      </c>
      <c r="P1" s="38" t="s">
        <v>101</v>
      </c>
      <c r="Q1" s="38" t="s">
        <v>101</v>
      </c>
    </row>
    <row r="2" spans="1:17" x14ac:dyDescent="0.2">
      <c r="A2" s="38"/>
      <c r="B2" s="38" t="s">
        <v>102</v>
      </c>
      <c r="C2" s="38" t="s">
        <v>103</v>
      </c>
      <c r="D2" s="38" t="s">
        <v>104</v>
      </c>
      <c r="E2" s="38" t="s">
        <v>105</v>
      </c>
      <c r="F2" s="38" t="s">
        <v>102</v>
      </c>
      <c r="G2" s="38" t="s">
        <v>103</v>
      </c>
      <c r="H2" s="38" t="s">
        <v>104</v>
      </c>
      <c r="I2" s="38" t="s">
        <v>105</v>
      </c>
      <c r="J2" s="38" t="s">
        <v>102</v>
      </c>
      <c r="K2" s="38" t="s">
        <v>103</v>
      </c>
      <c r="L2" s="38" t="s">
        <v>104</v>
      </c>
      <c r="M2" s="38" t="s">
        <v>105</v>
      </c>
      <c r="N2" s="38" t="s">
        <v>102</v>
      </c>
      <c r="O2" s="38" t="s">
        <v>103</v>
      </c>
      <c r="P2" s="38" t="s">
        <v>104</v>
      </c>
      <c r="Q2" s="38" t="s">
        <v>105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89.456903357182526</v>
      </c>
      <c r="C4" s="38">
        <v>97.02526561316526</v>
      </c>
      <c r="D4" s="38">
        <v>106.3967716051538</v>
      </c>
      <c r="E4" s="38">
        <v>115.1468750861214</v>
      </c>
      <c r="F4" s="38">
        <v>86.70380523586735</v>
      </c>
      <c r="G4" s="38">
        <v>94.656688850760474</v>
      </c>
      <c r="H4" s="38">
        <v>104.0428106961856</v>
      </c>
      <c r="I4" s="38">
        <v>112.7577902260052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89.980738266643641</v>
      </c>
      <c r="C5" s="38">
        <v>99.192368947115327</v>
      </c>
      <c r="D5" s="38">
        <v>111.90510917957241</v>
      </c>
      <c r="E5" s="38">
        <v>125.37894161320339</v>
      </c>
      <c r="F5" s="38">
        <v>85.100894859473598</v>
      </c>
      <c r="G5" s="38">
        <v>94.400289959351397</v>
      </c>
      <c r="H5" s="38">
        <v>106.9281453903247</v>
      </c>
      <c r="I5" s="38">
        <v>120.0687988303105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90.8898661257616</v>
      </c>
      <c r="C6" s="38">
        <v>102.4088840698504</v>
      </c>
      <c r="D6" s="38">
        <v>117.8612498854892</v>
      </c>
      <c r="E6" s="38">
        <v>134.9170317398123</v>
      </c>
      <c r="F6" s="38">
        <v>84.218811499977932</v>
      </c>
      <c r="G6" s="38">
        <v>95.332301272175314</v>
      </c>
      <c r="H6" s="38">
        <v>110.1725326734079</v>
      </c>
      <c r="I6" s="38">
        <v>126.4571433231085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90.427868535397067</v>
      </c>
      <c r="C7" s="38">
        <v>105.398121567084</v>
      </c>
      <c r="D7" s="38">
        <v>124.98892317916609</v>
      </c>
      <c r="E7" s="38">
        <v>147.082820183048</v>
      </c>
      <c r="F7" s="38">
        <v>82.138291889167078</v>
      </c>
      <c r="G7" s="38">
        <v>96.009494279172046</v>
      </c>
      <c r="H7" s="38">
        <v>114.3523511006908</v>
      </c>
      <c r="I7" s="38">
        <v>134.9815228122057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91.369198231432648</v>
      </c>
      <c r="C8" s="38">
        <v>109.1866393454907</v>
      </c>
      <c r="D8" s="38">
        <v>132.898534851976</v>
      </c>
      <c r="E8" s="38">
        <v>159.97581582226579</v>
      </c>
      <c r="F8" s="38">
        <v>81.549877876853387</v>
      </c>
      <c r="G8" s="38">
        <v>97.32633481900659</v>
      </c>
      <c r="H8" s="38">
        <v>118.94104161299251</v>
      </c>
      <c r="I8" s="38">
        <v>143.81494842674701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92.173075244339756</v>
      </c>
      <c r="C9" s="38">
        <v>113.09197920309779</v>
      </c>
      <c r="D9" s="38">
        <v>140.76888126299181</v>
      </c>
      <c r="E9" s="38">
        <v>172.9234416891949</v>
      </c>
      <c r="F9" s="38">
        <v>80.402801606080388</v>
      </c>
      <c r="G9" s="38">
        <v>98.598670542218912</v>
      </c>
      <c r="H9" s="38">
        <v>123.44725259105221</v>
      </c>
      <c r="I9" s="38">
        <v>152.12768802624149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91.064145706205608</v>
      </c>
      <c r="C10" s="38">
        <v>116.0626830575069</v>
      </c>
      <c r="D10" s="38">
        <v>149.36102878932289</v>
      </c>
      <c r="E10" s="38">
        <v>187.42408538105249</v>
      </c>
      <c r="F10" s="38">
        <v>78.25787929641443</v>
      </c>
      <c r="G10" s="38">
        <v>99.337505925042663</v>
      </c>
      <c r="H10" s="38">
        <v>128.22461745745679</v>
      </c>
      <c r="I10" s="38">
        <v>161.49801238406221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92.498179650755773</v>
      </c>
      <c r="C11" s="38">
        <v>119.33159211006419</v>
      </c>
      <c r="D11" s="38">
        <v>158.2136613573862</v>
      </c>
      <c r="E11" s="38">
        <v>202.89696536620599</v>
      </c>
      <c r="F11" s="38">
        <v>77.685825880984893</v>
      </c>
      <c r="G11" s="38">
        <v>100.2398836893494</v>
      </c>
      <c r="H11" s="38">
        <v>133.08611384272001</v>
      </c>
      <c r="I11" s="38">
        <v>171.48035918072719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91.512380784642261</v>
      </c>
      <c r="C12" s="38">
        <v>122.4295446271361</v>
      </c>
      <c r="D12" s="38">
        <v>166.84262384462619</v>
      </c>
      <c r="E12" s="38">
        <v>219.072293170059</v>
      </c>
      <c r="F12" s="38">
        <v>76.198094733240737</v>
      </c>
      <c r="G12" s="38">
        <v>100.9225431869305</v>
      </c>
      <c r="H12" s="38">
        <v>137.65238528149101</v>
      </c>
      <c r="I12" s="38">
        <v>181.1923499955339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92.934747749398568</v>
      </c>
      <c r="C13" s="38">
        <v>126.25256184610021</v>
      </c>
      <c r="D13" s="38">
        <v>175.82876618162001</v>
      </c>
      <c r="E13" s="38">
        <v>235.56849068435</v>
      </c>
      <c r="F13" s="38">
        <v>75.423080243046243</v>
      </c>
      <c r="G13" s="38">
        <v>101.92611202814849</v>
      </c>
      <c r="H13" s="38">
        <v>141.9303377299826</v>
      </c>
      <c r="I13" s="38">
        <v>191.007767995374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93.814016252111799</v>
      </c>
      <c r="C14" s="38">
        <v>129.33699057122999</v>
      </c>
      <c r="D14" s="38">
        <v>185.18393079225339</v>
      </c>
      <c r="E14" s="38">
        <v>253.54931883777991</v>
      </c>
      <c r="F14" s="38">
        <v>75.678130435135074</v>
      </c>
      <c r="G14" s="38">
        <v>102.6938700582825</v>
      </c>
      <c r="H14" s="38">
        <v>146.89472652466119</v>
      </c>
      <c r="I14" s="38">
        <v>201.21541603913059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95.927522072057656</v>
      </c>
      <c r="C15" s="38">
        <v>133.53381482939369</v>
      </c>
      <c r="D15" s="38">
        <v>194.80417584260269</v>
      </c>
      <c r="E15" s="38">
        <v>273.48578434558391</v>
      </c>
      <c r="F15" s="38">
        <v>75.064350566601647</v>
      </c>
      <c r="G15" s="38">
        <v>103.8231447508433</v>
      </c>
      <c r="H15" s="38">
        <v>151.26474764609259</v>
      </c>
      <c r="I15" s="38">
        <v>212.8758606443987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97.112830179337422</v>
      </c>
      <c r="C16" s="38">
        <v>137.38246120196499</v>
      </c>
      <c r="D16" s="38">
        <v>204.2038387568314</v>
      </c>
      <c r="E16" s="38">
        <v>293.87272469413102</v>
      </c>
      <c r="F16" s="38">
        <v>74.024301538455575</v>
      </c>
      <c r="G16" s="38">
        <v>104.99812825737671</v>
      </c>
      <c r="H16" s="38">
        <v>156.01683448409241</v>
      </c>
      <c r="I16" s="38">
        <v>223.6011373974824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98.468382394765371</v>
      </c>
      <c r="C17" s="38">
        <v>142.37204958074079</v>
      </c>
      <c r="D17" s="38">
        <v>215.62967249504749</v>
      </c>
      <c r="E17" s="38">
        <v>314.90336220753119</v>
      </c>
      <c r="F17" s="38">
        <v>74.633923165407211</v>
      </c>
      <c r="G17" s="38">
        <v>106.68681910779129</v>
      </c>
      <c r="H17" s="38">
        <v>161.20310901081541</v>
      </c>
      <c r="I17" s="38">
        <v>235.23014222444121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99.308266105457463</v>
      </c>
      <c r="C18" s="38">
        <v>146.59654335179769</v>
      </c>
      <c r="D18" s="38">
        <v>226.1906998647797</v>
      </c>
      <c r="E18" s="38">
        <v>338.17804620613862</v>
      </c>
      <c r="F18" s="38">
        <v>74.182997099232011</v>
      </c>
      <c r="G18" s="38">
        <v>108.1823758828706</v>
      </c>
      <c r="H18" s="38">
        <v>165.70740200275441</v>
      </c>
      <c r="I18" s="38">
        <v>247.3015784953661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100.896773129978</v>
      </c>
      <c r="C19" s="38">
        <v>151.4291687475654</v>
      </c>
      <c r="D19" s="38">
        <v>237.69504322158511</v>
      </c>
      <c r="E19" s="38">
        <v>362.59622389555568</v>
      </c>
      <c r="F19" s="38">
        <v>73.31266887813814</v>
      </c>
      <c r="G19" s="38">
        <v>109.6351805549494</v>
      </c>
      <c r="H19" s="38">
        <v>170.96418675985399</v>
      </c>
      <c r="I19" s="38">
        <v>259.80425289121081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103.00293094916751</v>
      </c>
      <c r="C20" s="38">
        <v>156.48495492891101</v>
      </c>
      <c r="D20" s="38">
        <v>249.60345768630501</v>
      </c>
      <c r="E20" s="38">
        <v>390.14871332644492</v>
      </c>
      <c r="F20" s="38">
        <v>73.944850934691331</v>
      </c>
      <c r="G20" s="38">
        <v>110.85121285783831</v>
      </c>
      <c r="H20" s="38">
        <v>176.0956233102365</v>
      </c>
      <c r="I20" s="38">
        <v>272.99269968346658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105.1794933587548</v>
      </c>
      <c r="C21" s="38">
        <v>161.88677722153639</v>
      </c>
      <c r="D21" s="38">
        <v>263.31841545216491</v>
      </c>
      <c r="E21" s="38">
        <v>418.65926805038481</v>
      </c>
      <c r="F21" s="38">
        <v>74.576581864937353</v>
      </c>
      <c r="G21" s="38">
        <v>112.4313657577417</v>
      </c>
      <c r="H21" s="38">
        <v>181.9076739669031</v>
      </c>
      <c r="I21" s="38">
        <v>287.5751569219558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107.9186017702071</v>
      </c>
      <c r="C22" s="38">
        <v>167.6515969034825</v>
      </c>
      <c r="D22" s="38">
        <v>277.03201954530709</v>
      </c>
      <c r="E22" s="38">
        <v>445.76435801146079</v>
      </c>
      <c r="F22" s="38">
        <v>74.864305403667714</v>
      </c>
      <c r="G22" s="38">
        <v>113.57045695861591</v>
      </c>
      <c r="H22" s="38">
        <v>187.9115535534028</v>
      </c>
      <c r="I22" s="38">
        <v>299.8714595874294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110.67117834453811</v>
      </c>
      <c r="C23" s="38">
        <v>173.23977525078459</v>
      </c>
      <c r="D23" s="38">
        <v>290.67048422949279</v>
      </c>
      <c r="E23" s="38">
        <v>475.19458292480061</v>
      </c>
      <c r="F23" s="38">
        <v>75.081858895213074</v>
      </c>
      <c r="G23" s="38">
        <v>115.6684166229964</v>
      </c>
      <c r="H23" s="38">
        <v>193.38003253472709</v>
      </c>
      <c r="I23" s="38">
        <v>313.2132588407361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98</v>
      </c>
      <c r="C1" s="38" t="s">
        <v>98</v>
      </c>
      <c r="D1" s="38" t="s">
        <v>98</v>
      </c>
      <c r="E1" s="38" t="s">
        <v>98</v>
      </c>
      <c r="F1" s="38" t="s">
        <v>99</v>
      </c>
      <c r="G1" s="38" t="s">
        <v>99</v>
      </c>
      <c r="H1" s="38" t="s">
        <v>99</v>
      </c>
      <c r="I1" s="38" t="s">
        <v>99</v>
      </c>
      <c r="J1" s="38" t="s">
        <v>100</v>
      </c>
      <c r="K1" s="38" t="s">
        <v>100</v>
      </c>
      <c r="L1" s="38" t="s">
        <v>100</v>
      </c>
      <c r="M1" s="38" t="s">
        <v>100</v>
      </c>
      <c r="N1" s="38" t="s">
        <v>101</v>
      </c>
      <c r="O1" s="38" t="s">
        <v>101</v>
      </c>
      <c r="P1" s="38" t="s">
        <v>101</v>
      </c>
      <c r="Q1" s="38" t="s">
        <v>101</v>
      </c>
    </row>
    <row r="2" spans="1:17" x14ac:dyDescent="0.2">
      <c r="A2" s="38"/>
      <c r="B2" s="38" t="s">
        <v>102</v>
      </c>
      <c r="C2" s="38" t="s">
        <v>103</v>
      </c>
      <c r="D2" s="38" t="s">
        <v>104</v>
      </c>
      <c r="E2" s="38" t="s">
        <v>105</v>
      </c>
      <c r="F2" s="38" t="s">
        <v>102</v>
      </c>
      <c r="G2" s="38" t="s">
        <v>103</v>
      </c>
      <c r="H2" s="38" t="s">
        <v>104</v>
      </c>
      <c r="I2" s="38" t="s">
        <v>105</v>
      </c>
      <c r="J2" s="38" t="s">
        <v>102</v>
      </c>
      <c r="K2" s="38" t="s">
        <v>103</v>
      </c>
      <c r="L2" s="38" t="s">
        <v>104</v>
      </c>
      <c r="M2" s="38" t="s">
        <v>105</v>
      </c>
      <c r="N2" s="38" t="s">
        <v>102</v>
      </c>
      <c r="O2" s="38" t="s">
        <v>103</v>
      </c>
      <c r="P2" s="38" t="s">
        <v>104</v>
      </c>
      <c r="Q2" s="38" t="s">
        <v>105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89.42123527871955</v>
      </c>
      <c r="C4" s="38">
        <v>98.897469790190442</v>
      </c>
      <c r="D4" s="38">
        <v>108.5333667904802</v>
      </c>
      <c r="E4" s="38">
        <v>117.8751857381213</v>
      </c>
      <c r="F4" s="38">
        <v>86.443444604077513</v>
      </c>
      <c r="G4" s="38">
        <v>96.423856557431975</v>
      </c>
      <c r="H4" s="38">
        <v>106.1554923376172</v>
      </c>
      <c r="I4" s="38">
        <v>115.6391048925293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92.010361515188237</v>
      </c>
      <c r="C5" s="38">
        <v>102.6738958238018</v>
      </c>
      <c r="D5" s="38">
        <v>116.8351406200013</v>
      </c>
      <c r="E5" s="38">
        <v>130.47927546404239</v>
      </c>
      <c r="F5" s="38">
        <v>86.756944507381007</v>
      </c>
      <c r="G5" s="38">
        <v>97.539956437991066</v>
      </c>
      <c r="H5" s="38">
        <v>111.6625506549954</v>
      </c>
      <c r="I5" s="38">
        <v>125.21086643982279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94.684757934295007</v>
      </c>
      <c r="C6" s="38">
        <v>108.2889653022844</v>
      </c>
      <c r="D6" s="38">
        <v>125.3105126553515</v>
      </c>
      <c r="E6" s="38">
        <v>143.3592630162409</v>
      </c>
      <c r="F6" s="38">
        <v>87.433579820126354</v>
      </c>
      <c r="G6" s="38">
        <v>100.59830697627029</v>
      </c>
      <c r="H6" s="38">
        <v>117.1761991307892</v>
      </c>
      <c r="I6" s="38">
        <v>134.6279582862544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96.260440355589338</v>
      </c>
      <c r="C7" s="38">
        <v>113.033776519258</v>
      </c>
      <c r="D7" s="38">
        <v>134.91118885285849</v>
      </c>
      <c r="E7" s="38">
        <v>158.56791074039879</v>
      </c>
      <c r="F7" s="38">
        <v>87.076214516347193</v>
      </c>
      <c r="G7" s="38">
        <v>102.5927919507719</v>
      </c>
      <c r="H7" s="38">
        <v>123.5668629761149</v>
      </c>
      <c r="I7" s="38">
        <v>145.95833931489921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99.421422269136855</v>
      </c>
      <c r="C8" s="38">
        <v>119.01088345737421</v>
      </c>
      <c r="D8" s="38">
        <v>145.63377724880081</v>
      </c>
      <c r="E8" s="38">
        <v>175.09806585347749</v>
      </c>
      <c r="F8" s="38">
        <v>87.812029338268388</v>
      </c>
      <c r="G8" s="38">
        <v>105.77128942684899</v>
      </c>
      <c r="H8" s="38">
        <v>130.3595346571002</v>
      </c>
      <c r="I8" s="38">
        <v>157.81637363385121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102.2961759438498</v>
      </c>
      <c r="C9" s="38">
        <v>125.42515373242411</v>
      </c>
      <c r="D9" s="38">
        <v>156.54597280245611</v>
      </c>
      <c r="E9" s="38">
        <v>191.92978594543399</v>
      </c>
      <c r="F9" s="38">
        <v>88.934727511398606</v>
      </c>
      <c r="G9" s="38">
        <v>108.93201851842591</v>
      </c>
      <c r="H9" s="38">
        <v>137.25275987085189</v>
      </c>
      <c r="I9" s="38">
        <v>169.42508271257341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102.59313318010349</v>
      </c>
      <c r="C10" s="38">
        <v>130.38812853258139</v>
      </c>
      <c r="D10" s="38">
        <v>167.6680528068425</v>
      </c>
      <c r="E10" s="38">
        <v>210.45256819199071</v>
      </c>
      <c r="F10" s="38">
        <v>87.431450703562916</v>
      </c>
      <c r="G10" s="38">
        <v>111.1622650909493</v>
      </c>
      <c r="H10" s="38">
        <v>143.9468210343139</v>
      </c>
      <c r="I10" s="38">
        <v>181.91958717331289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104.732136470974</v>
      </c>
      <c r="C11" s="38">
        <v>135.6470195361135</v>
      </c>
      <c r="D11" s="38">
        <v>179.41633761656351</v>
      </c>
      <c r="E11" s="38">
        <v>230.09452306102071</v>
      </c>
      <c r="F11" s="38">
        <v>87.59074332042772</v>
      </c>
      <c r="G11" s="38">
        <v>113.4621245462383</v>
      </c>
      <c r="H11" s="38">
        <v>151.01566159830739</v>
      </c>
      <c r="I11" s="38">
        <v>194.928934781148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105.28951574989109</v>
      </c>
      <c r="C12" s="38">
        <v>140.65451224578399</v>
      </c>
      <c r="D12" s="38">
        <v>191.02226248343749</v>
      </c>
      <c r="E12" s="38">
        <v>251.04664060007221</v>
      </c>
      <c r="F12" s="38">
        <v>87.321894427873772</v>
      </c>
      <c r="G12" s="38">
        <v>115.3731423046566</v>
      </c>
      <c r="H12" s="38">
        <v>157.52576883601179</v>
      </c>
      <c r="I12" s="38">
        <v>209.14063525602921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108.385735651337</v>
      </c>
      <c r="C13" s="38">
        <v>146.86495121349509</v>
      </c>
      <c r="D13" s="38">
        <v>203.57366563249619</v>
      </c>
      <c r="E13" s="38">
        <v>273.18312516223563</v>
      </c>
      <c r="F13" s="38">
        <v>87.174699362070101</v>
      </c>
      <c r="G13" s="38">
        <v>118.30073186112649</v>
      </c>
      <c r="H13" s="38">
        <v>164.29284972812329</v>
      </c>
      <c r="I13" s="38">
        <v>222.83675725959401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110.8091993011077</v>
      </c>
      <c r="C14" s="38">
        <v>153.15847456275969</v>
      </c>
      <c r="D14" s="38">
        <v>216.5734723786849</v>
      </c>
      <c r="E14" s="38">
        <v>296.36068977705997</v>
      </c>
      <c r="F14" s="38">
        <v>87.664921285414863</v>
      </c>
      <c r="G14" s="38">
        <v>120.854981793769</v>
      </c>
      <c r="H14" s="38">
        <v>171.46897211930599</v>
      </c>
      <c r="I14" s="38">
        <v>236.75432868067051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114.0215138270995</v>
      </c>
      <c r="C15" s="38">
        <v>159.6634182871085</v>
      </c>
      <c r="D15" s="38">
        <v>229.77779998931169</v>
      </c>
      <c r="E15" s="38">
        <v>323.02021921423972</v>
      </c>
      <c r="F15" s="38">
        <v>88.664723218267</v>
      </c>
      <c r="G15" s="38">
        <v>123.4221288726134</v>
      </c>
      <c r="H15" s="38">
        <v>178.63476423480651</v>
      </c>
      <c r="I15" s="38">
        <v>252.5925117790687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117.1729317453099</v>
      </c>
      <c r="C16" s="38">
        <v>166.3643539502128</v>
      </c>
      <c r="D16" s="38">
        <v>244.4623633474672</v>
      </c>
      <c r="E16" s="38">
        <v>348.81137468590822</v>
      </c>
      <c r="F16" s="38">
        <v>89.374722775268594</v>
      </c>
      <c r="G16" s="38">
        <v>126.1606686013349</v>
      </c>
      <c r="H16" s="38">
        <v>186.38103682487139</v>
      </c>
      <c r="I16" s="38">
        <v>268.14984306505829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119.9428610376733</v>
      </c>
      <c r="C17" s="38">
        <v>173.84125430888531</v>
      </c>
      <c r="D17" s="38">
        <v>259.8851821309313</v>
      </c>
      <c r="E17" s="38">
        <v>379.10630717526948</v>
      </c>
      <c r="F17" s="38">
        <v>90.498346924202295</v>
      </c>
      <c r="G17" s="38">
        <v>129.44118079996969</v>
      </c>
      <c r="H17" s="38">
        <v>194.28373958421099</v>
      </c>
      <c r="I17" s="38">
        <v>284.64481487686271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123.5072395738738</v>
      </c>
      <c r="C18" s="38">
        <v>181.25024382877271</v>
      </c>
      <c r="D18" s="38">
        <v>276.16233103870951</v>
      </c>
      <c r="E18" s="38">
        <v>411.51351118001998</v>
      </c>
      <c r="F18" s="38">
        <v>91.325525508164816</v>
      </c>
      <c r="G18" s="38">
        <v>132.4487504921718</v>
      </c>
      <c r="H18" s="38">
        <v>202.1130754908186</v>
      </c>
      <c r="I18" s="38">
        <v>302.89906828483748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126.2670793166305</v>
      </c>
      <c r="C19" s="38">
        <v>189.41350605708789</v>
      </c>
      <c r="D19" s="38">
        <v>293.19156565329331</v>
      </c>
      <c r="E19" s="38">
        <v>445.59227940724918</v>
      </c>
      <c r="F19" s="38">
        <v>91.588855419494251</v>
      </c>
      <c r="G19" s="38">
        <v>135.59908841737709</v>
      </c>
      <c r="H19" s="38">
        <v>210.94491131675301</v>
      </c>
      <c r="I19" s="38">
        <v>320.87000630018809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131.5794639973756</v>
      </c>
      <c r="C20" s="38">
        <v>198.0745263137517</v>
      </c>
      <c r="D20" s="38">
        <v>311.19631556225659</v>
      </c>
      <c r="E20" s="38">
        <v>481.36025446454329</v>
      </c>
      <c r="F20" s="38">
        <v>93.999360411189556</v>
      </c>
      <c r="G20" s="38">
        <v>138.98619112383051</v>
      </c>
      <c r="H20" s="38">
        <v>219.3701953446496</v>
      </c>
      <c r="I20" s="38">
        <v>340.44616977397669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136.9853629473902</v>
      </c>
      <c r="C21" s="38">
        <v>206.67654026164391</v>
      </c>
      <c r="D21" s="38">
        <v>331.29849163121139</v>
      </c>
      <c r="E21" s="38">
        <v>520.73337530232027</v>
      </c>
      <c r="F21" s="38">
        <v>94.973565057172223</v>
      </c>
      <c r="G21" s="38">
        <v>142.18406445864019</v>
      </c>
      <c r="H21" s="38">
        <v>229.37468259508819</v>
      </c>
      <c r="I21" s="38">
        <v>359.54125114972521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142.62504329840789</v>
      </c>
      <c r="C22" s="38">
        <v>215.74474574563399</v>
      </c>
      <c r="D22" s="38">
        <v>352.2130419315904</v>
      </c>
      <c r="E22" s="38">
        <v>561.01879111833045</v>
      </c>
      <c r="F22" s="38">
        <v>97.402295346521612</v>
      </c>
      <c r="G22" s="38">
        <v>145.7693794688675</v>
      </c>
      <c r="H22" s="38">
        <v>239.4568028151844</v>
      </c>
      <c r="I22" s="38">
        <v>379.82887862751778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146.73475069392259</v>
      </c>
      <c r="C23" s="38">
        <v>225.9667149934902</v>
      </c>
      <c r="D23" s="38">
        <v>375.23052088100519</v>
      </c>
      <c r="E23" s="38">
        <v>605.27007648635981</v>
      </c>
      <c r="F23" s="38">
        <v>98.810610497461809</v>
      </c>
      <c r="G23" s="38">
        <v>149.88168508887941</v>
      </c>
      <c r="H23" s="38">
        <v>249.85944300284399</v>
      </c>
      <c r="I23" s="38">
        <v>401.53560266515689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98</v>
      </c>
      <c r="C1" s="38" t="s">
        <v>98</v>
      </c>
      <c r="D1" s="38" t="s">
        <v>98</v>
      </c>
      <c r="E1" s="38" t="s">
        <v>98</v>
      </c>
      <c r="F1" s="38" t="s">
        <v>99</v>
      </c>
      <c r="G1" s="38" t="s">
        <v>99</v>
      </c>
      <c r="H1" s="38" t="s">
        <v>99</v>
      </c>
      <c r="I1" s="38" t="s">
        <v>99</v>
      </c>
      <c r="J1" s="38" t="s">
        <v>100</v>
      </c>
      <c r="K1" s="38" t="s">
        <v>100</v>
      </c>
      <c r="L1" s="38" t="s">
        <v>100</v>
      </c>
      <c r="M1" s="38" t="s">
        <v>100</v>
      </c>
      <c r="N1" s="38" t="s">
        <v>101</v>
      </c>
      <c r="O1" s="38" t="s">
        <v>101</v>
      </c>
      <c r="P1" s="38" t="s">
        <v>101</v>
      </c>
      <c r="Q1" s="38" t="s">
        <v>101</v>
      </c>
    </row>
    <row r="2" spans="1:17" x14ac:dyDescent="0.2">
      <c r="A2" s="38"/>
      <c r="B2" s="38" t="s">
        <v>102</v>
      </c>
      <c r="C2" s="38" t="s">
        <v>103</v>
      </c>
      <c r="D2" s="38" t="s">
        <v>104</v>
      </c>
      <c r="E2" s="38" t="s">
        <v>105</v>
      </c>
      <c r="F2" s="38" t="s">
        <v>102</v>
      </c>
      <c r="G2" s="38" t="s">
        <v>103</v>
      </c>
      <c r="H2" s="38" t="s">
        <v>104</v>
      </c>
      <c r="I2" s="38" t="s">
        <v>105</v>
      </c>
      <c r="J2" s="38" t="s">
        <v>102</v>
      </c>
      <c r="K2" s="38" t="s">
        <v>103</v>
      </c>
      <c r="L2" s="38" t="s">
        <v>104</v>
      </c>
      <c r="M2" s="38" t="s">
        <v>105</v>
      </c>
      <c r="N2" s="38" t="s">
        <v>102</v>
      </c>
      <c r="O2" s="38" t="s">
        <v>103</v>
      </c>
      <c r="P2" s="38" t="s">
        <v>104</v>
      </c>
      <c r="Q2" s="38" t="s">
        <v>105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89.641212623450031</v>
      </c>
      <c r="C4" s="38">
        <v>99.002992659026432</v>
      </c>
      <c r="D4" s="38">
        <v>108.5234062229174</v>
      </c>
      <c r="E4" s="38">
        <v>117.73461908528471</v>
      </c>
      <c r="F4" s="38">
        <v>86.612476556739196</v>
      </c>
      <c r="G4" s="38">
        <v>96.545100776958506</v>
      </c>
      <c r="H4" s="38">
        <v>106.144990357992</v>
      </c>
      <c r="I4" s="38">
        <v>115.51202290041471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92.223137975800157</v>
      </c>
      <c r="C5" s="38">
        <v>102.8298416146402</v>
      </c>
      <c r="D5" s="38">
        <v>116.8185243941714</v>
      </c>
      <c r="E5" s="38">
        <v>130.2769923934805</v>
      </c>
      <c r="F5" s="38">
        <v>86.951416398433523</v>
      </c>
      <c r="G5" s="38">
        <v>97.669721378842354</v>
      </c>
      <c r="H5" s="38">
        <v>111.6485996148476</v>
      </c>
      <c r="I5" s="38">
        <v>125.00108385935251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94.972247542712282</v>
      </c>
      <c r="C6" s="38">
        <v>108.49167516152529</v>
      </c>
      <c r="D6" s="38">
        <v>125.29770710596419</v>
      </c>
      <c r="E6" s="38">
        <v>143.07079818831829</v>
      </c>
      <c r="F6" s="38">
        <v>87.687517507020118</v>
      </c>
      <c r="G6" s="38">
        <v>100.73337080065281</v>
      </c>
      <c r="H6" s="38">
        <v>117.15954769730951</v>
      </c>
      <c r="I6" s="38">
        <v>134.34018402208261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96.674065287441763</v>
      </c>
      <c r="C7" s="38">
        <v>113.2597922180761</v>
      </c>
      <c r="D7" s="38">
        <v>134.85301041788651</v>
      </c>
      <c r="E7" s="38">
        <v>158.17593777322179</v>
      </c>
      <c r="F7" s="38">
        <v>87.424394818459021</v>
      </c>
      <c r="G7" s="38">
        <v>102.8097577571326</v>
      </c>
      <c r="H7" s="38">
        <v>123.51423158448971</v>
      </c>
      <c r="I7" s="38">
        <v>145.60598316508981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99.788309680500817</v>
      </c>
      <c r="C8" s="38">
        <v>119.2564792450642</v>
      </c>
      <c r="D8" s="38">
        <v>145.5929848329844</v>
      </c>
      <c r="E8" s="38">
        <v>174.61667552472599</v>
      </c>
      <c r="F8" s="38">
        <v>88.05370836474728</v>
      </c>
      <c r="G8" s="38">
        <v>105.9619627599097</v>
      </c>
      <c r="H8" s="38">
        <v>130.32029231581711</v>
      </c>
      <c r="I8" s="38">
        <v>157.3645638254298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102.8218120798106</v>
      </c>
      <c r="C9" s="38">
        <v>125.68126266892109</v>
      </c>
      <c r="D9" s="38">
        <v>156.46124847019991</v>
      </c>
      <c r="E9" s="38">
        <v>191.31412467904011</v>
      </c>
      <c r="F9" s="38">
        <v>89.256112160048318</v>
      </c>
      <c r="G9" s="38">
        <v>109.1801083056781</v>
      </c>
      <c r="H9" s="38">
        <v>137.14887640030409</v>
      </c>
      <c r="I9" s="38">
        <v>168.81992558792439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103.1500664546906</v>
      </c>
      <c r="C10" s="38">
        <v>130.66307582946351</v>
      </c>
      <c r="D10" s="38">
        <v>167.51211589420751</v>
      </c>
      <c r="E10" s="38">
        <v>209.5733799408458</v>
      </c>
      <c r="F10" s="38">
        <v>87.994316027413547</v>
      </c>
      <c r="G10" s="38">
        <v>111.3982230934723</v>
      </c>
      <c r="H10" s="38">
        <v>143.83698483748239</v>
      </c>
      <c r="I10" s="38">
        <v>181.2673266106643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105.2177726322638</v>
      </c>
      <c r="C11" s="38">
        <v>135.9783277970545</v>
      </c>
      <c r="D11" s="38">
        <v>179.2269419517086</v>
      </c>
      <c r="E11" s="38">
        <v>229.04358528187831</v>
      </c>
      <c r="F11" s="38">
        <v>88.253089706854936</v>
      </c>
      <c r="G11" s="38">
        <v>113.7071413222986</v>
      </c>
      <c r="H11" s="38">
        <v>150.8364107583501</v>
      </c>
      <c r="I11" s="38">
        <v>194.0259432986546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105.8976848252283</v>
      </c>
      <c r="C12" s="38">
        <v>140.95493552960599</v>
      </c>
      <c r="D12" s="38">
        <v>190.6984761360236</v>
      </c>
      <c r="E12" s="38">
        <v>249.93548470559381</v>
      </c>
      <c r="F12" s="38">
        <v>87.726288048207081</v>
      </c>
      <c r="G12" s="38">
        <v>115.697979004644</v>
      </c>
      <c r="H12" s="38">
        <v>157.25915750183589</v>
      </c>
      <c r="I12" s="38">
        <v>208.219238422221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109.1476295226954</v>
      </c>
      <c r="C13" s="38">
        <v>147.2254996483889</v>
      </c>
      <c r="D13" s="38">
        <v>203.21660250615599</v>
      </c>
      <c r="E13" s="38">
        <v>271.76726722593372</v>
      </c>
      <c r="F13" s="38">
        <v>87.62913996373382</v>
      </c>
      <c r="G13" s="38">
        <v>118.5016129073511</v>
      </c>
      <c r="H13" s="38">
        <v>164.00649113066461</v>
      </c>
      <c r="I13" s="38">
        <v>221.65201596195951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111.3811182290499</v>
      </c>
      <c r="C14" s="38">
        <v>153.5513459499447</v>
      </c>
      <c r="D14" s="38">
        <v>216.14307588527831</v>
      </c>
      <c r="E14" s="38">
        <v>294.62060319558373</v>
      </c>
      <c r="F14" s="38">
        <v>88.346651250610293</v>
      </c>
      <c r="G14" s="38">
        <v>121.096997420893</v>
      </c>
      <c r="H14" s="38">
        <v>171.11654503484871</v>
      </c>
      <c r="I14" s="38">
        <v>235.3780557007631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114.65995380840199</v>
      </c>
      <c r="C15" s="38">
        <v>160.00600297296131</v>
      </c>
      <c r="D15" s="38">
        <v>229.2285703283533</v>
      </c>
      <c r="E15" s="38">
        <v>320.97290026240807</v>
      </c>
      <c r="F15" s="38">
        <v>89.268402750278369</v>
      </c>
      <c r="G15" s="38">
        <v>123.7268116231233</v>
      </c>
      <c r="H15" s="38">
        <v>178.21204125649859</v>
      </c>
      <c r="I15" s="38">
        <v>251.0451847936998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117.8884188478185</v>
      </c>
      <c r="C16" s="38">
        <v>166.68442280622639</v>
      </c>
      <c r="D16" s="38">
        <v>243.89077692395099</v>
      </c>
      <c r="E16" s="38">
        <v>346.54948308621192</v>
      </c>
      <c r="F16" s="38">
        <v>89.965349674680581</v>
      </c>
      <c r="G16" s="38">
        <v>126.443533377693</v>
      </c>
      <c r="H16" s="38">
        <v>185.9351206893769</v>
      </c>
      <c r="I16" s="38">
        <v>266.42276711610202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120.80763497042641</v>
      </c>
      <c r="C17" s="38">
        <v>174.18307856917511</v>
      </c>
      <c r="D17" s="38">
        <v>259.18434032781158</v>
      </c>
      <c r="E17" s="38">
        <v>376.5677443120245</v>
      </c>
      <c r="F17" s="38">
        <v>90.957661163081198</v>
      </c>
      <c r="G17" s="38">
        <v>129.64068315660481</v>
      </c>
      <c r="H17" s="38">
        <v>193.77523038467709</v>
      </c>
      <c r="I17" s="38">
        <v>282.78289483993927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124.3228420727341</v>
      </c>
      <c r="C18" s="38">
        <v>181.46593548172709</v>
      </c>
      <c r="D18" s="38">
        <v>275.21715416324389</v>
      </c>
      <c r="E18" s="38">
        <v>408.79060228912903</v>
      </c>
      <c r="F18" s="38">
        <v>91.888184697751811</v>
      </c>
      <c r="G18" s="38">
        <v>132.66623023738219</v>
      </c>
      <c r="H18" s="38">
        <v>201.51809186328279</v>
      </c>
      <c r="I18" s="38">
        <v>300.81105397123201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127.0821203723642</v>
      </c>
      <c r="C19" s="38">
        <v>189.83376064030779</v>
      </c>
      <c r="D19" s="38">
        <v>292.15522573699741</v>
      </c>
      <c r="E19" s="38">
        <v>442.11172778779382</v>
      </c>
      <c r="F19" s="38">
        <v>92.293163361536259</v>
      </c>
      <c r="G19" s="38">
        <v>135.85315200610279</v>
      </c>
      <c r="H19" s="38">
        <v>210.1833906140196</v>
      </c>
      <c r="I19" s="38">
        <v>318.49743523186731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132.6808078121548</v>
      </c>
      <c r="C20" s="38">
        <v>198.34223813639741</v>
      </c>
      <c r="D20" s="38">
        <v>310.11547545201682</v>
      </c>
      <c r="E20" s="38">
        <v>477.29089222928519</v>
      </c>
      <c r="F20" s="38">
        <v>94.578090331660675</v>
      </c>
      <c r="G20" s="38">
        <v>139.2705977228284</v>
      </c>
      <c r="H20" s="38">
        <v>218.62261566262049</v>
      </c>
      <c r="I20" s="38">
        <v>337.38182223521551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138.0797449053091</v>
      </c>
      <c r="C21" s="38">
        <v>206.81110402407731</v>
      </c>
      <c r="D21" s="38">
        <v>329.9387975464719</v>
      </c>
      <c r="E21" s="38">
        <v>516.40855998182587</v>
      </c>
      <c r="F21" s="38">
        <v>95.693094852808201</v>
      </c>
      <c r="G21" s="38">
        <v>142.32671257501951</v>
      </c>
      <c r="H21" s="38">
        <v>228.44698532884141</v>
      </c>
      <c r="I21" s="38">
        <v>356.27405806835088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143.55604503444911</v>
      </c>
      <c r="C22" s="38">
        <v>216.16444690531929</v>
      </c>
      <c r="D22" s="38">
        <v>350.77325853391352</v>
      </c>
      <c r="E22" s="38">
        <v>555.82395195248318</v>
      </c>
      <c r="F22" s="38">
        <v>97.898843375200215</v>
      </c>
      <c r="G22" s="38">
        <v>145.85154643545621</v>
      </c>
      <c r="H22" s="38">
        <v>238.49462733291469</v>
      </c>
      <c r="I22" s="38">
        <v>376.45374477986161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147.87051798178379</v>
      </c>
      <c r="C23" s="38">
        <v>226.31540395495099</v>
      </c>
      <c r="D23" s="38">
        <v>373.6069499350312</v>
      </c>
      <c r="E23" s="38">
        <v>599.92465082384092</v>
      </c>
      <c r="F23" s="38">
        <v>99.449400402705422</v>
      </c>
      <c r="G23" s="38">
        <v>150.0395428940233</v>
      </c>
      <c r="H23" s="38">
        <v>248.80285518151359</v>
      </c>
      <c r="I23" s="38">
        <v>397.63462313143248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98</v>
      </c>
      <c r="C1" s="38" t="s">
        <v>98</v>
      </c>
      <c r="D1" s="38" t="s">
        <v>98</v>
      </c>
      <c r="E1" s="38" t="s">
        <v>98</v>
      </c>
      <c r="F1" s="38" t="s">
        <v>99</v>
      </c>
      <c r="G1" s="38" t="s">
        <v>99</v>
      </c>
      <c r="H1" s="38" t="s">
        <v>99</v>
      </c>
      <c r="I1" s="38" t="s">
        <v>99</v>
      </c>
      <c r="J1" s="38" t="s">
        <v>100</v>
      </c>
      <c r="K1" s="38" t="s">
        <v>100</v>
      </c>
      <c r="L1" s="38" t="s">
        <v>100</v>
      </c>
      <c r="M1" s="38" t="s">
        <v>100</v>
      </c>
      <c r="N1" s="38" t="s">
        <v>101</v>
      </c>
      <c r="O1" s="38" t="s">
        <v>101</v>
      </c>
      <c r="P1" s="38" t="s">
        <v>101</v>
      </c>
      <c r="Q1" s="38" t="s">
        <v>101</v>
      </c>
    </row>
    <row r="2" spans="1:17" x14ac:dyDescent="0.2">
      <c r="A2" s="38"/>
      <c r="B2" s="38" t="s">
        <v>102</v>
      </c>
      <c r="C2" s="38" t="s">
        <v>103</v>
      </c>
      <c r="D2" s="38" t="s">
        <v>104</v>
      </c>
      <c r="E2" s="38" t="s">
        <v>105</v>
      </c>
      <c r="F2" s="38" t="s">
        <v>102</v>
      </c>
      <c r="G2" s="38" t="s">
        <v>103</v>
      </c>
      <c r="H2" s="38" t="s">
        <v>104</v>
      </c>
      <c r="I2" s="38" t="s">
        <v>105</v>
      </c>
      <c r="J2" s="38" t="s">
        <v>102</v>
      </c>
      <c r="K2" s="38" t="s">
        <v>103</v>
      </c>
      <c r="L2" s="38" t="s">
        <v>104</v>
      </c>
      <c r="M2" s="38" t="s">
        <v>105</v>
      </c>
      <c r="N2" s="38" t="s">
        <v>102</v>
      </c>
      <c r="O2" s="38" t="s">
        <v>103</v>
      </c>
      <c r="P2" s="38" t="s">
        <v>104</v>
      </c>
      <c r="Q2" s="38" t="s">
        <v>105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93.093660893094466</v>
      </c>
      <c r="C4" s="38">
        <v>100.3000495587043</v>
      </c>
      <c r="D4" s="38">
        <v>107.5281398056409</v>
      </c>
      <c r="E4" s="38">
        <v>114.3495688701842</v>
      </c>
      <c r="F4" s="38">
        <v>89.964000079504274</v>
      </c>
      <c r="G4" s="38">
        <v>97.802672023095795</v>
      </c>
      <c r="H4" s="38">
        <v>105.1805839391851</v>
      </c>
      <c r="I4" s="38">
        <v>112.15870883076759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96.286938855117526</v>
      </c>
      <c r="C5" s="38">
        <v>104.37020379958631</v>
      </c>
      <c r="D5" s="38">
        <v>114.748611061245</v>
      </c>
      <c r="E5" s="38">
        <v>124.6745847498341</v>
      </c>
      <c r="F5" s="38">
        <v>90.645757537504295</v>
      </c>
      <c r="G5" s="38">
        <v>99.09348020000445</v>
      </c>
      <c r="H5" s="38">
        <v>109.66216752681891</v>
      </c>
      <c r="I5" s="38">
        <v>119.60253259399001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99.379600048359563</v>
      </c>
      <c r="C6" s="38">
        <v>109.68157466043751</v>
      </c>
      <c r="D6" s="38">
        <v>122.146388953157</v>
      </c>
      <c r="E6" s="38">
        <v>135.04355182773909</v>
      </c>
      <c r="F6" s="38">
        <v>91.582844474815644</v>
      </c>
      <c r="G6" s="38">
        <v>101.8533024351286</v>
      </c>
      <c r="H6" s="38">
        <v>114.1823284853761</v>
      </c>
      <c r="I6" s="38">
        <v>126.83568066689431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101.56260050615489</v>
      </c>
      <c r="C7" s="38">
        <v>114.39721304243911</v>
      </c>
      <c r="D7" s="38">
        <v>130.34406797237199</v>
      </c>
      <c r="E7" s="38">
        <v>147.13222476081441</v>
      </c>
      <c r="F7" s="38">
        <v>91.657604501408244</v>
      </c>
      <c r="G7" s="38">
        <v>103.8487113554885</v>
      </c>
      <c r="H7" s="38">
        <v>119.3664404685229</v>
      </c>
      <c r="I7" s="38">
        <v>135.43296332070429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105.0081986033486</v>
      </c>
      <c r="C8" s="38">
        <v>120.06084540500019</v>
      </c>
      <c r="D8" s="38">
        <v>139.38826269428029</v>
      </c>
      <c r="E8" s="38">
        <v>160.18072136088921</v>
      </c>
      <c r="F8" s="38">
        <v>92.977124619437575</v>
      </c>
      <c r="G8" s="38">
        <v>106.7291238789028</v>
      </c>
      <c r="H8" s="38">
        <v>124.8181668003441</v>
      </c>
      <c r="I8" s="38">
        <v>144.3770605504277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107.952127762336</v>
      </c>
      <c r="C9" s="38">
        <v>125.86018569684551</v>
      </c>
      <c r="D9" s="38">
        <v>148.70461125724631</v>
      </c>
      <c r="E9" s="38">
        <v>173.3464637686175</v>
      </c>
      <c r="F9" s="38">
        <v>93.572726179582006</v>
      </c>
      <c r="G9" s="38">
        <v>109.3315580685167</v>
      </c>
      <c r="H9" s="38">
        <v>130.40261280445219</v>
      </c>
      <c r="I9" s="38">
        <v>153.0951930645499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108.67146517283069</v>
      </c>
      <c r="C10" s="38">
        <v>130.52026216065849</v>
      </c>
      <c r="D10" s="38">
        <v>157.715133936462</v>
      </c>
      <c r="E10" s="38">
        <v>187.31087200985871</v>
      </c>
      <c r="F10" s="38">
        <v>92.743010570089808</v>
      </c>
      <c r="G10" s="38">
        <v>111.2601086999663</v>
      </c>
      <c r="H10" s="38">
        <v>135.57384216703011</v>
      </c>
      <c r="I10" s="38">
        <v>162.1848938064818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110.84379296272439</v>
      </c>
      <c r="C11" s="38">
        <v>135.07760573078369</v>
      </c>
      <c r="D11" s="38">
        <v>167.0265523888126</v>
      </c>
      <c r="E11" s="38">
        <v>202.07016737445869</v>
      </c>
      <c r="F11" s="38">
        <v>92.897847881797631</v>
      </c>
      <c r="G11" s="38">
        <v>112.9208616278366</v>
      </c>
      <c r="H11" s="38">
        <v>140.70924709576551</v>
      </c>
      <c r="I11" s="38">
        <v>171.2729773458145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112.064292534589</v>
      </c>
      <c r="C12" s="38">
        <v>139.24085098110061</v>
      </c>
      <c r="D12" s="38">
        <v>176.31508629437729</v>
      </c>
      <c r="E12" s="38">
        <v>217.3904839891818</v>
      </c>
      <c r="F12" s="38">
        <v>92.706717906059183</v>
      </c>
      <c r="G12" s="38">
        <v>114.298109135012</v>
      </c>
      <c r="H12" s="38">
        <v>145.62726299523251</v>
      </c>
      <c r="I12" s="38">
        <v>180.86071429102151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114.6986039248104</v>
      </c>
      <c r="C13" s="38">
        <v>144.57473210913381</v>
      </c>
      <c r="D13" s="38">
        <v>185.97742502570219</v>
      </c>
      <c r="E13" s="38">
        <v>233.53062310991669</v>
      </c>
      <c r="F13" s="38">
        <v>92.300513716785645</v>
      </c>
      <c r="G13" s="38">
        <v>116.18205377145151</v>
      </c>
      <c r="H13" s="38">
        <v>150.42529369923321</v>
      </c>
      <c r="I13" s="38">
        <v>190.37181750234069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117.23026795501499</v>
      </c>
      <c r="C14" s="38">
        <v>149.68730269358349</v>
      </c>
      <c r="D14" s="38">
        <v>196.0513005010672</v>
      </c>
      <c r="E14" s="38">
        <v>250.77972233593749</v>
      </c>
      <c r="F14" s="38">
        <v>92.33662820020561</v>
      </c>
      <c r="G14" s="38">
        <v>118.068434236972</v>
      </c>
      <c r="H14" s="38">
        <v>155.16586451737379</v>
      </c>
      <c r="I14" s="38">
        <v>199.9422712917881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120.05860875281751</v>
      </c>
      <c r="C15" s="38">
        <v>155.17579076942079</v>
      </c>
      <c r="D15" s="38">
        <v>206.29238741309979</v>
      </c>
      <c r="E15" s="38">
        <v>269.23677617062742</v>
      </c>
      <c r="F15" s="38">
        <v>93.383527526948654</v>
      </c>
      <c r="G15" s="38">
        <v>120.0709993890963</v>
      </c>
      <c r="H15" s="38">
        <v>160.37490996637399</v>
      </c>
      <c r="I15" s="38">
        <v>210.5194595788204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123.4280733964537</v>
      </c>
      <c r="C16" s="38">
        <v>160.71315916921651</v>
      </c>
      <c r="D16" s="38">
        <v>217.118638510556</v>
      </c>
      <c r="E16" s="38">
        <v>288.60783470002212</v>
      </c>
      <c r="F16" s="38">
        <v>93.882762513184474</v>
      </c>
      <c r="G16" s="38">
        <v>121.8948688726184</v>
      </c>
      <c r="H16" s="38">
        <v>165.53869613801601</v>
      </c>
      <c r="I16" s="38">
        <v>221.16970973588329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125.6932798168766</v>
      </c>
      <c r="C17" s="38">
        <v>166.9073169232461</v>
      </c>
      <c r="D17" s="38">
        <v>228.76460120698221</v>
      </c>
      <c r="E17" s="38">
        <v>309.60589737685609</v>
      </c>
      <c r="F17" s="38">
        <v>94.510575925037273</v>
      </c>
      <c r="G17" s="38">
        <v>124.4351270776353</v>
      </c>
      <c r="H17" s="38">
        <v>171.10437567260621</v>
      </c>
      <c r="I17" s="38">
        <v>232.24212935291391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129.1747332428269</v>
      </c>
      <c r="C18" s="38">
        <v>173.05005443275641</v>
      </c>
      <c r="D18" s="38">
        <v>240.41018930847039</v>
      </c>
      <c r="E18" s="38">
        <v>331.91761543004941</v>
      </c>
      <c r="F18" s="38">
        <v>95.153645380569031</v>
      </c>
      <c r="G18" s="38">
        <v>126.5339553031681</v>
      </c>
      <c r="H18" s="38">
        <v>176.3502526974772</v>
      </c>
      <c r="I18" s="38">
        <v>243.78919215076851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132.79777122641499</v>
      </c>
      <c r="C19" s="38">
        <v>179.77042759602341</v>
      </c>
      <c r="D19" s="38">
        <v>253.0555688815956</v>
      </c>
      <c r="E19" s="38">
        <v>355.15907571463731</v>
      </c>
      <c r="F19" s="38">
        <v>96.040031111739864</v>
      </c>
      <c r="G19" s="38">
        <v>128.70999720715011</v>
      </c>
      <c r="H19" s="38">
        <v>182.21067949140169</v>
      </c>
      <c r="I19" s="38">
        <v>255.75318905394411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136.5890722812224</v>
      </c>
      <c r="C20" s="38">
        <v>186.5884772986135</v>
      </c>
      <c r="D20" s="38">
        <v>266.6547126070908</v>
      </c>
      <c r="E20" s="38">
        <v>380.11948005168051</v>
      </c>
      <c r="F20" s="38">
        <v>96.931174482523488</v>
      </c>
      <c r="G20" s="38">
        <v>130.79331957200699</v>
      </c>
      <c r="H20" s="38">
        <v>188.1052548790386</v>
      </c>
      <c r="I20" s="38">
        <v>267.60082708913939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141.13569878768419</v>
      </c>
      <c r="C21" s="38">
        <v>194.19095927595299</v>
      </c>
      <c r="D21" s="38">
        <v>280.41303758430519</v>
      </c>
      <c r="E21" s="38">
        <v>406.86985192115242</v>
      </c>
      <c r="F21" s="38">
        <v>97.724643306236075</v>
      </c>
      <c r="G21" s="38">
        <v>133.22134744857439</v>
      </c>
      <c r="H21" s="38">
        <v>194.60020702664411</v>
      </c>
      <c r="I21" s="38">
        <v>280.79279665844678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145.4530464839209</v>
      </c>
      <c r="C22" s="38">
        <v>201.48097514410719</v>
      </c>
      <c r="D22" s="38">
        <v>295.5001086468418</v>
      </c>
      <c r="E22" s="38">
        <v>433.90218229978967</v>
      </c>
      <c r="F22" s="38">
        <v>98.947053358008461</v>
      </c>
      <c r="G22" s="38">
        <v>135.65563963513779</v>
      </c>
      <c r="H22" s="38">
        <v>200.9141302862719</v>
      </c>
      <c r="I22" s="38">
        <v>292.6351514512296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149.5608817145243</v>
      </c>
      <c r="C23" s="38">
        <v>209.04026609377959</v>
      </c>
      <c r="D23" s="38">
        <v>311.64269032949937</v>
      </c>
      <c r="E23" s="38">
        <v>463.68757632468117</v>
      </c>
      <c r="F23" s="38">
        <v>99.69215271174761</v>
      </c>
      <c r="G23" s="38">
        <v>139.1129950217811</v>
      </c>
      <c r="H23" s="38">
        <v>207.38083402783221</v>
      </c>
      <c r="I23" s="38">
        <v>305.47999171546837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98</v>
      </c>
      <c r="C1" s="38" t="s">
        <v>98</v>
      </c>
      <c r="D1" s="38" t="s">
        <v>98</v>
      </c>
      <c r="E1" s="38" t="s">
        <v>98</v>
      </c>
      <c r="F1" s="38" t="s">
        <v>99</v>
      </c>
      <c r="G1" s="38" t="s">
        <v>99</v>
      </c>
      <c r="H1" s="38" t="s">
        <v>99</v>
      </c>
      <c r="I1" s="38" t="s">
        <v>99</v>
      </c>
      <c r="J1" s="38" t="s">
        <v>100</v>
      </c>
      <c r="K1" s="38" t="s">
        <v>100</v>
      </c>
      <c r="L1" s="38" t="s">
        <v>100</v>
      </c>
      <c r="M1" s="38" t="s">
        <v>100</v>
      </c>
      <c r="N1" s="38" t="s">
        <v>101</v>
      </c>
      <c r="O1" s="38" t="s">
        <v>101</v>
      </c>
      <c r="P1" s="38" t="s">
        <v>101</v>
      </c>
      <c r="Q1" s="38" t="s">
        <v>101</v>
      </c>
    </row>
    <row r="2" spans="1:17" x14ac:dyDescent="0.2">
      <c r="A2" s="38"/>
      <c r="B2" s="38" t="s">
        <v>102</v>
      </c>
      <c r="C2" s="38" t="s">
        <v>103</v>
      </c>
      <c r="D2" s="38" t="s">
        <v>104</v>
      </c>
      <c r="E2" s="38" t="s">
        <v>105</v>
      </c>
      <c r="F2" s="38" t="s">
        <v>102</v>
      </c>
      <c r="G2" s="38" t="s">
        <v>103</v>
      </c>
      <c r="H2" s="38" t="s">
        <v>104</v>
      </c>
      <c r="I2" s="38" t="s">
        <v>105</v>
      </c>
      <c r="J2" s="38" t="s">
        <v>102</v>
      </c>
      <c r="K2" s="38" t="s">
        <v>103</v>
      </c>
      <c r="L2" s="38" t="s">
        <v>104</v>
      </c>
      <c r="M2" s="38" t="s">
        <v>105</v>
      </c>
      <c r="N2" s="38" t="s">
        <v>102</v>
      </c>
      <c r="O2" s="38" t="s">
        <v>103</v>
      </c>
      <c r="P2" s="38" t="s">
        <v>104</v>
      </c>
      <c r="Q2" s="38" t="s">
        <v>105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90.143957107971985</v>
      </c>
      <c r="C4" s="38">
        <v>99.296272658160191</v>
      </c>
      <c r="D4" s="38">
        <v>108.46120234424571</v>
      </c>
      <c r="E4" s="38">
        <v>117.41214524717731</v>
      </c>
      <c r="F4" s="38">
        <v>87.077528035288935</v>
      </c>
      <c r="G4" s="38">
        <v>96.816436482358881</v>
      </c>
      <c r="H4" s="38">
        <v>106.1168857159653</v>
      </c>
      <c r="I4" s="38">
        <v>115.1628451716405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92.904963506072917</v>
      </c>
      <c r="C5" s="38">
        <v>103.2221696981769</v>
      </c>
      <c r="D5" s="38">
        <v>116.801667955049</v>
      </c>
      <c r="E5" s="38">
        <v>129.75208325597819</v>
      </c>
      <c r="F5" s="38">
        <v>87.580068149039803</v>
      </c>
      <c r="G5" s="38">
        <v>98.021360842556874</v>
      </c>
      <c r="H5" s="38">
        <v>111.6222891837357</v>
      </c>
      <c r="I5" s="38">
        <v>124.489188437469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95.867022553512115</v>
      </c>
      <c r="C6" s="38">
        <v>109.0038194943901</v>
      </c>
      <c r="D6" s="38">
        <v>125.25322135789411</v>
      </c>
      <c r="E6" s="38">
        <v>142.24780483796161</v>
      </c>
      <c r="F6" s="38">
        <v>88.479851487841515</v>
      </c>
      <c r="G6" s="38">
        <v>101.1849829284991</v>
      </c>
      <c r="H6" s="38">
        <v>117.1289827130398</v>
      </c>
      <c r="I6" s="38">
        <v>133.67474253249611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97.698127422467351</v>
      </c>
      <c r="C7" s="38">
        <v>113.8286040710759</v>
      </c>
      <c r="D7" s="38">
        <v>134.80107872739671</v>
      </c>
      <c r="E7" s="38">
        <v>157.18477470710971</v>
      </c>
      <c r="F7" s="38">
        <v>88.372382313965744</v>
      </c>
      <c r="G7" s="38">
        <v>103.3540826468036</v>
      </c>
      <c r="H7" s="38">
        <v>123.450650488004</v>
      </c>
      <c r="I7" s="38">
        <v>144.66425957411539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100.9960292008782</v>
      </c>
      <c r="C8" s="38">
        <v>119.9784462149747</v>
      </c>
      <c r="D8" s="38">
        <v>145.39875008092119</v>
      </c>
      <c r="E8" s="38">
        <v>173.22714010015761</v>
      </c>
      <c r="F8" s="38">
        <v>89.293012482695318</v>
      </c>
      <c r="G8" s="38">
        <v>106.502329943425</v>
      </c>
      <c r="H8" s="38">
        <v>130.20117148819151</v>
      </c>
      <c r="I8" s="38">
        <v>156.23787905275529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104.10960045370371</v>
      </c>
      <c r="C9" s="38">
        <v>126.4030304196294</v>
      </c>
      <c r="D9" s="38">
        <v>156.22810662100619</v>
      </c>
      <c r="E9" s="38">
        <v>189.62018182709389</v>
      </c>
      <c r="F9" s="38">
        <v>90.333539435934071</v>
      </c>
      <c r="G9" s="38">
        <v>109.7806231327113</v>
      </c>
      <c r="H9" s="38">
        <v>136.95910814904519</v>
      </c>
      <c r="I9" s="38">
        <v>167.43287587308549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104.789050857991</v>
      </c>
      <c r="C10" s="38">
        <v>131.4146492525621</v>
      </c>
      <c r="D10" s="38">
        <v>167.08035503949381</v>
      </c>
      <c r="E10" s="38">
        <v>207.56664759867181</v>
      </c>
      <c r="F10" s="38">
        <v>89.346029838770775</v>
      </c>
      <c r="G10" s="38">
        <v>112.0302367651645</v>
      </c>
      <c r="H10" s="38">
        <v>143.59019522747991</v>
      </c>
      <c r="I10" s="38">
        <v>179.43148748667889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106.8869276454337</v>
      </c>
      <c r="C11" s="38">
        <v>136.81305549632401</v>
      </c>
      <c r="D11" s="38">
        <v>178.54993207595811</v>
      </c>
      <c r="E11" s="38">
        <v>226.3585817371239</v>
      </c>
      <c r="F11" s="38">
        <v>89.667657903632161</v>
      </c>
      <c r="G11" s="38">
        <v>114.37895868530239</v>
      </c>
      <c r="H11" s="38">
        <v>150.37683769743921</v>
      </c>
      <c r="I11" s="38">
        <v>191.78579354237311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107.5977597905497</v>
      </c>
      <c r="C12" s="38">
        <v>141.8462352489843</v>
      </c>
      <c r="D12" s="38">
        <v>189.9471720839434</v>
      </c>
      <c r="E12" s="38">
        <v>246.42007956934179</v>
      </c>
      <c r="F12" s="38">
        <v>89.151397432375504</v>
      </c>
      <c r="G12" s="38">
        <v>116.33160304814049</v>
      </c>
      <c r="H12" s="38">
        <v>156.66048215812739</v>
      </c>
      <c r="I12" s="38">
        <v>205.32526817561271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110.9317994006458</v>
      </c>
      <c r="C13" s="38">
        <v>148.14570647272851</v>
      </c>
      <c r="D13" s="38">
        <v>202.1994818284854</v>
      </c>
      <c r="E13" s="38">
        <v>267.89127093974702</v>
      </c>
      <c r="F13" s="38">
        <v>89.088321815211302</v>
      </c>
      <c r="G13" s="38">
        <v>119.20274187367269</v>
      </c>
      <c r="H13" s="38">
        <v>163.28072044404169</v>
      </c>
      <c r="I13" s="38">
        <v>218.5306845986955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113.12090417191099</v>
      </c>
      <c r="C14" s="38">
        <v>154.60565043625309</v>
      </c>
      <c r="D14" s="38">
        <v>214.83607339595781</v>
      </c>
      <c r="E14" s="38">
        <v>290.39333566958538</v>
      </c>
      <c r="F14" s="38">
        <v>89.773348351052846</v>
      </c>
      <c r="G14" s="38">
        <v>121.6778523095623</v>
      </c>
      <c r="H14" s="38">
        <v>170.11897358691661</v>
      </c>
      <c r="I14" s="38">
        <v>231.72916148373781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116.4279372380679</v>
      </c>
      <c r="C15" s="38">
        <v>160.8119553373671</v>
      </c>
      <c r="D15" s="38">
        <v>227.74927808811489</v>
      </c>
      <c r="E15" s="38">
        <v>315.62135313101459</v>
      </c>
      <c r="F15" s="38">
        <v>90.7997020502401</v>
      </c>
      <c r="G15" s="38">
        <v>124.31207485491051</v>
      </c>
      <c r="H15" s="38">
        <v>177.03272870183241</v>
      </c>
      <c r="I15" s="38">
        <v>246.86754688625001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120.022366781676</v>
      </c>
      <c r="C16" s="38">
        <v>167.63600984971049</v>
      </c>
      <c r="D16" s="38">
        <v>242.08022414711439</v>
      </c>
      <c r="E16" s="38">
        <v>340.09679039578282</v>
      </c>
      <c r="F16" s="38">
        <v>91.42377839016811</v>
      </c>
      <c r="G16" s="38">
        <v>127.1222484382298</v>
      </c>
      <c r="H16" s="38">
        <v>184.582532400784</v>
      </c>
      <c r="I16" s="38">
        <v>261.57461694786082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123.031218887959</v>
      </c>
      <c r="C17" s="38">
        <v>175.12945270086001</v>
      </c>
      <c r="D17" s="38">
        <v>257.11931324706222</v>
      </c>
      <c r="E17" s="38">
        <v>369.39270068318871</v>
      </c>
      <c r="F17" s="38">
        <v>92.049717800125336</v>
      </c>
      <c r="G17" s="38">
        <v>130.3235736436722</v>
      </c>
      <c r="H17" s="38">
        <v>192.27939475539051</v>
      </c>
      <c r="I17" s="38">
        <v>277.51763008757428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126.7393421616389</v>
      </c>
      <c r="C18" s="38">
        <v>182.498812200022</v>
      </c>
      <c r="D18" s="38">
        <v>272.7976941438327</v>
      </c>
      <c r="E18" s="38">
        <v>399.97280071926372</v>
      </c>
      <c r="F18" s="38">
        <v>93.788502192068762</v>
      </c>
      <c r="G18" s="38">
        <v>133.22850360815929</v>
      </c>
      <c r="H18" s="38">
        <v>199.615281048914</v>
      </c>
      <c r="I18" s="38">
        <v>294.38843697195648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129.72405230441771</v>
      </c>
      <c r="C19" s="38">
        <v>190.6223576179743</v>
      </c>
      <c r="D19" s="38">
        <v>289.39385470208799</v>
      </c>
      <c r="E19" s="38">
        <v>432.76502063312228</v>
      </c>
      <c r="F19" s="38">
        <v>94.096592425774048</v>
      </c>
      <c r="G19" s="38">
        <v>136.38140798198819</v>
      </c>
      <c r="H19" s="38">
        <v>208.2726614246628</v>
      </c>
      <c r="I19" s="38">
        <v>311.78029272938028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135.27400390370451</v>
      </c>
      <c r="C20" s="38">
        <v>199.14673398061581</v>
      </c>
      <c r="D20" s="38">
        <v>307.01023235240871</v>
      </c>
      <c r="E20" s="38">
        <v>467.29698931805592</v>
      </c>
      <c r="F20" s="38">
        <v>96.084798726812707</v>
      </c>
      <c r="G20" s="38">
        <v>139.7507838441723</v>
      </c>
      <c r="H20" s="38">
        <v>216.53704508191589</v>
      </c>
      <c r="I20" s="38">
        <v>329.85693326526228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140.82138375656379</v>
      </c>
      <c r="C21" s="38">
        <v>207.86228245370799</v>
      </c>
      <c r="D21" s="38">
        <v>326.4090381958066</v>
      </c>
      <c r="E21" s="38">
        <v>504.35970328644129</v>
      </c>
      <c r="F21" s="38">
        <v>97.330325862385621</v>
      </c>
      <c r="G21" s="38">
        <v>142.76909847087879</v>
      </c>
      <c r="H21" s="38">
        <v>226.02723883231209</v>
      </c>
      <c r="I21" s="38">
        <v>348.61580932835147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146.34031448291719</v>
      </c>
      <c r="C22" s="38">
        <v>217.2172359237147</v>
      </c>
      <c r="D22" s="38">
        <v>346.50071710512168</v>
      </c>
      <c r="E22" s="38">
        <v>541.8546210781991</v>
      </c>
      <c r="F22" s="38">
        <v>99.585290896025498</v>
      </c>
      <c r="G22" s="38">
        <v>146.31016039372051</v>
      </c>
      <c r="H22" s="38">
        <v>235.78161589603189</v>
      </c>
      <c r="I22" s="38">
        <v>366.85005584739997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150.74441394055091</v>
      </c>
      <c r="C23" s="38">
        <v>227.237381046271</v>
      </c>
      <c r="D23" s="38">
        <v>368.87926122239338</v>
      </c>
      <c r="E23" s="38">
        <v>584.88415181245387</v>
      </c>
      <c r="F23" s="38">
        <v>100.81516531247139</v>
      </c>
      <c r="G23" s="38">
        <v>150.54649089282151</v>
      </c>
      <c r="H23" s="38">
        <v>245.6576278776715</v>
      </c>
      <c r="I23" s="38">
        <v>387.61513503736319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23"/>
  <sheetViews>
    <sheetView workbookViewId="0"/>
  </sheetViews>
  <sheetFormatPr baseColWidth="10" defaultColWidth="8.83203125" defaultRowHeight="15" x14ac:dyDescent="0.2"/>
  <sheetData>
    <row r="1" spans="1:17" x14ac:dyDescent="0.2">
      <c r="A1" s="38"/>
      <c r="B1" s="38" t="s">
        <v>98</v>
      </c>
      <c r="C1" s="38" t="s">
        <v>98</v>
      </c>
      <c r="D1" s="38" t="s">
        <v>98</v>
      </c>
      <c r="E1" s="38" t="s">
        <v>98</v>
      </c>
      <c r="F1" s="38" t="s">
        <v>99</v>
      </c>
      <c r="G1" s="38" t="s">
        <v>99</v>
      </c>
      <c r="H1" s="38" t="s">
        <v>99</v>
      </c>
      <c r="I1" s="38" t="s">
        <v>99</v>
      </c>
      <c r="J1" s="38" t="s">
        <v>100</v>
      </c>
      <c r="K1" s="38" t="s">
        <v>100</v>
      </c>
      <c r="L1" s="38" t="s">
        <v>100</v>
      </c>
      <c r="M1" s="38" t="s">
        <v>100</v>
      </c>
      <c r="N1" s="38" t="s">
        <v>101</v>
      </c>
      <c r="O1" s="38" t="s">
        <v>101</v>
      </c>
      <c r="P1" s="38" t="s">
        <v>101</v>
      </c>
      <c r="Q1" s="38" t="s">
        <v>101</v>
      </c>
    </row>
    <row r="2" spans="1:17" x14ac:dyDescent="0.2">
      <c r="A2" s="38"/>
      <c r="B2" s="38" t="s">
        <v>102</v>
      </c>
      <c r="C2" s="38" t="s">
        <v>103</v>
      </c>
      <c r="D2" s="38" t="s">
        <v>104</v>
      </c>
      <c r="E2" s="38" t="s">
        <v>105</v>
      </c>
      <c r="F2" s="38" t="s">
        <v>102</v>
      </c>
      <c r="G2" s="38" t="s">
        <v>103</v>
      </c>
      <c r="H2" s="38" t="s">
        <v>104</v>
      </c>
      <c r="I2" s="38" t="s">
        <v>105</v>
      </c>
      <c r="J2" s="38" t="s">
        <v>102</v>
      </c>
      <c r="K2" s="38" t="s">
        <v>103</v>
      </c>
      <c r="L2" s="38" t="s">
        <v>104</v>
      </c>
      <c r="M2" s="38" t="s">
        <v>105</v>
      </c>
      <c r="N2" s="38" t="s">
        <v>102</v>
      </c>
      <c r="O2" s="38" t="s">
        <v>103</v>
      </c>
      <c r="P2" s="38" t="s">
        <v>104</v>
      </c>
      <c r="Q2" s="38" t="s">
        <v>105</v>
      </c>
    </row>
    <row r="3" spans="1:17" x14ac:dyDescent="0.2">
      <c r="A3" s="38">
        <v>0</v>
      </c>
      <c r="B3" s="38">
        <v>100</v>
      </c>
      <c r="C3" s="38">
        <v>100</v>
      </c>
      <c r="D3" s="38">
        <v>100</v>
      </c>
      <c r="E3" s="38">
        <v>100</v>
      </c>
      <c r="F3" s="38">
        <v>100</v>
      </c>
      <c r="G3" s="38">
        <v>100</v>
      </c>
      <c r="H3" s="38">
        <v>100</v>
      </c>
      <c r="I3" s="38">
        <v>100</v>
      </c>
      <c r="J3" s="38">
        <v>0</v>
      </c>
      <c r="K3" s="38">
        <v>0</v>
      </c>
      <c r="L3" s="38">
        <v>0</v>
      </c>
      <c r="M3" s="38">
        <v>0</v>
      </c>
      <c r="N3" s="38">
        <v>0</v>
      </c>
      <c r="O3" s="38">
        <v>0</v>
      </c>
      <c r="P3" s="38">
        <v>0</v>
      </c>
      <c r="Q3" s="38">
        <v>0</v>
      </c>
    </row>
    <row r="4" spans="1:17" x14ac:dyDescent="0.2">
      <c r="A4" s="38">
        <v>1</v>
      </c>
      <c r="B4" s="38">
        <v>87.740045225763922</v>
      </c>
      <c r="C4" s="38">
        <v>98.270762978514071</v>
      </c>
      <c r="D4" s="38">
        <v>108.6750780454977</v>
      </c>
      <c r="E4" s="38">
        <v>118.6769539878881</v>
      </c>
      <c r="F4" s="38">
        <v>84.701098859355795</v>
      </c>
      <c r="G4" s="38">
        <v>95.813942179317706</v>
      </c>
      <c r="H4" s="38">
        <v>106.3064544126122</v>
      </c>
      <c r="I4" s="38">
        <v>116.3910321563381</v>
      </c>
      <c r="J4" s="38">
        <v>0</v>
      </c>
      <c r="K4" s="38">
        <v>0</v>
      </c>
      <c r="L4" s="38">
        <v>0</v>
      </c>
      <c r="M4" s="38">
        <v>0</v>
      </c>
      <c r="N4" s="38">
        <v>0</v>
      </c>
      <c r="O4" s="38">
        <v>0</v>
      </c>
      <c r="P4" s="38">
        <v>0</v>
      </c>
      <c r="Q4" s="38">
        <v>0</v>
      </c>
    </row>
    <row r="5" spans="1:17" x14ac:dyDescent="0.2">
      <c r="A5" s="38">
        <v>2</v>
      </c>
      <c r="B5" s="38">
        <v>90.189715852104058</v>
      </c>
      <c r="C5" s="38">
        <v>101.5000999986687</v>
      </c>
      <c r="D5" s="38">
        <v>117.6027879254457</v>
      </c>
      <c r="E5" s="38">
        <v>131.89228561014519</v>
      </c>
      <c r="F5" s="38">
        <v>84.897034777167164</v>
      </c>
      <c r="G5" s="38">
        <v>96.299128128373241</v>
      </c>
      <c r="H5" s="38">
        <v>112.34587535593209</v>
      </c>
      <c r="I5" s="38">
        <v>126.62972557886</v>
      </c>
      <c r="J5" s="38">
        <v>0</v>
      </c>
      <c r="K5" s="38">
        <v>0</v>
      </c>
      <c r="L5" s="38">
        <v>0</v>
      </c>
      <c r="M5" s="38">
        <v>0</v>
      </c>
      <c r="N5" s="38">
        <v>0</v>
      </c>
      <c r="O5" s="38">
        <v>0</v>
      </c>
      <c r="P5" s="38">
        <v>0</v>
      </c>
      <c r="Q5" s="38">
        <v>0</v>
      </c>
    </row>
    <row r="6" spans="1:17" x14ac:dyDescent="0.2">
      <c r="A6" s="38">
        <v>3</v>
      </c>
      <c r="B6" s="38">
        <v>92.68922672050131</v>
      </c>
      <c r="C6" s="38">
        <v>107.3598376588655</v>
      </c>
      <c r="D6" s="38">
        <v>126.30764523719969</v>
      </c>
      <c r="E6" s="38">
        <v>145.04094175514521</v>
      </c>
      <c r="F6" s="38">
        <v>85.207158958524744</v>
      </c>
      <c r="G6" s="38">
        <v>99.57978380775485</v>
      </c>
      <c r="H6" s="38">
        <v>118.1476613378495</v>
      </c>
      <c r="I6" s="38">
        <v>136.37356683048449</v>
      </c>
      <c r="J6" s="38">
        <v>0</v>
      </c>
      <c r="K6" s="38">
        <v>0</v>
      </c>
      <c r="L6" s="38">
        <v>0</v>
      </c>
      <c r="M6" s="38">
        <v>0</v>
      </c>
      <c r="N6" s="38">
        <v>0</v>
      </c>
      <c r="O6" s="38">
        <v>0</v>
      </c>
      <c r="P6" s="38">
        <v>0</v>
      </c>
      <c r="Q6" s="38">
        <v>0</v>
      </c>
    </row>
    <row r="7" spans="1:17" x14ac:dyDescent="0.2">
      <c r="A7" s="38">
        <v>4</v>
      </c>
      <c r="B7" s="38">
        <v>94.077190559017765</v>
      </c>
      <c r="C7" s="38">
        <v>111.7962037471523</v>
      </c>
      <c r="D7" s="38">
        <v>135.41052898910641</v>
      </c>
      <c r="E7" s="38">
        <v>160.23349186038629</v>
      </c>
      <c r="F7" s="38">
        <v>84.735584184597954</v>
      </c>
      <c r="G7" s="38">
        <v>101.3976838875632</v>
      </c>
      <c r="H7" s="38">
        <v>124.0250373267764</v>
      </c>
      <c r="I7" s="38">
        <v>147.6094568455901</v>
      </c>
      <c r="J7" s="38">
        <v>0</v>
      </c>
      <c r="K7" s="38">
        <v>0</v>
      </c>
      <c r="L7" s="38">
        <v>0</v>
      </c>
      <c r="M7" s="38">
        <v>0</v>
      </c>
      <c r="N7" s="38">
        <v>0</v>
      </c>
      <c r="O7" s="38">
        <v>0</v>
      </c>
      <c r="P7" s="38">
        <v>0</v>
      </c>
      <c r="Q7" s="38">
        <v>0</v>
      </c>
    </row>
    <row r="8" spans="1:17" x14ac:dyDescent="0.2">
      <c r="A8" s="38">
        <v>5</v>
      </c>
      <c r="B8" s="38">
        <v>97.111906218690677</v>
      </c>
      <c r="C8" s="38">
        <v>117.4202102013746</v>
      </c>
      <c r="D8" s="38">
        <v>145.23379844870939</v>
      </c>
      <c r="E8" s="38">
        <v>176.21298940871691</v>
      </c>
      <c r="F8" s="38">
        <v>85.59778020049167</v>
      </c>
      <c r="G8" s="38">
        <v>104.10595418450541</v>
      </c>
      <c r="H8" s="38">
        <v>130.21404390333771</v>
      </c>
      <c r="I8" s="38">
        <v>159.06788368250329</v>
      </c>
      <c r="J8" s="38">
        <v>0</v>
      </c>
      <c r="K8" s="38">
        <v>0</v>
      </c>
      <c r="L8" s="38">
        <v>0</v>
      </c>
      <c r="M8" s="38">
        <v>0</v>
      </c>
      <c r="N8" s="38">
        <v>0</v>
      </c>
      <c r="O8" s="38">
        <v>0</v>
      </c>
      <c r="P8" s="38">
        <v>0</v>
      </c>
      <c r="Q8" s="38">
        <v>0</v>
      </c>
    </row>
    <row r="9" spans="1:17" x14ac:dyDescent="0.2">
      <c r="A9" s="38">
        <v>6</v>
      </c>
      <c r="B9" s="38">
        <v>100.0310269876682</v>
      </c>
      <c r="C9" s="38">
        <v>123.31649651400549</v>
      </c>
      <c r="D9" s="38">
        <v>155.67772180917709</v>
      </c>
      <c r="E9" s="38">
        <v>192.16303170916481</v>
      </c>
      <c r="F9" s="38">
        <v>86.431190460603702</v>
      </c>
      <c r="G9" s="38">
        <v>106.7880789166848</v>
      </c>
      <c r="H9" s="38">
        <v>136.56955115964141</v>
      </c>
      <c r="I9" s="38">
        <v>170.16186964441181</v>
      </c>
      <c r="J9" s="38">
        <v>0</v>
      </c>
      <c r="K9" s="38">
        <v>0</v>
      </c>
      <c r="L9" s="38">
        <v>0</v>
      </c>
      <c r="M9" s="38">
        <v>0</v>
      </c>
      <c r="N9" s="38">
        <v>0</v>
      </c>
      <c r="O9" s="38">
        <v>0</v>
      </c>
      <c r="P9" s="38">
        <v>0</v>
      </c>
      <c r="Q9" s="38">
        <v>0</v>
      </c>
    </row>
    <row r="10" spans="1:17" x14ac:dyDescent="0.2">
      <c r="A10" s="38">
        <v>7</v>
      </c>
      <c r="B10" s="38">
        <v>101.1184302571837</v>
      </c>
      <c r="C10" s="38">
        <v>127.27231218820221</v>
      </c>
      <c r="D10" s="38">
        <v>165.16670304770321</v>
      </c>
      <c r="E10" s="38">
        <v>208.91151747729009</v>
      </c>
      <c r="F10" s="38">
        <v>85.235289948051758</v>
      </c>
      <c r="G10" s="38">
        <v>108.1328252729293</v>
      </c>
      <c r="H10" s="38">
        <v>142.07151666741859</v>
      </c>
      <c r="I10" s="38">
        <v>181.34622669004241</v>
      </c>
      <c r="J10" s="38">
        <v>0</v>
      </c>
      <c r="K10" s="38">
        <v>0</v>
      </c>
      <c r="L10" s="38">
        <v>0</v>
      </c>
      <c r="M10" s="38">
        <v>0</v>
      </c>
      <c r="N10" s="38">
        <v>0</v>
      </c>
      <c r="O10" s="38">
        <v>0</v>
      </c>
      <c r="P10" s="38">
        <v>0</v>
      </c>
      <c r="Q10" s="38">
        <v>0</v>
      </c>
    </row>
    <row r="11" spans="1:17" x14ac:dyDescent="0.2">
      <c r="A11" s="38">
        <v>8</v>
      </c>
      <c r="B11" s="38">
        <v>101.89092486398449</v>
      </c>
      <c r="C11" s="38">
        <v>131.7520291816648</v>
      </c>
      <c r="D11" s="38">
        <v>174.7639401206076</v>
      </c>
      <c r="E11" s="38">
        <v>225.97978857335491</v>
      </c>
      <c r="F11" s="38">
        <v>84.483315942616343</v>
      </c>
      <c r="G11" s="38">
        <v>109.8394374215391</v>
      </c>
      <c r="H11" s="38">
        <v>147.44497981580099</v>
      </c>
      <c r="I11" s="38">
        <v>192.08806676380249</v>
      </c>
      <c r="J11" s="38">
        <v>0</v>
      </c>
      <c r="K11" s="38">
        <v>0</v>
      </c>
      <c r="L11" s="38">
        <v>0</v>
      </c>
      <c r="M11" s="38">
        <v>0</v>
      </c>
      <c r="N11" s="38">
        <v>0</v>
      </c>
      <c r="O11" s="38">
        <v>0</v>
      </c>
      <c r="P11" s="38">
        <v>0</v>
      </c>
      <c r="Q11" s="38">
        <v>0</v>
      </c>
    </row>
    <row r="12" spans="1:17" x14ac:dyDescent="0.2">
      <c r="A12" s="38">
        <v>9</v>
      </c>
      <c r="B12" s="38">
        <v>103.2412353300729</v>
      </c>
      <c r="C12" s="38">
        <v>135.66510294186401</v>
      </c>
      <c r="D12" s="38">
        <v>184.69585167374069</v>
      </c>
      <c r="E12" s="38">
        <v>243.90544993590481</v>
      </c>
      <c r="F12" s="38">
        <v>84.128071505902682</v>
      </c>
      <c r="G12" s="38">
        <v>110.73071088886179</v>
      </c>
      <c r="H12" s="38">
        <v>152.63286487671601</v>
      </c>
      <c r="I12" s="38">
        <v>203.6322708889906</v>
      </c>
      <c r="J12" s="38">
        <v>0</v>
      </c>
      <c r="K12" s="38">
        <v>0</v>
      </c>
      <c r="L12" s="38">
        <v>0</v>
      </c>
      <c r="M12" s="38">
        <v>0</v>
      </c>
      <c r="N12" s="38">
        <v>0</v>
      </c>
      <c r="O12" s="38">
        <v>0</v>
      </c>
      <c r="P12" s="38">
        <v>0</v>
      </c>
      <c r="Q12" s="38">
        <v>0</v>
      </c>
    </row>
    <row r="13" spans="1:17" x14ac:dyDescent="0.2">
      <c r="A13" s="38">
        <v>10</v>
      </c>
      <c r="B13" s="38">
        <v>104.7287758585534</v>
      </c>
      <c r="C13" s="38">
        <v>140.71806011689691</v>
      </c>
      <c r="D13" s="38">
        <v>194.89982439694239</v>
      </c>
      <c r="E13" s="38">
        <v>263.42095242312053</v>
      </c>
      <c r="F13" s="38">
        <v>83.842779862198796</v>
      </c>
      <c r="G13" s="38">
        <v>112.57707572353981</v>
      </c>
      <c r="H13" s="38">
        <v>157.4496782849956</v>
      </c>
      <c r="I13" s="38">
        <v>215.19402928956691</v>
      </c>
      <c r="J13" s="38">
        <v>0</v>
      </c>
      <c r="K13" s="38">
        <v>0</v>
      </c>
      <c r="L13" s="38">
        <v>0</v>
      </c>
      <c r="M13" s="38">
        <v>0</v>
      </c>
      <c r="N13" s="38">
        <v>0</v>
      </c>
      <c r="O13" s="38">
        <v>0</v>
      </c>
      <c r="P13" s="38">
        <v>0</v>
      </c>
      <c r="Q13" s="38">
        <v>0</v>
      </c>
    </row>
    <row r="14" spans="1:17" x14ac:dyDescent="0.2">
      <c r="A14" s="38">
        <v>11</v>
      </c>
      <c r="B14" s="38">
        <v>106.860546345269</v>
      </c>
      <c r="C14" s="38">
        <v>145.73581588503259</v>
      </c>
      <c r="D14" s="38">
        <v>205.16183603160849</v>
      </c>
      <c r="E14" s="38">
        <v>283.25890253291999</v>
      </c>
      <c r="F14" s="38">
        <v>83.259362609418403</v>
      </c>
      <c r="G14" s="38">
        <v>114.2587804194458</v>
      </c>
      <c r="H14" s="38">
        <v>162.80501431261479</v>
      </c>
      <c r="I14" s="38">
        <v>227.12856259194891</v>
      </c>
      <c r="J14" s="38">
        <v>0</v>
      </c>
      <c r="K14" s="38">
        <v>0</v>
      </c>
      <c r="L14" s="38">
        <v>0</v>
      </c>
      <c r="M14" s="38">
        <v>0</v>
      </c>
      <c r="N14" s="38">
        <v>0</v>
      </c>
      <c r="O14" s="38">
        <v>0</v>
      </c>
      <c r="P14" s="38">
        <v>0</v>
      </c>
      <c r="Q14" s="38">
        <v>0</v>
      </c>
    </row>
    <row r="15" spans="1:17" x14ac:dyDescent="0.2">
      <c r="A15" s="38">
        <v>12</v>
      </c>
      <c r="B15" s="38">
        <v>108.33801863765279</v>
      </c>
      <c r="C15" s="38">
        <v>151.1500106593366</v>
      </c>
      <c r="D15" s="38">
        <v>216.14186844487341</v>
      </c>
      <c r="E15" s="38">
        <v>304.34743828700073</v>
      </c>
      <c r="F15" s="38">
        <v>83.583058402900775</v>
      </c>
      <c r="G15" s="38">
        <v>116.0441500726765</v>
      </c>
      <c r="H15" s="38">
        <v>168.2130514188255</v>
      </c>
      <c r="I15" s="38">
        <v>239.40315494301461</v>
      </c>
      <c r="J15" s="38">
        <v>0</v>
      </c>
      <c r="K15" s="38">
        <v>0</v>
      </c>
      <c r="L15" s="38">
        <v>0</v>
      </c>
      <c r="M15" s="38">
        <v>0</v>
      </c>
      <c r="N15" s="38">
        <v>0</v>
      </c>
      <c r="O15" s="38">
        <v>0</v>
      </c>
      <c r="P15" s="38">
        <v>0</v>
      </c>
      <c r="Q15" s="38">
        <v>0</v>
      </c>
    </row>
    <row r="16" spans="1:17" x14ac:dyDescent="0.2">
      <c r="A16" s="38">
        <v>13</v>
      </c>
      <c r="B16" s="38">
        <v>110.08182651413161</v>
      </c>
      <c r="C16" s="38">
        <v>155.77396192726951</v>
      </c>
      <c r="D16" s="38">
        <v>227.90782055916779</v>
      </c>
      <c r="E16" s="38">
        <v>326.42896179140871</v>
      </c>
      <c r="F16" s="38">
        <v>82.865751775723822</v>
      </c>
      <c r="G16" s="38">
        <v>117.51086495367591</v>
      </c>
      <c r="H16" s="38">
        <v>174.17355820896299</v>
      </c>
      <c r="I16" s="38">
        <v>252.4314774263913</v>
      </c>
      <c r="J16" s="38">
        <v>0</v>
      </c>
      <c r="K16" s="38">
        <v>0</v>
      </c>
      <c r="L16" s="38">
        <v>0</v>
      </c>
      <c r="M16" s="38">
        <v>0</v>
      </c>
      <c r="N16" s="38">
        <v>0</v>
      </c>
      <c r="O16" s="38">
        <v>0</v>
      </c>
      <c r="P16" s="38">
        <v>0</v>
      </c>
      <c r="Q16" s="38">
        <v>0</v>
      </c>
    </row>
    <row r="17" spans="1:17" x14ac:dyDescent="0.2">
      <c r="A17" s="38">
        <v>14</v>
      </c>
      <c r="B17" s="38">
        <v>112.75650689415509</v>
      </c>
      <c r="C17" s="38">
        <v>161.33390375578489</v>
      </c>
      <c r="D17" s="38">
        <v>240.1702915050455</v>
      </c>
      <c r="E17" s="38">
        <v>350.67538884572139</v>
      </c>
      <c r="F17" s="38">
        <v>83.198367248775426</v>
      </c>
      <c r="G17" s="38">
        <v>119.24971297186769</v>
      </c>
      <c r="H17" s="38">
        <v>179.69012513104701</v>
      </c>
      <c r="I17" s="38">
        <v>265.64423998568782</v>
      </c>
      <c r="J17" s="38">
        <v>0</v>
      </c>
      <c r="K17" s="38">
        <v>0</v>
      </c>
      <c r="L17" s="38">
        <v>0</v>
      </c>
      <c r="M17" s="38">
        <v>0</v>
      </c>
      <c r="N17" s="38">
        <v>0</v>
      </c>
      <c r="O17" s="38">
        <v>0</v>
      </c>
      <c r="P17" s="38">
        <v>0</v>
      </c>
      <c r="Q17" s="38">
        <v>0</v>
      </c>
    </row>
    <row r="18" spans="1:17" x14ac:dyDescent="0.2">
      <c r="A18" s="38">
        <v>15</v>
      </c>
      <c r="B18" s="38">
        <v>115.11862368110221</v>
      </c>
      <c r="C18" s="38">
        <v>167.49284078382129</v>
      </c>
      <c r="D18" s="38">
        <v>252.40773704054621</v>
      </c>
      <c r="E18" s="38">
        <v>375.33332276688418</v>
      </c>
      <c r="F18" s="38">
        <v>83.98367798000038</v>
      </c>
      <c r="G18" s="38">
        <v>121.3471745861216</v>
      </c>
      <c r="H18" s="38">
        <v>185.41464478799929</v>
      </c>
      <c r="I18" s="38">
        <v>278.62005939395192</v>
      </c>
      <c r="J18" s="38">
        <v>0</v>
      </c>
      <c r="K18" s="38">
        <v>0</v>
      </c>
      <c r="L18" s="38">
        <v>0</v>
      </c>
      <c r="M18" s="38">
        <v>0</v>
      </c>
      <c r="N18" s="38">
        <v>0</v>
      </c>
      <c r="O18" s="38">
        <v>0</v>
      </c>
      <c r="P18" s="38">
        <v>0</v>
      </c>
      <c r="Q18" s="38">
        <v>0</v>
      </c>
    </row>
    <row r="19" spans="1:17" x14ac:dyDescent="0.2">
      <c r="A19" s="38">
        <v>16</v>
      </c>
      <c r="B19" s="38">
        <v>117.7807120096236</v>
      </c>
      <c r="C19" s="38">
        <v>173.33204581869509</v>
      </c>
      <c r="D19" s="38">
        <v>266.15265596192012</v>
      </c>
      <c r="E19" s="38">
        <v>404.24286893370891</v>
      </c>
      <c r="F19" s="38">
        <v>83.96187447607177</v>
      </c>
      <c r="G19" s="38">
        <v>123.19760504679159</v>
      </c>
      <c r="H19" s="38">
        <v>191.67381906832929</v>
      </c>
      <c r="I19" s="38">
        <v>293.8297419080713</v>
      </c>
      <c r="J19" s="38">
        <v>0</v>
      </c>
      <c r="K19" s="38">
        <v>0</v>
      </c>
      <c r="L19" s="38">
        <v>0</v>
      </c>
      <c r="M19" s="38">
        <v>0</v>
      </c>
      <c r="N19" s="38">
        <v>0</v>
      </c>
      <c r="O19" s="38">
        <v>0</v>
      </c>
      <c r="P19" s="38">
        <v>0</v>
      </c>
      <c r="Q19" s="38">
        <v>0</v>
      </c>
    </row>
    <row r="20" spans="1:17" x14ac:dyDescent="0.2">
      <c r="A20" s="38">
        <v>17</v>
      </c>
      <c r="B20" s="38">
        <v>121.1670335275014</v>
      </c>
      <c r="C20" s="38">
        <v>180.2502679508668</v>
      </c>
      <c r="D20" s="38">
        <v>280.0160670898041</v>
      </c>
      <c r="E20" s="38">
        <v>432.22756456782957</v>
      </c>
      <c r="F20" s="38">
        <v>84.61307638349399</v>
      </c>
      <c r="G20" s="38">
        <v>124.5712512229654</v>
      </c>
      <c r="H20" s="38">
        <v>197.3838758926758</v>
      </c>
      <c r="I20" s="38">
        <v>307.67677406901652</v>
      </c>
      <c r="J20" s="38">
        <v>0</v>
      </c>
      <c r="K20" s="38">
        <v>0</v>
      </c>
      <c r="L20" s="38">
        <v>0</v>
      </c>
      <c r="M20" s="38">
        <v>0</v>
      </c>
      <c r="N20" s="38">
        <v>0</v>
      </c>
      <c r="O20" s="38">
        <v>0</v>
      </c>
      <c r="P20" s="38">
        <v>0</v>
      </c>
      <c r="Q20" s="38">
        <v>0</v>
      </c>
    </row>
    <row r="21" spans="1:17" x14ac:dyDescent="0.2">
      <c r="A21" s="38">
        <v>18</v>
      </c>
      <c r="B21" s="38">
        <v>125.8606488978314</v>
      </c>
      <c r="C21" s="38">
        <v>186.4359686516222</v>
      </c>
      <c r="D21" s="38">
        <v>295.83210022642129</v>
      </c>
      <c r="E21" s="38">
        <v>462.65975873622801</v>
      </c>
      <c r="F21" s="38">
        <v>85.034966947806268</v>
      </c>
      <c r="G21" s="38">
        <v>127.1409391246934</v>
      </c>
      <c r="H21" s="38">
        <v>204.22001922686289</v>
      </c>
      <c r="I21" s="38">
        <v>321.93127708510548</v>
      </c>
      <c r="J21" s="38">
        <v>0</v>
      </c>
      <c r="K21" s="38">
        <v>0</v>
      </c>
      <c r="L21" s="38">
        <v>0</v>
      </c>
      <c r="M21" s="38">
        <v>0</v>
      </c>
      <c r="N21" s="38">
        <v>0</v>
      </c>
      <c r="O21" s="38">
        <v>0</v>
      </c>
      <c r="P21" s="38">
        <v>0</v>
      </c>
      <c r="Q21" s="38">
        <v>0</v>
      </c>
    </row>
    <row r="22" spans="1:17" x14ac:dyDescent="0.2">
      <c r="A22" s="38">
        <v>19</v>
      </c>
      <c r="B22" s="38">
        <v>129.58286062097761</v>
      </c>
      <c r="C22" s="38">
        <v>193.71390163751019</v>
      </c>
      <c r="D22" s="38">
        <v>311.58798625399999</v>
      </c>
      <c r="E22" s="38">
        <v>493.99599522357579</v>
      </c>
      <c r="F22" s="38">
        <v>86.047376906353378</v>
      </c>
      <c r="G22" s="38">
        <v>129.49346734374609</v>
      </c>
      <c r="H22" s="38">
        <v>211.7832100679818</v>
      </c>
      <c r="I22" s="38">
        <v>336.47187711094438</v>
      </c>
      <c r="J22" s="38">
        <v>0</v>
      </c>
      <c r="K22" s="38">
        <v>0</v>
      </c>
      <c r="L22" s="38">
        <v>0</v>
      </c>
      <c r="M22" s="38">
        <v>0</v>
      </c>
      <c r="N22" s="38">
        <v>0</v>
      </c>
      <c r="O22" s="38">
        <v>0</v>
      </c>
      <c r="P22" s="38">
        <v>0</v>
      </c>
      <c r="Q22" s="38">
        <v>0</v>
      </c>
    </row>
    <row r="23" spans="1:17" x14ac:dyDescent="0.2">
      <c r="A23" s="38">
        <v>20</v>
      </c>
      <c r="B23" s="38">
        <v>132.09846265019871</v>
      </c>
      <c r="C23" s="38">
        <v>201.24289232713849</v>
      </c>
      <c r="D23" s="38">
        <v>329.36103967211437</v>
      </c>
      <c r="E23" s="38">
        <v>526.73934280198637</v>
      </c>
      <c r="F23" s="38">
        <v>86.973501708694386</v>
      </c>
      <c r="G23" s="38">
        <v>131.6571546312328</v>
      </c>
      <c r="H23" s="38">
        <v>219.85721323512391</v>
      </c>
      <c r="I23" s="38">
        <v>352.65532608517123</v>
      </c>
      <c r="J23" s="38">
        <v>0</v>
      </c>
      <c r="K23" s="38">
        <v>0</v>
      </c>
      <c r="L23" s="38">
        <v>0</v>
      </c>
      <c r="M23" s="38">
        <v>0</v>
      </c>
      <c r="N23" s="38">
        <v>0</v>
      </c>
      <c r="O23" s="38">
        <v>0</v>
      </c>
      <c r="P23" s="38">
        <v>0</v>
      </c>
      <c r="Q23" s="38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portfolios</vt:lpstr>
      <vt:lpstr>risk_dashboard</vt:lpstr>
      <vt:lpstr>Sheet2</vt:lpstr>
      <vt:lpstr>Sheet1</vt:lpstr>
      <vt:lpstr>assumptions</vt:lpstr>
      <vt:lpstr>ws_Current_Portfolio</vt:lpstr>
      <vt:lpstr>ws_Volatility_Matched</vt:lpstr>
      <vt:lpstr>ws_CVaR_Matched</vt:lpstr>
      <vt:lpstr>ws_Return_Matched</vt:lpstr>
      <vt:lpstr>ws_Max_Drawdown_Matched</vt:lpstr>
      <vt:lpstr>ws_Volatility_Parity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2025-07-01T11:53:43Z</dcterms:created>
  <dcterms:modified xsi:type="dcterms:W3CDTF">2025-07-03T18:14:50Z</dcterms:modified>
</cp:coreProperties>
</file>