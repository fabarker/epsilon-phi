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Scripts/Case Studies/2. Optimizations/"/>
    </mc:Choice>
  </mc:AlternateContent>
  <xr:revisionPtr revIDLastSave="0" documentId="13_ncr:1_{41D1903F-7BC3-3B4B-BB58-B0F09FB4D4D6}" xr6:coauthVersionLast="47" xr6:coauthVersionMax="47" xr10:uidLastSave="{00000000-0000-0000-0000-000000000000}"/>
  <bookViews>
    <workbookView xWindow="0" yWindow="500" windowWidth="33600" windowHeight="19040" activeTab="1" xr2:uid="{00000000-000D-0000-FFFF-FFFF00000000}"/>
  </bookViews>
  <sheets>
    <sheet name="portfolios" sheetId="1" r:id="rId1"/>
    <sheet name="risk_dashboard" sheetId="2" r:id="rId2"/>
    <sheet name="assumptions" sheetId="3" r:id="rId3"/>
    <sheet name="ws_Current_Portfolio" sheetId="4" r:id="rId4"/>
    <sheet name="ws_CVaR_Constrained" sheetId="5" r:id="rId5"/>
    <sheet name="ws_CVaR_Constrained_(No_Privat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13" i="1"/>
  <c r="B13" i="1"/>
</calcChain>
</file>

<file path=xl/sharedStrings.xml><?xml version="1.0" encoding="utf-8"?>
<sst xmlns="http://schemas.openxmlformats.org/spreadsheetml/2006/main" count="259" uniqueCount="108">
  <si>
    <t>Current Portfolio</t>
  </si>
  <si>
    <t>CVaR Constrained</t>
  </si>
  <si>
    <t>Investment Grade Fixed Income</t>
  </si>
  <si>
    <t xml:space="preserve">  US Dollar Debt</t>
  </si>
  <si>
    <t xml:space="preserve">  US Short Duration Debt</t>
  </si>
  <si>
    <t xml:space="preserve">  US Inflation Protected Bonds</t>
  </si>
  <si>
    <t xml:space="preserve">  US Corporate Bonds</t>
  </si>
  <si>
    <t>Other Fixed Income</t>
  </si>
  <si>
    <t xml:space="preserve">  US High Yield</t>
  </si>
  <si>
    <t xml:space="preserve">  EM External Debt</t>
  </si>
  <si>
    <t>Public Equity</t>
  </si>
  <si>
    <t xml:space="preserve">  Global Equities (ACWI)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</si>
  <si>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</si>
  <si>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</si>
  <si>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</si>
  <si>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</si>
  <si>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</si>
  <si>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</si>
  <si>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</si>
  <si>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</si>
  <si>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</si>
  <si>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</si>
  <si>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</si>
  <si>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Multi-Strategy</t>
  </si>
  <si>
    <t xml:space="preserve">  Event Driven</t>
  </si>
  <si>
    <t xml:space="preserve">  Equity Long/Short</t>
  </si>
  <si>
    <t xml:space="preserve">  Tactical Trading</t>
  </si>
  <si>
    <t>Private Equity</t>
  </si>
  <si>
    <t xml:space="preserve">  Buyout</t>
  </si>
  <si>
    <t xml:space="preserve">  Growth</t>
  </si>
  <si>
    <t xml:space="preserve">  Venture</t>
  </si>
  <si>
    <t>Other Private Assets</t>
  </si>
  <si>
    <t xml:space="preserve">  Private Credit</t>
  </si>
  <si>
    <t xml:space="preserve">  Core Real Estate</t>
  </si>
  <si>
    <t xml:space="preserve">  Infrastructure</t>
  </si>
  <si>
    <t>TOTAL</t>
  </si>
  <si>
    <t>Estimated Mean Return</t>
  </si>
  <si>
    <t>Sharpe Ratio</t>
  </si>
  <si>
    <t>Volatility</t>
  </si>
  <si>
    <t>Factor Based Risk Analytics</t>
  </si>
  <si>
    <t>Nominal</t>
  </si>
  <si>
    <t>Real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</si>
  <si>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</si>
  <si>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</si>
  <si>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</si>
  <si>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</si>
  <si>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</si>
  <si>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</si>
  <si>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</si>
  <si>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</si>
  <si>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</si>
  <si>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</si>
  <si>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</si>
  <si>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</si>
  <si>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</si>
  <si>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</si>
  <si>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</si>
  <si>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</si>
  <si>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</si>
  <si>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</si>
  <si>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</si>
  <si>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</si>
  <si>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</si>
  <si>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</si>
  <si>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</si>
  <si>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</si>
  <si>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Short Duration Debt</t>
  </si>
  <si>
    <t xml:space="preserve">    US Inflation Protected Bonds</t>
  </si>
  <si>
    <t xml:space="preserve">    US Corporate Bonds</t>
  </si>
  <si>
    <t xml:space="preserve">    US High Yield</t>
  </si>
  <si>
    <t xml:space="preserve">    EM External Debt</t>
  </si>
  <si>
    <t xml:space="preserve">    Global Equities (ACWI)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</si>
  <si>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</si>
  <si>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</si>
  <si>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</si>
  <si>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</si>
  <si>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</si>
  <si>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</si>
  <si>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</si>
  <si>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</si>
  <si>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</si>
  <si>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</si>
  <si>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Multi-Strategy</t>
  </si>
  <si>
    <t xml:space="preserve">    Event Driven</t>
  </si>
  <si>
    <t xml:space="preserve">    Equity Long/Short</t>
  </si>
  <si>
    <t xml:space="preserve">    Tactical Trading</t>
  </si>
  <si>
    <t xml:space="preserve">    Buyout</t>
  </si>
  <si>
    <t xml:space="preserve">    Growth</t>
  </si>
  <si>
    <t xml:space="preserve">    Venture</t>
  </si>
  <si>
    <t xml:space="preserve">    Private Credit</t>
  </si>
  <si>
    <t xml:space="preserve">    Core Real Estate</t>
  </si>
  <si>
    <t xml:space="preserve">    Infrastructure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</si>
  <si>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</si>
  <si>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</si>
  <si>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</si>
  <si>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</si>
  <si>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</si>
  <si>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</si>
  <si>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</si>
  <si>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</si>
  <si>
    <t>-</t>
  </si>
  <si>
    <t>Income Equity</t>
  </si>
  <si>
    <t>US Equity</t>
  </si>
  <si>
    <t>Unconstrained</t>
  </si>
  <si>
    <t>CVaR Target</t>
  </si>
  <si>
    <t>Private Asset 
Constrained</t>
  </si>
  <si>
    <t>CVaR Constrained 
(No Private Assets)</t>
  </si>
  <si>
    <t>Performance Over Stress 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</si>
</sst>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2.5"/>
      <color theme="1"/>
      <name val="Calibri"/>
      <family val="2"/>
    </font>
    <font>
      <sz val="12.5"/>
      <name val="Calibri"/>
      <family val="2"/>
    </font>
    <font>
      <sz val="11"/>
      <name val="Aptos Narrow"/>
    </font>
    <font>
      <sz val="11"/>
      <color rgb="FFFFFFFF"/>
      <name val="Aptos Narrow"/>
    </font>
    <font>
      <b/>
      <sz val="11"/>
      <color rgb="FF092539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thin">
        <color theme="0"/>
      </right>
      <top/>
      <bottom style="hair">
        <color theme="0" tint="-0.499984740745262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dotted">
        <color auto="1"/>
      </top>
      <bottom/>
      <diagonal/>
    </border>
    <border>
      <left/>
      <right style="thin">
        <color theme="0"/>
      </right>
      <top style="dotted">
        <color auto="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hair">
        <color rgb="FFA9A9A9"/>
      </right>
      <top style="dotted">
        <color rgb="FFA9A9A9"/>
      </top>
      <bottom/>
      <diagonal/>
    </border>
    <border>
      <left/>
      <right style="thin">
        <color theme="0"/>
      </right>
      <top style="dotted">
        <color rgb="FFA9A9A9"/>
      </top>
      <bottom/>
      <diagonal/>
    </border>
    <border>
      <left/>
      <right style="hair">
        <color rgb="FFA9A9A9"/>
      </right>
      <top/>
      <bottom/>
      <diagonal/>
    </border>
    <border>
      <left/>
      <right style="hair">
        <color rgb="FFA9A9A9"/>
      </right>
      <top/>
      <bottom style="dotted">
        <color rgb="FFA9A9A9"/>
      </bottom>
      <diagonal/>
    </border>
    <border>
      <left/>
      <right/>
      <top/>
      <bottom style="dotted">
        <color rgb="FFA9A9A9"/>
      </bottom>
      <diagonal/>
    </border>
    <border>
      <left/>
      <right style="thin">
        <color theme="0"/>
      </right>
      <top/>
      <bottom style="dotted">
        <color rgb="FFA9A9A9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dotted">
        <color rgb="FFA9A9A9"/>
      </top>
      <bottom/>
      <diagonal/>
    </border>
    <border>
      <left style="thin">
        <color theme="0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99">
    <xf numFmtId="0" fontId="0" fillId="0" borderId="0" xfId="0"/>
    <xf numFmtId="164" fontId="1" fillId="3" borderId="1" xfId="0" applyNumberFormat="1" applyFont="1" applyFill="1" applyBorder="1" applyAlignment="1">
      <alignment horizontal="right" vertical="center" indent="4"/>
    </xf>
    <xf numFmtId="165" fontId="1" fillId="2" borderId="1" xfId="0" applyNumberFormat="1" applyFont="1" applyFill="1" applyBorder="1" applyAlignment="1">
      <alignment horizontal="right" vertical="center" indent="4"/>
    </xf>
    <xf numFmtId="164" fontId="1" fillId="2" borderId="2" xfId="0" applyNumberFormat="1" applyFont="1" applyFill="1" applyBorder="1" applyAlignment="1">
      <alignment horizontal="right" indent="4"/>
    </xf>
    <xf numFmtId="0" fontId="2" fillId="2" borderId="1" xfId="0" applyFont="1" applyFill="1" applyBorder="1"/>
    <xf numFmtId="164" fontId="3" fillId="4" borderId="1" xfId="0" applyNumberFormat="1" applyFont="1" applyFill="1" applyBorder="1" applyAlignment="1">
      <alignment horizontal="right" vertical="center" indent="4"/>
    </xf>
    <xf numFmtId="2" fontId="3" fillId="4" borderId="1" xfId="0" applyNumberFormat="1" applyFont="1" applyFill="1" applyBorder="1" applyAlignment="1">
      <alignment horizontal="right" vertical="center" indent="4"/>
    </xf>
    <xf numFmtId="0" fontId="4" fillId="6" borderId="1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2" fontId="5" fillId="6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164" fontId="6" fillId="6" borderId="1" xfId="0" applyNumberFormat="1" applyFont="1" applyFill="1" applyBorder="1" applyAlignment="1">
      <alignment horizontal="right"/>
    </xf>
    <xf numFmtId="164" fontId="4" fillId="6" borderId="1" xfId="0" applyNumberFormat="1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left"/>
    </xf>
    <xf numFmtId="2" fontId="4" fillId="6" borderId="1" xfId="0" applyNumberFormat="1" applyFont="1" applyFill="1" applyBorder="1" applyAlignment="1">
      <alignment horizontal="center"/>
    </xf>
    <xf numFmtId="9" fontId="4" fillId="6" borderId="1" xfId="0" applyNumberFormat="1" applyFont="1" applyFill="1" applyBorder="1" applyAlignment="1">
      <alignment horizontal="center"/>
    </xf>
    <xf numFmtId="17" fontId="4" fillId="6" borderId="1" xfId="0" applyNumberFormat="1" applyFont="1" applyFill="1" applyBorder="1" applyAlignment="1">
      <alignment horizontal="center"/>
    </xf>
    <xf numFmtId="0" fontId="5" fillId="6" borderId="5" xfId="0" applyFont="1" applyFill="1" applyBorder="1"/>
    <xf numFmtId="164" fontId="5" fillId="6" borderId="5" xfId="0" applyNumberFormat="1" applyFont="1" applyFill="1" applyBorder="1" applyAlignment="1">
      <alignment horizontal="right"/>
    </xf>
    <xf numFmtId="164" fontId="5" fillId="6" borderId="5" xfId="0" applyNumberFormat="1" applyFont="1" applyFill="1" applyBorder="1" applyAlignment="1">
      <alignment horizontal="center"/>
    </xf>
    <xf numFmtId="164" fontId="8" fillId="6" borderId="5" xfId="0" applyNumberFormat="1" applyFont="1" applyFill="1" applyBorder="1" applyAlignment="1">
      <alignment horizontal="left"/>
    </xf>
    <xf numFmtId="2" fontId="5" fillId="6" borderId="5" xfId="0" applyNumberFormat="1" applyFont="1" applyFill="1" applyBorder="1" applyAlignment="1">
      <alignment horizontal="center"/>
    </xf>
    <xf numFmtId="9" fontId="5" fillId="6" borderId="5" xfId="0" applyNumberFormat="1" applyFont="1" applyFill="1" applyBorder="1" applyAlignment="1">
      <alignment horizontal="center"/>
    </xf>
    <xf numFmtId="17" fontId="5" fillId="6" borderId="5" xfId="0" applyNumberFormat="1" applyFont="1" applyFill="1" applyBorder="1" applyAlignment="1">
      <alignment horizontal="center"/>
    </xf>
    <xf numFmtId="0" fontId="4" fillId="6" borderId="4" xfId="0" applyFont="1" applyFill="1" applyBorder="1"/>
    <xf numFmtId="164" fontId="6" fillId="6" borderId="4" xfId="0" applyNumberFormat="1" applyFont="1" applyFill="1" applyBorder="1" applyAlignment="1">
      <alignment horizontal="right"/>
    </xf>
    <xf numFmtId="164" fontId="4" fillId="6" borderId="4" xfId="0" applyNumberFormat="1" applyFont="1" applyFill="1" applyBorder="1" applyAlignment="1">
      <alignment horizontal="center"/>
    </xf>
    <xf numFmtId="164" fontId="7" fillId="6" borderId="4" xfId="0" applyNumberFormat="1" applyFont="1" applyFill="1" applyBorder="1" applyAlignment="1">
      <alignment horizontal="left"/>
    </xf>
    <xf numFmtId="2" fontId="4" fillId="6" borderId="4" xfId="0" applyNumberFormat="1" applyFont="1" applyFill="1" applyBorder="1" applyAlignment="1">
      <alignment horizontal="center"/>
    </xf>
    <xf numFmtId="9" fontId="4" fillId="6" borderId="4" xfId="0" applyNumberFormat="1" applyFont="1" applyFill="1" applyBorder="1" applyAlignment="1">
      <alignment horizontal="center"/>
    </xf>
    <xf numFmtId="17" fontId="4" fillId="6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0" fillId="0" borderId="6" xfId="0" applyBorder="1"/>
    <xf numFmtId="0" fontId="4" fillId="6" borderId="4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vertical="center"/>
    </xf>
    <xf numFmtId="0" fontId="10" fillId="6" borderId="11" xfId="0" applyFont="1" applyFill="1" applyBorder="1" applyAlignment="1">
      <alignment vertical="center"/>
    </xf>
    <xf numFmtId="165" fontId="1" fillId="2" borderId="12" xfId="0" applyNumberFormat="1" applyFont="1" applyFill="1" applyBorder="1" applyAlignment="1">
      <alignment horizontal="center" vertical="center"/>
    </xf>
    <xf numFmtId="165" fontId="1" fillId="2" borderId="8" xfId="0" applyNumberFormat="1" applyFont="1" applyFill="1" applyBorder="1" applyAlignment="1">
      <alignment horizontal="right" vertical="center" indent="4"/>
    </xf>
    <xf numFmtId="165" fontId="1" fillId="2" borderId="9" xfId="0" applyNumberFormat="1" applyFont="1" applyFill="1" applyBorder="1" applyAlignment="1">
      <alignment horizontal="center" vertical="center"/>
    </xf>
    <xf numFmtId="165" fontId="1" fillId="2" borderId="10" xfId="0" applyNumberFormat="1" applyFont="1" applyFill="1" applyBorder="1" applyAlignment="1">
      <alignment horizontal="center" vertical="center"/>
    </xf>
    <xf numFmtId="165" fontId="1" fillId="2" borderId="13" xfId="0" applyNumberFormat="1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left" vertical="center"/>
    </xf>
    <xf numFmtId="164" fontId="1" fillId="3" borderId="15" xfId="0" applyNumberFormat="1" applyFont="1" applyFill="1" applyBorder="1" applyAlignment="1">
      <alignment horizontal="right" vertical="center" indent="4"/>
    </xf>
    <xf numFmtId="0" fontId="1" fillId="2" borderId="14" xfId="0" applyFont="1" applyFill="1" applyBorder="1" applyAlignment="1">
      <alignment horizontal="left" vertical="center"/>
    </xf>
    <xf numFmtId="165" fontId="1" fillId="2" borderId="15" xfId="0" applyNumberFormat="1" applyFont="1" applyFill="1" applyBorder="1" applyAlignment="1">
      <alignment horizontal="right" vertical="center" indent="4"/>
    </xf>
    <xf numFmtId="0" fontId="1" fillId="2" borderId="14" xfId="0" applyFont="1" applyFill="1" applyBorder="1" applyAlignment="1">
      <alignment horizontal="left" vertical="center" indent="1"/>
    </xf>
    <xf numFmtId="0" fontId="1" fillId="2" borderId="16" xfId="0" applyFont="1" applyFill="1" applyBorder="1"/>
    <xf numFmtId="164" fontId="1" fillId="2" borderId="17" xfId="0" applyNumberFormat="1" applyFont="1" applyFill="1" applyBorder="1" applyAlignment="1">
      <alignment horizontal="right" indent="4"/>
    </xf>
    <xf numFmtId="0" fontId="2" fillId="2" borderId="14" xfId="0" applyFont="1" applyFill="1" applyBorder="1"/>
    <xf numFmtId="0" fontId="2" fillId="2" borderId="15" xfId="0" applyFont="1" applyFill="1" applyBorder="1"/>
    <xf numFmtId="164" fontId="3" fillId="4" borderId="14" xfId="0" applyNumberFormat="1" applyFont="1" applyFill="1" applyBorder="1" applyAlignment="1">
      <alignment vertical="center"/>
    </xf>
    <xf numFmtId="164" fontId="3" fillId="4" borderId="15" xfId="0" applyNumberFormat="1" applyFont="1" applyFill="1" applyBorder="1" applyAlignment="1">
      <alignment horizontal="right" vertical="center" indent="4"/>
    </xf>
    <xf numFmtId="2" fontId="3" fillId="4" borderId="15" xfId="0" applyNumberFormat="1" applyFont="1" applyFill="1" applyBorder="1" applyAlignment="1">
      <alignment horizontal="right" vertical="center" indent="4"/>
    </xf>
    <xf numFmtId="164" fontId="3" fillId="4" borderId="18" xfId="0" applyNumberFormat="1" applyFont="1" applyFill="1" applyBorder="1" applyAlignment="1">
      <alignment vertical="center"/>
    </xf>
    <xf numFmtId="164" fontId="3" fillId="4" borderId="19" xfId="0" applyNumberFormat="1" applyFont="1" applyFill="1" applyBorder="1" applyAlignment="1">
      <alignment horizontal="right" vertical="center" indent="4"/>
    </xf>
    <xf numFmtId="164" fontId="3" fillId="4" borderId="20" xfId="0" applyNumberFormat="1" applyFont="1" applyFill="1" applyBorder="1" applyAlignment="1">
      <alignment horizontal="right" vertical="center" indent="4"/>
    </xf>
    <xf numFmtId="0" fontId="11" fillId="6" borderId="3" xfId="0" applyFont="1" applyFill="1" applyBorder="1" applyAlignment="1">
      <alignment horizontal="center"/>
    </xf>
    <xf numFmtId="0" fontId="11" fillId="6" borderId="21" xfId="0" applyFont="1" applyFill="1" applyBorder="1" applyAlignment="1">
      <alignment horizontal="center"/>
    </xf>
    <xf numFmtId="0" fontId="11" fillId="6" borderId="22" xfId="0" applyFont="1" applyFill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164" fontId="11" fillId="6" borderId="23" xfId="0" applyNumberFormat="1" applyFont="1" applyFill="1" applyBorder="1" applyAlignment="1">
      <alignment horizontal="center"/>
    </xf>
    <xf numFmtId="164" fontId="11" fillId="6" borderId="15" xfId="0" applyNumberFormat="1" applyFont="1" applyFill="1" applyBorder="1" applyAlignment="1">
      <alignment horizontal="center"/>
    </xf>
    <xf numFmtId="164" fontId="11" fillId="6" borderId="24" xfId="0" applyNumberFormat="1" applyFont="1" applyFill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164" fontId="11" fillId="6" borderId="15" xfId="0" applyNumberFormat="1" applyFont="1" applyFill="1" applyBorder="1" applyAlignment="1">
      <alignment horizontal="center"/>
    </xf>
    <xf numFmtId="164" fontId="11" fillId="6" borderId="25" xfId="0" applyNumberFormat="1" applyFont="1" applyFill="1" applyBorder="1" applyAlignment="1">
      <alignment horizontal="center"/>
    </xf>
    <xf numFmtId="164" fontId="11" fillId="6" borderId="26" xfId="0" applyNumberFormat="1" applyFont="1" applyFill="1" applyBorder="1" applyAlignment="1">
      <alignment horizontal="center"/>
    </xf>
    <xf numFmtId="164" fontId="11" fillId="6" borderId="27" xfId="0" applyNumberFormat="1" applyFont="1" applyFill="1" applyBorder="1" applyAlignment="1">
      <alignment horizontal="center"/>
    </xf>
    <xf numFmtId="164" fontId="11" fillId="6" borderId="28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Font="1" applyBorder="1" applyAlignment="1">
      <alignment vertical="center"/>
    </xf>
    <xf numFmtId="2" fontId="11" fillId="6" borderId="1" xfId="0" applyNumberFormat="1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vertical="center"/>
    </xf>
    <xf numFmtId="0" fontId="12" fillId="5" borderId="8" xfId="0" applyFont="1" applyFill="1" applyBorder="1" applyAlignment="1">
      <alignment horizontal="center" vertical="center"/>
    </xf>
    <xf numFmtId="0" fontId="0" fillId="0" borderId="8" xfId="0" applyFont="1" applyBorder="1"/>
    <xf numFmtId="0" fontId="12" fillId="5" borderId="8" xfId="0" applyFont="1" applyFill="1" applyBorder="1" applyAlignment="1">
      <alignment horizontal="center" vertical="center" wrapText="1"/>
    </xf>
    <xf numFmtId="0" fontId="0" fillId="0" borderId="29" xfId="0" applyFont="1" applyBorder="1"/>
    <xf numFmtId="0" fontId="11" fillId="6" borderId="14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11" fillId="6" borderId="30" xfId="0" applyFont="1" applyFill="1" applyBorder="1" applyAlignment="1">
      <alignment vertical="center"/>
    </xf>
    <xf numFmtId="164" fontId="11" fillId="6" borderId="3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vertical="center"/>
    </xf>
    <xf numFmtId="0" fontId="12" fillId="5" borderId="14" xfId="0" applyFont="1" applyFill="1" applyBorder="1" applyAlignment="1">
      <alignment vertical="center"/>
    </xf>
    <xf numFmtId="0" fontId="12" fillId="5" borderId="15" xfId="0" applyFont="1" applyFill="1" applyBorder="1" applyAlignment="1">
      <alignment horizontal="center" vertical="center"/>
    </xf>
    <xf numFmtId="0" fontId="13" fillId="6" borderId="30" xfId="0" applyFont="1" applyFill="1" applyBorder="1"/>
    <xf numFmtId="0" fontId="11" fillId="6" borderId="14" xfId="0" applyFont="1" applyFill="1" applyBorder="1" applyAlignment="1">
      <alignment horizontal="left" indent="1"/>
    </xf>
    <xf numFmtId="0" fontId="11" fillId="6" borderId="31" xfId="0" applyFont="1" applyFill="1" applyBorder="1" applyAlignment="1">
      <alignment horizontal="left" indent="1"/>
    </xf>
    <xf numFmtId="0" fontId="12" fillId="5" borderId="18" xfId="0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</dxf>
    <dxf>
      <font>
        <color rgb="FF9C0006"/>
      </font>
    </dxf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8-D140-BE60-8AC97C596631}"/>
            </c:ext>
          </c:extLst>
        </c:ser>
        <c:ser>
          <c:idx val="1"/>
          <c:order val="1"/>
          <c:tx>
            <c:strRef>
              <c:f>ws_Current_Portfolio!$K$2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D8-D140-BE60-8AC97C596631}"/>
            </c:ext>
          </c:extLst>
        </c:ser>
        <c:ser>
          <c:idx val="2"/>
          <c:order val="2"/>
          <c:tx>
            <c:strRef>
              <c:f>ws_Current_Portfolio!$L$2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D8-D140-BE60-8AC97C596631}"/>
            </c:ext>
          </c:extLst>
        </c:ser>
        <c:ser>
          <c:idx val="3"/>
          <c:order val="3"/>
          <c:tx>
            <c:strRef>
              <c:f>ws_Current_Portfolio!$M$2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D8-D140-BE60-8AC97C596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ws_Current_Portfolio!$B$3:$B$23</c:f>
              <c:numCache>
                <c:formatCode>General</c:formatCode>
                <c:ptCount val="21"/>
                <c:pt idx="0">
                  <c:v>100</c:v>
                </c:pt>
                <c:pt idx="1">
                  <c:v>89.456903357182568</c:v>
                </c:pt>
                <c:pt idx="2">
                  <c:v>89.980738266643627</c:v>
                </c:pt>
                <c:pt idx="3">
                  <c:v>90.8898661257616</c:v>
                </c:pt>
                <c:pt idx="4">
                  <c:v>90.42786853539711</c:v>
                </c:pt>
                <c:pt idx="5">
                  <c:v>91.369198231432648</c:v>
                </c:pt>
                <c:pt idx="6">
                  <c:v>92.173075244339728</c:v>
                </c:pt>
                <c:pt idx="7">
                  <c:v>91.064145706205579</c:v>
                </c:pt>
                <c:pt idx="8">
                  <c:v>92.498179650755802</c:v>
                </c:pt>
                <c:pt idx="9">
                  <c:v>91.512380784642389</c:v>
                </c:pt>
                <c:pt idx="10">
                  <c:v>92.934747749398539</c:v>
                </c:pt>
                <c:pt idx="11">
                  <c:v>93.814016252111855</c:v>
                </c:pt>
                <c:pt idx="12">
                  <c:v>95.92752207205757</c:v>
                </c:pt>
                <c:pt idx="13">
                  <c:v>97.112830179337351</c:v>
                </c:pt>
                <c:pt idx="14">
                  <c:v>98.468382394765342</c:v>
                </c:pt>
                <c:pt idx="15">
                  <c:v>99.308266105457449</c:v>
                </c:pt>
                <c:pt idx="16">
                  <c:v>100.8967731299779</c:v>
                </c:pt>
                <c:pt idx="17">
                  <c:v>103.00293094916751</c:v>
                </c:pt>
                <c:pt idx="18">
                  <c:v>105.1794933587548</c:v>
                </c:pt>
                <c:pt idx="19">
                  <c:v>107.9186017702071</c:v>
                </c:pt>
                <c:pt idx="20">
                  <c:v>110.67117834453801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3-5E41-A871-6A4F58C7AC8A}"/>
            </c:ext>
          </c:extLst>
        </c:ser>
        <c:ser>
          <c:idx val="1"/>
          <c:order val="1"/>
          <c:tx>
            <c:strRef>
              <c:f>ws_Current_Portfolio!$C$2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ws_Current_Portfolio!$C$3:$C$23</c:f>
              <c:numCache>
                <c:formatCode>General</c:formatCode>
                <c:ptCount val="21"/>
                <c:pt idx="0">
                  <c:v>100</c:v>
                </c:pt>
                <c:pt idx="1">
                  <c:v>97.025265613165288</c:v>
                </c:pt>
                <c:pt idx="2">
                  <c:v>99.192368947115298</c:v>
                </c:pt>
                <c:pt idx="3">
                  <c:v>102.4088840698504</c:v>
                </c:pt>
                <c:pt idx="4">
                  <c:v>105.398121567084</c:v>
                </c:pt>
                <c:pt idx="5">
                  <c:v>109.1866393454906</c:v>
                </c:pt>
                <c:pt idx="6">
                  <c:v>113.09197920309791</c:v>
                </c:pt>
                <c:pt idx="7">
                  <c:v>116.0626830575069</c:v>
                </c:pt>
                <c:pt idx="8">
                  <c:v>119.33159211006409</c:v>
                </c:pt>
                <c:pt idx="9">
                  <c:v>122.4295446271361</c:v>
                </c:pt>
                <c:pt idx="10">
                  <c:v>126.25256184610031</c:v>
                </c:pt>
                <c:pt idx="11">
                  <c:v>129.33699057122999</c:v>
                </c:pt>
                <c:pt idx="12">
                  <c:v>133.53381482939361</c:v>
                </c:pt>
                <c:pt idx="13">
                  <c:v>137.38246120196499</c:v>
                </c:pt>
                <c:pt idx="14">
                  <c:v>142.37204958074079</c:v>
                </c:pt>
                <c:pt idx="15">
                  <c:v>146.59654335179761</c:v>
                </c:pt>
                <c:pt idx="16">
                  <c:v>151.4291687475654</c:v>
                </c:pt>
                <c:pt idx="17">
                  <c:v>156.48495492891101</c:v>
                </c:pt>
                <c:pt idx="18">
                  <c:v>161.88677722153639</c:v>
                </c:pt>
                <c:pt idx="19">
                  <c:v>167.6515969034825</c:v>
                </c:pt>
                <c:pt idx="20">
                  <c:v>173.23977525078459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73-5E41-A871-6A4F58C7AC8A}"/>
            </c:ext>
          </c:extLst>
        </c:ser>
        <c:ser>
          <c:idx val="2"/>
          <c:order val="2"/>
          <c:tx>
            <c:strRef>
              <c:f>ws_Current_Portfolio!$D$2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106.3967716051538</c:v>
                </c:pt>
                <c:pt idx="2">
                  <c:v>111.90510917957231</c:v>
                </c:pt>
                <c:pt idx="3">
                  <c:v>117.8612498854892</c:v>
                </c:pt>
                <c:pt idx="4">
                  <c:v>124.98892317916609</c:v>
                </c:pt>
                <c:pt idx="5">
                  <c:v>132.898534851976</c:v>
                </c:pt>
                <c:pt idx="6">
                  <c:v>140.7688812629919</c:v>
                </c:pt>
                <c:pt idx="7">
                  <c:v>149.36102878932289</c:v>
                </c:pt>
                <c:pt idx="8">
                  <c:v>158.2136613573862</c:v>
                </c:pt>
                <c:pt idx="9">
                  <c:v>166.8426238446261</c:v>
                </c:pt>
                <c:pt idx="10">
                  <c:v>175.8287661816199</c:v>
                </c:pt>
                <c:pt idx="11">
                  <c:v>185.18393079225339</c:v>
                </c:pt>
                <c:pt idx="12">
                  <c:v>194.80417584260289</c:v>
                </c:pt>
                <c:pt idx="13">
                  <c:v>204.20383875683149</c:v>
                </c:pt>
                <c:pt idx="14">
                  <c:v>215.6296724950476</c:v>
                </c:pt>
                <c:pt idx="15">
                  <c:v>226.1906998647797</c:v>
                </c:pt>
                <c:pt idx="16">
                  <c:v>237.695043221585</c:v>
                </c:pt>
                <c:pt idx="17">
                  <c:v>249.60345768630489</c:v>
                </c:pt>
                <c:pt idx="18">
                  <c:v>263.31841545216491</c:v>
                </c:pt>
                <c:pt idx="19">
                  <c:v>277.03201954530692</c:v>
                </c:pt>
                <c:pt idx="20">
                  <c:v>290.67048422949279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73-5E41-A871-6A4F58C7AC8A}"/>
            </c:ext>
          </c:extLst>
        </c:ser>
        <c:ser>
          <c:idx val="3"/>
          <c:order val="3"/>
          <c:tx>
            <c:strRef>
              <c:f>ws_Current_Portfolio!$E$2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115.1468750861214</c:v>
                </c:pt>
                <c:pt idx="2">
                  <c:v>125.37894161320349</c:v>
                </c:pt>
                <c:pt idx="3">
                  <c:v>134.9170317398123</c:v>
                </c:pt>
                <c:pt idx="4">
                  <c:v>147.082820183048</c:v>
                </c:pt>
                <c:pt idx="5">
                  <c:v>159.97581582226579</c:v>
                </c:pt>
                <c:pt idx="6">
                  <c:v>172.9234416891949</c:v>
                </c:pt>
                <c:pt idx="7">
                  <c:v>187.42408538105241</c:v>
                </c:pt>
                <c:pt idx="8">
                  <c:v>202.8969653662061</c:v>
                </c:pt>
                <c:pt idx="9">
                  <c:v>219.07229317005891</c:v>
                </c:pt>
                <c:pt idx="10">
                  <c:v>235.5684906843498</c:v>
                </c:pt>
                <c:pt idx="11">
                  <c:v>253.54931883777991</c:v>
                </c:pt>
                <c:pt idx="12">
                  <c:v>273.48578434558391</c:v>
                </c:pt>
                <c:pt idx="13">
                  <c:v>293.87272469413108</c:v>
                </c:pt>
                <c:pt idx="14">
                  <c:v>314.9033622075309</c:v>
                </c:pt>
                <c:pt idx="15">
                  <c:v>338.17804620613862</c:v>
                </c:pt>
                <c:pt idx="16">
                  <c:v>362.59622389555551</c:v>
                </c:pt>
                <c:pt idx="17">
                  <c:v>390.14871332644481</c:v>
                </c:pt>
                <c:pt idx="18">
                  <c:v>418.65926805038453</c:v>
                </c:pt>
                <c:pt idx="19">
                  <c:v>445.76435801146158</c:v>
                </c:pt>
                <c:pt idx="20">
                  <c:v>475.19458292480039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73-5E41-A871-6A4F58C7A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ws_Current_Portfolio!$F$3:$F$23</c:f>
              <c:numCache>
                <c:formatCode>General</c:formatCode>
                <c:ptCount val="21"/>
                <c:pt idx="0">
                  <c:v>100</c:v>
                </c:pt>
                <c:pt idx="1">
                  <c:v>86.70380523586735</c:v>
                </c:pt>
                <c:pt idx="2">
                  <c:v>85.100894859473641</c:v>
                </c:pt>
                <c:pt idx="3">
                  <c:v>84.218811499977932</c:v>
                </c:pt>
                <c:pt idx="4">
                  <c:v>82.13829188916705</c:v>
                </c:pt>
                <c:pt idx="5">
                  <c:v>81.549877876853301</c:v>
                </c:pt>
                <c:pt idx="6">
                  <c:v>80.40280160608043</c:v>
                </c:pt>
                <c:pt idx="7">
                  <c:v>78.25787929641443</c:v>
                </c:pt>
                <c:pt idx="8">
                  <c:v>77.685825880984837</c:v>
                </c:pt>
                <c:pt idx="9">
                  <c:v>76.198094733240652</c:v>
                </c:pt>
                <c:pt idx="10">
                  <c:v>75.423080243046371</c:v>
                </c:pt>
                <c:pt idx="11">
                  <c:v>75.678130435135131</c:v>
                </c:pt>
                <c:pt idx="12">
                  <c:v>75.064350566601632</c:v>
                </c:pt>
                <c:pt idx="13">
                  <c:v>74.024301538455532</c:v>
                </c:pt>
                <c:pt idx="14">
                  <c:v>74.633923165407225</c:v>
                </c:pt>
                <c:pt idx="15">
                  <c:v>74.182997099231969</c:v>
                </c:pt>
                <c:pt idx="16">
                  <c:v>73.312668878138098</c:v>
                </c:pt>
                <c:pt idx="17">
                  <c:v>73.94485093469126</c:v>
                </c:pt>
                <c:pt idx="18">
                  <c:v>74.576581864937339</c:v>
                </c:pt>
                <c:pt idx="19">
                  <c:v>74.864305403667643</c:v>
                </c:pt>
                <c:pt idx="20">
                  <c:v>75.081858895213188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A-4F49-9905-CE0F45F8D524}"/>
            </c:ext>
          </c:extLst>
        </c:ser>
        <c:ser>
          <c:idx val="1"/>
          <c:order val="1"/>
          <c:tx>
            <c:strRef>
              <c:f>ws_Current_Portfolio!$G$2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94.656688850760474</c:v>
                </c:pt>
                <c:pt idx="2">
                  <c:v>94.400289959351397</c:v>
                </c:pt>
                <c:pt idx="3">
                  <c:v>95.332301272175343</c:v>
                </c:pt>
                <c:pt idx="4">
                  <c:v>96.009494279172088</c:v>
                </c:pt>
                <c:pt idx="5">
                  <c:v>97.32633481900659</c:v>
                </c:pt>
                <c:pt idx="6">
                  <c:v>98.598670542218926</c:v>
                </c:pt>
                <c:pt idx="7">
                  <c:v>99.337505925042677</c:v>
                </c:pt>
                <c:pt idx="8">
                  <c:v>100.2398836893494</c:v>
                </c:pt>
                <c:pt idx="9">
                  <c:v>100.9225431869304</c:v>
                </c:pt>
                <c:pt idx="10">
                  <c:v>101.92611202814849</c:v>
                </c:pt>
                <c:pt idx="11">
                  <c:v>102.6938700582825</c:v>
                </c:pt>
                <c:pt idx="12">
                  <c:v>103.8231447508433</c:v>
                </c:pt>
                <c:pt idx="13">
                  <c:v>104.99812825737681</c:v>
                </c:pt>
                <c:pt idx="14">
                  <c:v>106.68681910779129</c:v>
                </c:pt>
                <c:pt idx="15">
                  <c:v>108.1823758828707</c:v>
                </c:pt>
                <c:pt idx="16">
                  <c:v>109.6351805549494</c:v>
                </c:pt>
                <c:pt idx="17">
                  <c:v>110.85121285783841</c:v>
                </c:pt>
                <c:pt idx="18">
                  <c:v>112.4313657577416</c:v>
                </c:pt>
                <c:pt idx="19">
                  <c:v>113.57045695861591</c:v>
                </c:pt>
                <c:pt idx="20">
                  <c:v>115.6684166229964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6A-4F49-9905-CE0F45F8D524}"/>
            </c:ext>
          </c:extLst>
        </c:ser>
        <c:ser>
          <c:idx val="2"/>
          <c:order val="2"/>
          <c:tx>
            <c:strRef>
              <c:f>ws_Current_Portfolio!$H$2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104.0428106961856</c:v>
                </c:pt>
                <c:pt idx="2">
                  <c:v>106.9281453903247</c:v>
                </c:pt>
                <c:pt idx="3">
                  <c:v>110.172532673408</c:v>
                </c:pt>
                <c:pt idx="4">
                  <c:v>114.3523511006908</c:v>
                </c:pt>
                <c:pt idx="5">
                  <c:v>118.94104161299239</c:v>
                </c:pt>
                <c:pt idx="6">
                  <c:v>123.44725259105221</c:v>
                </c:pt>
                <c:pt idx="7">
                  <c:v>128.2246174574569</c:v>
                </c:pt>
                <c:pt idx="8">
                  <c:v>133.08611384272001</c:v>
                </c:pt>
                <c:pt idx="9">
                  <c:v>137.65238528149089</c:v>
                </c:pt>
                <c:pt idx="10">
                  <c:v>141.9303377299826</c:v>
                </c:pt>
                <c:pt idx="11">
                  <c:v>146.89472652466119</c:v>
                </c:pt>
                <c:pt idx="12">
                  <c:v>151.2647476460927</c:v>
                </c:pt>
                <c:pt idx="13">
                  <c:v>156.01683448409241</c:v>
                </c:pt>
                <c:pt idx="14">
                  <c:v>161.2031090108153</c:v>
                </c:pt>
                <c:pt idx="15">
                  <c:v>165.70740200275449</c:v>
                </c:pt>
                <c:pt idx="16">
                  <c:v>170.96418675985419</c:v>
                </c:pt>
                <c:pt idx="17">
                  <c:v>176.09562331023659</c:v>
                </c:pt>
                <c:pt idx="18">
                  <c:v>181.90767396690319</c:v>
                </c:pt>
                <c:pt idx="19">
                  <c:v>187.911553553403</c:v>
                </c:pt>
                <c:pt idx="20">
                  <c:v>193.38003253472721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6A-4F49-9905-CE0F45F8D524}"/>
            </c:ext>
          </c:extLst>
        </c:ser>
        <c:ser>
          <c:idx val="3"/>
          <c:order val="3"/>
          <c:tx>
            <c:strRef>
              <c:f>ws_Current_Portfolio!$I$2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112.7577902260052</c:v>
                </c:pt>
                <c:pt idx="2">
                  <c:v>120.0687988303105</c:v>
                </c:pt>
                <c:pt idx="3">
                  <c:v>126.4571433231085</c:v>
                </c:pt>
                <c:pt idx="4">
                  <c:v>134.9815228122057</c:v>
                </c:pt>
                <c:pt idx="5">
                  <c:v>143.81494842674709</c:v>
                </c:pt>
                <c:pt idx="6">
                  <c:v>152.12768802624149</c:v>
                </c:pt>
                <c:pt idx="7">
                  <c:v>161.49801238406221</c:v>
                </c:pt>
                <c:pt idx="8">
                  <c:v>171.48035918072711</c:v>
                </c:pt>
                <c:pt idx="9">
                  <c:v>181.19234999553399</c:v>
                </c:pt>
                <c:pt idx="10">
                  <c:v>191.00776799537371</c:v>
                </c:pt>
                <c:pt idx="11">
                  <c:v>201.21541603913079</c:v>
                </c:pt>
                <c:pt idx="12">
                  <c:v>212.8758606443985</c:v>
                </c:pt>
                <c:pt idx="13">
                  <c:v>223.60113739748229</c:v>
                </c:pt>
                <c:pt idx="14">
                  <c:v>235.23014222444101</c:v>
                </c:pt>
                <c:pt idx="15">
                  <c:v>247.3015784953663</c:v>
                </c:pt>
                <c:pt idx="16">
                  <c:v>259.80425289121058</c:v>
                </c:pt>
                <c:pt idx="17">
                  <c:v>272.99269968346641</c:v>
                </c:pt>
                <c:pt idx="18">
                  <c:v>287.57515692195602</c:v>
                </c:pt>
                <c:pt idx="19">
                  <c:v>299.87145958742929</c:v>
                </c:pt>
                <c:pt idx="20">
                  <c:v>313.2132588407361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6A-4F49-9905-CE0F45F8D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D0-4145-9698-FDDFBAE6B257}"/>
            </c:ext>
          </c:extLst>
        </c:ser>
        <c:ser>
          <c:idx val="1"/>
          <c:order val="1"/>
          <c:tx>
            <c:strRef>
              <c:f>ws_Current_Portfolio!$O$2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D0-4145-9698-FDDFBAE6B257}"/>
            </c:ext>
          </c:extLst>
        </c:ser>
        <c:ser>
          <c:idx val="2"/>
          <c:order val="2"/>
          <c:tx>
            <c:strRef>
              <c:f>ws_Current_Portfolio!$P$2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D0-4145-9698-FDDFBAE6B257}"/>
            </c:ext>
          </c:extLst>
        </c:ser>
        <c:ser>
          <c:idx val="3"/>
          <c:order val="3"/>
          <c:tx>
            <c:strRef>
              <c:f>ws_Current_Portfolio!$Q$2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D0-4145-9698-FDDFBAE6B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ws_CVaR_Constrained!$J$2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8-DF42-8377-AF27518D17B7}"/>
            </c:ext>
          </c:extLst>
        </c:ser>
        <c:ser>
          <c:idx val="1"/>
          <c:order val="1"/>
          <c:tx>
            <c:strRef>
              <c:f>ws_CVaR_Constrained!$K$2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8-DF42-8377-AF27518D17B7}"/>
            </c:ext>
          </c:extLst>
        </c:ser>
        <c:ser>
          <c:idx val="2"/>
          <c:order val="2"/>
          <c:tx>
            <c:strRef>
              <c:f>ws_CVaR_Constrained!$L$2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48-DF42-8377-AF27518D17B7}"/>
            </c:ext>
          </c:extLst>
        </c:ser>
        <c:ser>
          <c:idx val="3"/>
          <c:order val="3"/>
          <c:tx>
            <c:strRef>
              <c:f>ws_CVaR_Constrained!$M$2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48-DF42-8377-AF27518D1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ws_CVaR_Constrained!$B$2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ws_CVaR_Constrained!$B$3:$B$23</c:f>
              <c:numCache>
                <c:formatCode>General</c:formatCode>
                <c:ptCount val="21"/>
                <c:pt idx="0">
                  <c:v>100</c:v>
                </c:pt>
                <c:pt idx="1">
                  <c:v>84.873430486525635</c:v>
                </c:pt>
                <c:pt idx="2">
                  <c:v>85.860961578034505</c:v>
                </c:pt>
                <c:pt idx="3">
                  <c:v>87.151154439126643</c:v>
                </c:pt>
                <c:pt idx="4">
                  <c:v>86.934176819247114</c:v>
                </c:pt>
                <c:pt idx="5">
                  <c:v>88.1221579456912</c:v>
                </c:pt>
                <c:pt idx="6">
                  <c:v>89.833287838259551</c:v>
                </c:pt>
                <c:pt idx="7">
                  <c:v>88.097994322082869</c:v>
                </c:pt>
                <c:pt idx="8">
                  <c:v>90.104045999740634</c:v>
                </c:pt>
                <c:pt idx="9">
                  <c:v>89.600951746153655</c:v>
                </c:pt>
                <c:pt idx="10">
                  <c:v>90.871110920992763</c:v>
                </c:pt>
                <c:pt idx="11">
                  <c:v>92.948348270265967</c:v>
                </c:pt>
                <c:pt idx="12">
                  <c:v>96.383379738390829</c:v>
                </c:pt>
                <c:pt idx="13">
                  <c:v>97.507972391630076</c:v>
                </c:pt>
                <c:pt idx="14">
                  <c:v>100.4984525112567</c:v>
                </c:pt>
                <c:pt idx="15">
                  <c:v>102.5913163386731</c:v>
                </c:pt>
                <c:pt idx="16">
                  <c:v>104.0738870225812</c:v>
                </c:pt>
                <c:pt idx="17">
                  <c:v>109.35263220556141</c:v>
                </c:pt>
                <c:pt idx="18">
                  <c:v>113.52546232261921</c:v>
                </c:pt>
                <c:pt idx="19">
                  <c:v>118.0508255818843</c:v>
                </c:pt>
                <c:pt idx="20">
                  <c:v>121.0129378056008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4-2E4F-8791-1CF88145578D}"/>
            </c:ext>
          </c:extLst>
        </c:ser>
        <c:ser>
          <c:idx val="1"/>
          <c:order val="1"/>
          <c:tx>
            <c:strRef>
              <c:f>ws_CVaR_Constrained!$C$2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96.028631579742324</c:v>
                </c:pt>
                <c:pt idx="2">
                  <c:v>98.675569778757819</c:v>
                </c:pt>
                <c:pt idx="3">
                  <c:v>103.4679986832795</c:v>
                </c:pt>
                <c:pt idx="4">
                  <c:v>107.31102738162321</c:v>
                </c:pt>
                <c:pt idx="5">
                  <c:v>112.43382437265539</c:v>
                </c:pt>
                <c:pt idx="6">
                  <c:v>118.1379861147758</c:v>
                </c:pt>
                <c:pt idx="7">
                  <c:v>122.57999070056709</c:v>
                </c:pt>
                <c:pt idx="8">
                  <c:v>127.7394034579689</c:v>
                </c:pt>
                <c:pt idx="9">
                  <c:v>132.24188826035231</c:v>
                </c:pt>
                <c:pt idx="10">
                  <c:v>137.70148681875261</c:v>
                </c:pt>
                <c:pt idx="11">
                  <c:v>143.9313376588089</c:v>
                </c:pt>
                <c:pt idx="12">
                  <c:v>150.44406105054139</c:v>
                </c:pt>
                <c:pt idx="13">
                  <c:v>156.74619306935281</c:v>
                </c:pt>
                <c:pt idx="14">
                  <c:v>164.40950622261681</c:v>
                </c:pt>
                <c:pt idx="15">
                  <c:v>171.4705587805683</c:v>
                </c:pt>
                <c:pt idx="16">
                  <c:v>179.24005304965951</c:v>
                </c:pt>
                <c:pt idx="17">
                  <c:v>187.9572832019883</c:v>
                </c:pt>
                <c:pt idx="18">
                  <c:v>197.16137027972621</c:v>
                </c:pt>
                <c:pt idx="19">
                  <c:v>206.08751080489591</c:v>
                </c:pt>
                <c:pt idx="20">
                  <c:v>216.86051079991191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4-2E4F-8791-1CF88145578D}"/>
            </c:ext>
          </c:extLst>
        </c:ser>
        <c:ser>
          <c:idx val="2"/>
          <c:order val="2"/>
          <c:tx>
            <c:strRef>
              <c:f>ws_CVaR_Constrained!$D$2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108.7918828123067</c:v>
                </c:pt>
                <c:pt idx="2">
                  <c:v>117.11872449628621</c:v>
                </c:pt>
                <c:pt idx="3">
                  <c:v>125.6000502836916</c:v>
                </c:pt>
                <c:pt idx="4">
                  <c:v>135.81986413415891</c:v>
                </c:pt>
                <c:pt idx="5">
                  <c:v>147.18080324679369</c:v>
                </c:pt>
                <c:pt idx="6">
                  <c:v>158.9247863379959</c:v>
                </c:pt>
                <c:pt idx="7">
                  <c:v>171.6804361447752</c:v>
                </c:pt>
                <c:pt idx="8">
                  <c:v>184.86037132437059</c:v>
                </c:pt>
                <c:pt idx="9">
                  <c:v>198.34153388107259</c:v>
                </c:pt>
                <c:pt idx="10">
                  <c:v>212.937150002024</c:v>
                </c:pt>
                <c:pt idx="11">
                  <c:v>228.07755330985859</c:v>
                </c:pt>
                <c:pt idx="12">
                  <c:v>243.7946078783169</c:v>
                </c:pt>
                <c:pt idx="13">
                  <c:v>261.03726387007418</c:v>
                </c:pt>
                <c:pt idx="14">
                  <c:v>280.37739903641062</c:v>
                </c:pt>
                <c:pt idx="15">
                  <c:v>298.84780745700328</c:v>
                </c:pt>
                <c:pt idx="16">
                  <c:v>319.65503543942731</c:v>
                </c:pt>
                <c:pt idx="17">
                  <c:v>341.4950221443446</c:v>
                </c:pt>
                <c:pt idx="18">
                  <c:v>367.15634650105932</c:v>
                </c:pt>
                <c:pt idx="19">
                  <c:v>392.82042162724417</c:v>
                </c:pt>
                <c:pt idx="20">
                  <c:v>420.16240688250372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64-2E4F-8791-1CF88145578D}"/>
            </c:ext>
          </c:extLst>
        </c:ser>
        <c:ser>
          <c:idx val="3"/>
          <c:order val="3"/>
          <c:tx>
            <c:strRef>
              <c:f>ws_CVaR_Constrained!$E$2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121.39629569234209</c:v>
                </c:pt>
                <c:pt idx="2">
                  <c:v>136.074798893836</c:v>
                </c:pt>
                <c:pt idx="3">
                  <c:v>150.63760929138999</c:v>
                </c:pt>
                <c:pt idx="4">
                  <c:v>169.1614913313517</c:v>
                </c:pt>
                <c:pt idx="5">
                  <c:v>188.5589824155023</c:v>
                </c:pt>
                <c:pt idx="6">
                  <c:v>208.7442698749289</c:v>
                </c:pt>
                <c:pt idx="7">
                  <c:v>232.7500869827735</c:v>
                </c:pt>
                <c:pt idx="8">
                  <c:v>257.76609684379599</c:v>
                </c:pt>
                <c:pt idx="9">
                  <c:v>285.25882609246491</c:v>
                </c:pt>
                <c:pt idx="10">
                  <c:v>314.07810424086051</c:v>
                </c:pt>
                <c:pt idx="11">
                  <c:v>343.89528638522592</c:v>
                </c:pt>
                <c:pt idx="12">
                  <c:v>379.37078458107402</c:v>
                </c:pt>
                <c:pt idx="13">
                  <c:v>414.60428004437381</c:v>
                </c:pt>
                <c:pt idx="14">
                  <c:v>456.14557642119962</c:v>
                </c:pt>
                <c:pt idx="15">
                  <c:v>499.63967032588249</c:v>
                </c:pt>
                <c:pt idx="16">
                  <c:v>546.35862639701998</c:v>
                </c:pt>
                <c:pt idx="17">
                  <c:v>599.17249240712795</c:v>
                </c:pt>
                <c:pt idx="18">
                  <c:v>655.48233397072875</c:v>
                </c:pt>
                <c:pt idx="19">
                  <c:v>711.32385896679261</c:v>
                </c:pt>
                <c:pt idx="20">
                  <c:v>776.65659951638997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64-2E4F-8791-1CF881455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ws_CVaR_Constrained!$F$2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ws_CVaR_Constrained!$F$3:$F$23</c:f>
              <c:numCache>
                <c:formatCode>General</c:formatCode>
                <c:ptCount val="21"/>
                <c:pt idx="0">
                  <c:v>100</c:v>
                </c:pt>
                <c:pt idx="1">
                  <c:v>82.051323705365306</c:v>
                </c:pt>
                <c:pt idx="2">
                  <c:v>81.009251544884762</c:v>
                </c:pt>
                <c:pt idx="3">
                  <c:v>80.326441654026439</c:v>
                </c:pt>
                <c:pt idx="4">
                  <c:v>78.500227514730611</c:v>
                </c:pt>
                <c:pt idx="5">
                  <c:v>78.27268616361701</c:v>
                </c:pt>
                <c:pt idx="6">
                  <c:v>78.562817481149906</c:v>
                </c:pt>
                <c:pt idx="7">
                  <c:v>76.001204635072227</c:v>
                </c:pt>
                <c:pt idx="8">
                  <c:v>75.843094974303</c:v>
                </c:pt>
                <c:pt idx="9">
                  <c:v>74.208957582316032</c:v>
                </c:pt>
                <c:pt idx="10">
                  <c:v>73.639415337318596</c:v>
                </c:pt>
                <c:pt idx="11">
                  <c:v>74.554818137825052</c:v>
                </c:pt>
                <c:pt idx="12">
                  <c:v>75.158289935852437</c:v>
                </c:pt>
                <c:pt idx="13">
                  <c:v>75.404057230814544</c:v>
                </c:pt>
                <c:pt idx="14">
                  <c:v>75.634558045540842</c:v>
                </c:pt>
                <c:pt idx="15">
                  <c:v>76.271623416660347</c:v>
                </c:pt>
                <c:pt idx="16">
                  <c:v>76.096582055253251</c:v>
                </c:pt>
                <c:pt idx="17">
                  <c:v>78.440908253775476</c:v>
                </c:pt>
                <c:pt idx="18">
                  <c:v>79.921103100816566</c:v>
                </c:pt>
                <c:pt idx="19">
                  <c:v>80.711984227336856</c:v>
                </c:pt>
                <c:pt idx="20">
                  <c:v>82.478146089821124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72-2B48-84EC-07D25EFBF930}"/>
            </c:ext>
          </c:extLst>
        </c:ser>
        <c:ser>
          <c:idx val="1"/>
          <c:order val="1"/>
          <c:tx>
            <c:strRef>
              <c:f>ws_CVaR_Constrained!$G$2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ws_CVaR_Constrained!$G$3:$G$23</c:f>
              <c:numCache>
                <c:formatCode>General</c:formatCode>
                <c:ptCount val="21"/>
                <c:pt idx="0">
                  <c:v>100</c:v>
                </c:pt>
                <c:pt idx="1">
                  <c:v>93.636854667086965</c:v>
                </c:pt>
                <c:pt idx="2">
                  <c:v>93.766924399662017</c:v>
                </c:pt>
                <c:pt idx="3">
                  <c:v>96.140317944863369</c:v>
                </c:pt>
                <c:pt idx="4">
                  <c:v>97.406769198801911</c:v>
                </c:pt>
                <c:pt idx="5">
                  <c:v>100.0389047156622</c:v>
                </c:pt>
                <c:pt idx="6">
                  <c:v>102.7977934040704</c:v>
                </c:pt>
                <c:pt idx="7">
                  <c:v>104.9211291778241</c:v>
                </c:pt>
                <c:pt idx="8">
                  <c:v>106.950247471216</c:v>
                </c:pt>
                <c:pt idx="9">
                  <c:v>108.492510779732</c:v>
                </c:pt>
                <c:pt idx="10">
                  <c:v>111.4336424604404</c:v>
                </c:pt>
                <c:pt idx="11">
                  <c:v>114.0109377221757</c:v>
                </c:pt>
                <c:pt idx="12">
                  <c:v>116.61670134575211</c:v>
                </c:pt>
                <c:pt idx="13">
                  <c:v>119.2005337149328</c:v>
                </c:pt>
                <c:pt idx="14">
                  <c:v>122.4246645303275</c:v>
                </c:pt>
                <c:pt idx="15">
                  <c:v>125.5363836819003</c:v>
                </c:pt>
                <c:pt idx="16">
                  <c:v>128.99463095672871</c:v>
                </c:pt>
                <c:pt idx="17">
                  <c:v>132.52035965542439</c:v>
                </c:pt>
                <c:pt idx="18">
                  <c:v>136.0764833891092</c:v>
                </c:pt>
                <c:pt idx="19">
                  <c:v>139.82037705781201</c:v>
                </c:pt>
                <c:pt idx="20">
                  <c:v>143.60695919858651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72-2B48-84EC-07D25EFBF930}"/>
            </c:ext>
          </c:extLst>
        </c:ser>
        <c:ser>
          <c:idx val="2"/>
          <c:order val="2"/>
          <c:tx>
            <c:strRef>
              <c:f>ws_CVaR_Constrained!$H$2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106.4143327846048</c:v>
                </c:pt>
                <c:pt idx="2">
                  <c:v>111.92363349343741</c:v>
                </c:pt>
                <c:pt idx="3">
                  <c:v>117.468926136409</c:v>
                </c:pt>
                <c:pt idx="4">
                  <c:v>124.2999909541596</c:v>
                </c:pt>
                <c:pt idx="5">
                  <c:v>131.80877535225719</c:v>
                </c:pt>
                <c:pt idx="6">
                  <c:v>139.36962082568141</c:v>
                </c:pt>
                <c:pt idx="7">
                  <c:v>147.25937578339361</c:v>
                </c:pt>
                <c:pt idx="8">
                  <c:v>155.48037525510111</c:v>
                </c:pt>
                <c:pt idx="9">
                  <c:v>163.55128214117681</c:v>
                </c:pt>
                <c:pt idx="10">
                  <c:v>171.95813415554181</c:v>
                </c:pt>
                <c:pt idx="11">
                  <c:v>180.5306951537178</c:v>
                </c:pt>
                <c:pt idx="12">
                  <c:v>189.13633879073649</c:v>
                </c:pt>
                <c:pt idx="13">
                  <c:v>198.9333404156402</c:v>
                </c:pt>
                <c:pt idx="14">
                  <c:v>208.82097352081621</c:v>
                </c:pt>
                <c:pt idx="15">
                  <c:v>218.62860981137061</c:v>
                </c:pt>
                <c:pt idx="16">
                  <c:v>229.72180027186579</c:v>
                </c:pt>
                <c:pt idx="17">
                  <c:v>240.55987368218251</c:v>
                </c:pt>
                <c:pt idx="18">
                  <c:v>253.22542424536701</c:v>
                </c:pt>
                <c:pt idx="19">
                  <c:v>266.66722456358468</c:v>
                </c:pt>
                <c:pt idx="20">
                  <c:v>279.99392445000149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72-2B48-84EC-07D25EFBF930}"/>
            </c:ext>
          </c:extLst>
        </c:ser>
        <c:ser>
          <c:idx val="3"/>
          <c:order val="3"/>
          <c:tx>
            <c:strRef>
              <c:f>ws_CVaR_Constrained!$I$2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119.0523235108007</c:v>
                </c:pt>
                <c:pt idx="2">
                  <c:v>130.50898744546561</c:v>
                </c:pt>
                <c:pt idx="3">
                  <c:v>141.4639759660422</c:v>
                </c:pt>
                <c:pt idx="4">
                  <c:v>155.59931715517121</c:v>
                </c:pt>
                <c:pt idx="5">
                  <c:v>169.93471614274961</c:v>
                </c:pt>
                <c:pt idx="6">
                  <c:v>184.2177103748634</c:v>
                </c:pt>
                <c:pt idx="7">
                  <c:v>200.83408853713479</c:v>
                </c:pt>
                <c:pt idx="8">
                  <c:v>218.2698160911483</c:v>
                </c:pt>
                <c:pt idx="9">
                  <c:v>237.02388986455779</c:v>
                </c:pt>
                <c:pt idx="10">
                  <c:v>255.4027141156686</c:v>
                </c:pt>
                <c:pt idx="11">
                  <c:v>274.50152593153041</c:v>
                </c:pt>
                <c:pt idx="12">
                  <c:v>296.68289897874848</c:v>
                </c:pt>
                <c:pt idx="13">
                  <c:v>317.28583646015778</c:v>
                </c:pt>
                <c:pt idx="14">
                  <c:v>342.09623589559891</c:v>
                </c:pt>
                <c:pt idx="15">
                  <c:v>368.74344881472013</c:v>
                </c:pt>
                <c:pt idx="16">
                  <c:v>393.91139321886232</c:v>
                </c:pt>
                <c:pt idx="17">
                  <c:v>421.27483871921038</c:v>
                </c:pt>
                <c:pt idx="18">
                  <c:v>452.33259755793671</c:v>
                </c:pt>
                <c:pt idx="19">
                  <c:v>481.30232333864171</c:v>
                </c:pt>
                <c:pt idx="20">
                  <c:v>515.55022481385265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72-2B48-84EC-07D25EFBF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ws_CVaR_Constrained!$N$2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19-7749-A9B8-0C87AF618BF4}"/>
            </c:ext>
          </c:extLst>
        </c:ser>
        <c:ser>
          <c:idx val="1"/>
          <c:order val="1"/>
          <c:tx>
            <c:strRef>
              <c:f>ws_CVaR_Constrained!$O$2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19-7749-A9B8-0C87AF618BF4}"/>
            </c:ext>
          </c:extLst>
        </c:ser>
        <c:ser>
          <c:idx val="2"/>
          <c:order val="2"/>
          <c:tx>
            <c:strRef>
              <c:f>ws_CVaR_Constrained!$P$2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19-7749-A9B8-0C87AF618BF4}"/>
            </c:ext>
          </c:extLst>
        </c:ser>
        <c:ser>
          <c:idx val="3"/>
          <c:order val="3"/>
          <c:tx>
            <c:strRef>
              <c:f>ws_CVaR_Constrained!$Q$2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ws_CVaR_Constrained!$A$3:$A$23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ws_CVaR_Constrained!$Q$3:$Q$23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19-7749-A9B8-0C87AF618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'ws_CVaR_Constrained_(No_Private'!$J$2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8-B64C-901F-47CD72952531}"/>
            </c:ext>
          </c:extLst>
        </c:ser>
        <c:ser>
          <c:idx val="1"/>
          <c:order val="1"/>
          <c:tx>
            <c:strRef>
              <c:f>'ws_CVaR_Constrained_(No_Private'!$K$2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08-B64C-901F-47CD72952531}"/>
            </c:ext>
          </c:extLst>
        </c:ser>
        <c:ser>
          <c:idx val="2"/>
          <c:order val="2"/>
          <c:tx>
            <c:strRef>
              <c:f>'ws_CVaR_Constrained_(No_Private'!$L$2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08-B64C-901F-47CD72952531}"/>
            </c:ext>
          </c:extLst>
        </c:ser>
        <c:ser>
          <c:idx val="3"/>
          <c:order val="3"/>
          <c:tx>
            <c:strRef>
              <c:f>'ws_CVaR_Constrained_(No_Private'!$M$2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08-B64C-901F-47CD72952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'ws_CVaR_Constrained_(No_Private'!$B$2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82.962932226239175</c:v>
                </c:pt>
                <c:pt idx="2">
                  <c:v>82.809881180144245</c:v>
                </c:pt>
                <c:pt idx="3">
                  <c:v>83.17286821885989</c:v>
                </c:pt>
                <c:pt idx="4">
                  <c:v>82.199636780572817</c:v>
                </c:pt>
                <c:pt idx="5">
                  <c:v>83.123612382733739</c:v>
                </c:pt>
                <c:pt idx="6">
                  <c:v>84.051749597966008</c:v>
                </c:pt>
                <c:pt idx="7">
                  <c:v>82.343588652333011</c:v>
                </c:pt>
                <c:pt idx="8">
                  <c:v>83.59597758637976</c:v>
                </c:pt>
                <c:pt idx="9">
                  <c:v>82.392255675479447</c:v>
                </c:pt>
                <c:pt idx="10">
                  <c:v>84.176741799541773</c:v>
                </c:pt>
                <c:pt idx="11">
                  <c:v>85.583976046204626</c:v>
                </c:pt>
                <c:pt idx="12">
                  <c:v>87.492622591332491</c:v>
                </c:pt>
                <c:pt idx="13">
                  <c:v>87.892508164981479</c:v>
                </c:pt>
                <c:pt idx="14">
                  <c:v>89.997095584426518</c:v>
                </c:pt>
                <c:pt idx="15">
                  <c:v>91.19983355940866</c:v>
                </c:pt>
                <c:pt idx="16">
                  <c:v>93.496824285760951</c:v>
                </c:pt>
                <c:pt idx="17">
                  <c:v>96.917956859435833</c:v>
                </c:pt>
                <c:pt idx="18">
                  <c:v>99.481184848279796</c:v>
                </c:pt>
                <c:pt idx="19">
                  <c:v>103.5048833301519</c:v>
                </c:pt>
                <c:pt idx="20">
                  <c:v>107.1291616605307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50-A44D-9512-05FDBE86FC1A}"/>
            </c:ext>
          </c:extLst>
        </c:ser>
        <c:ser>
          <c:idx val="1"/>
          <c:order val="1"/>
          <c:tx>
            <c:strRef>
              <c:f>'ws_CVaR_Constrained_(No_Private'!$C$2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94.411205876420453</c:v>
                </c:pt>
                <c:pt idx="2">
                  <c:v>96.189216880636579</c:v>
                </c:pt>
                <c:pt idx="3">
                  <c:v>99.848564409602147</c:v>
                </c:pt>
                <c:pt idx="4">
                  <c:v>103.0955449068219</c:v>
                </c:pt>
                <c:pt idx="5">
                  <c:v>107.1340665762586</c:v>
                </c:pt>
                <c:pt idx="6">
                  <c:v>111.97834960075799</c:v>
                </c:pt>
                <c:pt idx="7">
                  <c:v>115.7863418046099</c:v>
                </c:pt>
                <c:pt idx="8">
                  <c:v>120.04755626689629</c:v>
                </c:pt>
                <c:pt idx="9">
                  <c:v>123.86652352237989</c:v>
                </c:pt>
                <c:pt idx="10">
                  <c:v>129.16804814302029</c:v>
                </c:pt>
                <c:pt idx="11">
                  <c:v>133.58695393948449</c:v>
                </c:pt>
                <c:pt idx="12">
                  <c:v>139.0611761572213</c:v>
                </c:pt>
                <c:pt idx="13">
                  <c:v>144.46449244784881</c:v>
                </c:pt>
                <c:pt idx="14">
                  <c:v>150.8610012384045</c:v>
                </c:pt>
                <c:pt idx="15">
                  <c:v>157.93350522434781</c:v>
                </c:pt>
                <c:pt idx="16">
                  <c:v>163.97235071340981</c:v>
                </c:pt>
                <c:pt idx="17">
                  <c:v>170.8795429712699</c:v>
                </c:pt>
                <c:pt idx="18">
                  <c:v>178.88056394293821</c:v>
                </c:pt>
                <c:pt idx="19">
                  <c:v>186.05213830295489</c:v>
                </c:pt>
                <c:pt idx="20">
                  <c:v>195.39619880814871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50-A44D-9512-05FDBE86FC1A}"/>
            </c:ext>
          </c:extLst>
        </c:ser>
        <c:ser>
          <c:idx val="2"/>
          <c:order val="2"/>
          <c:tx>
            <c:strRef>
              <c:f>'ws_CVaR_Constrained_(No_Private'!$D$2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108.2700884156696</c:v>
                </c:pt>
                <c:pt idx="2">
                  <c:v>115.4814537145494</c:v>
                </c:pt>
                <c:pt idx="3">
                  <c:v>123.0910386690533</c:v>
                </c:pt>
                <c:pt idx="4">
                  <c:v>132.62937190503189</c:v>
                </c:pt>
                <c:pt idx="5">
                  <c:v>142.97282573539999</c:v>
                </c:pt>
                <c:pt idx="6">
                  <c:v>153.5839787768231</c:v>
                </c:pt>
                <c:pt idx="7">
                  <c:v>165.58365330231149</c:v>
                </c:pt>
                <c:pt idx="8">
                  <c:v>177.92709487320121</c:v>
                </c:pt>
                <c:pt idx="9">
                  <c:v>190.65867569710579</c:v>
                </c:pt>
                <c:pt idx="10">
                  <c:v>203.9786526053168</c:v>
                </c:pt>
                <c:pt idx="11">
                  <c:v>218.65868176408091</c:v>
                </c:pt>
                <c:pt idx="12">
                  <c:v>232.89617030085449</c:v>
                </c:pt>
                <c:pt idx="13">
                  <c:v>248.7348184702881</c:v>
                </c:pt>
                <c:pt idx="14">
                  <c:v>266.10505956432547</c:v>
                </c:pt>
                <c:pt idx="15">
                  <c:v>283.18093640634942</c:v>
                </c:pt>
                <c:pt idx="16">
                  <c:v>302.18491211356809</c:v>
                </c:pt>
                <c:pt idx="17">
                  <c:v>322.31330661901922</c:v>
                </c:pt>
                <c:pt idx="18">
                  <c:v>345.57426247796548</c:v>
                </c:pt>
                <c:pt idx="19">
                  <c:v>368.66118608738111</c:v>
                </c:pt>
                <c:pt idx="20">
                  <c:v>393.5084879475769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50-A44D-9512-05FDBE86FC1A}"/>
            </c:ext>
          </c:extLst>
        </c:ser>
        <c:ser>
          <c:idx val="3"/>
          <c:order val="3"/>
          <c:tx>
            <c:strRef>
              <c:f>'ws_CVaR_Constrained_(No_Private'!$E$2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121.3193555536472</c:v>
                </c:pt>
                <c:pt idx="2">
                  <c:v>135.9721986647811</c:v>
                </c:pt>
                <c:pt idx="3">
                  <c:v>150.27261952986041</c:v>
                </c:pt>
                <c:pt idx="4">
                  <c:v>167.87382805944841</c:v>
                </c:pt>
                <c:pt idx="5">
                  <c:v>187.20240786004359</c:v>
                </c:pt>
                <c:pt idx="6">
                  <c:v>206.34085914669151</c:v>
                </c:pt>
                <c:pt idx="7">
                  <c:v>229.12753166120379</c:v>
                </c:pt>
                <c:pt idx="8">
                  <c:v>253.76199188852229</c:v>
                </c:pt>
                <c:pt idx="9">
                  <c:v>280.33483042365827</c:v>
                </c:pt>
                <c:pt idx="10">
                  <c:v>307.28358989137041</c:v>
                </c:pt>
                <c:pt idx="11">
                  <c:v>336.3422128444206</c:v>
                </c:pt>
                <c:pt idx="12">
                  <c:v>370.91738318249372</c:v>
                </c:pt>
                <c:pt idx="13">
                  <c:v>404.89869286887921</c:v>
                </c:pt>
                <c:pt idx="14">
                  <c:v>443.59631866208531</c:v>
                </c:pt>
                <c:pt idx="15">
                  <c:v>485.90654139099661</c:v>
                </c:pt>
                <c:pt idx="16">
                  <c:v>530.15387742027599</c:v>
                </c:pt>
                <c:pt idx="17">
                  <c:v>580.74834990802992</c:v>
                </c:pt>
                <c:pt idx="18">
                  <c:v>631.50574080138927</c:v>
                </c:pt>
                <c:pt idx="19">
                  <c:v>687.52733247389358</c:v>
                </c:pt>
                <c:pt idx="20">
                  <c:v>749.38918251923837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50-A44D-9512-05FDBE86F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'ws_CVaR_Constrained_(No_Private'!$F$2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80.199914584274964</c:v>
                </c:pt>
                <c:pt idx="2">
                  <c:v>78.371710996650194</c:v>
                </c:pt>
                <c:pt idx="3">
                  <c:v>76.900216419726888</c:v>
                </c:pt>
                <c:pt idx="4">
                  <c:v>74.433408054466071</c:v>
                </c:pt>
                <c:pt idx="5">
                  <c:v>73.622412716523741</c:v>
                </c:pt>
                <c:pt idx="6">
                  <c:v>73.607013262865365</c:v>
                </c:pt>
                <c:pt idx="7">
                  <c:v>70.494505878450738</c:v>
                </c:pt>
                <c:pt idx="8">
                  <c:v>70.368135851307031</c:v>
                </c:pt>
                <c:pt idx="9">
                  <c:v>68.559613135331944</c:v>
                </c:pt>
                <c:pt idx="10">
                  <c:v>68.600629056207936</c:v>
                </c:pt>
                <c:pt idx="11">
                  <c:v>68.237771054138335</c:v>
                </c:pt>
                <c:pt idx="12">
                  <c:v>68.205721607898269</c:v>
                </c:pt>
                <c:pt idx="13">
                  <c:v>67.92886599516757</c:v>
                </c:pt>
                <c:pt idx="14">
                  <c:v>68.410316551243952</c:v>
                </c:pt>
                <c:pt idx="15">
                  <c:v>68.312425373932498</c:v>
                </c:pt>
                <c:pt idx="16">
                  <c:v>68.813484060959752</c:v>
                </c:pt>
                <c:pt idx="17">
                  <c:v>69.41643838773966</c:v>
                </c:pt>
                <c:pt idx="18">
                  <c:v>70.154647945923372</c:v>
                </c:pt>
                <c:pt idx="19">
                  <c:v>71.424454319619898</c:v>
                </c:pt>
                <c:pt idx="20">
                  <c:v>72.374650097486622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9-594D-84EA-A2DA3A134240}"/>
            </c:ext>
          </c:extLst>
        </c:ser>
        <c:ser>
          <c:idx val="1"/>
          <c:order val="1"/>
          <c:tx>
            <c:strRef>
              <c:f>'ws_CVaR_Constrained_(No_Private'!$G$2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92.087908973770922</c:v>
                </c:pt>
                <c:pt idx="2">
                  <c:v>91.46712850864516</c:v>
                </c:pt>
                <c:pt idx="3">
                  <c:v>92.925904416030562</c:v>
                </c:pt>
                <c:pt idx="4">
                  <c:v>93.732714706222367</c:v>
                </c:pt>
                <c:pt idx="5">
                  <c:v>95.61086770265571</c:v>
                </c:pt>
                <c:pt idx="6">
                  <c:v>97.626203147626072</c:v>
                </c:pt>
                <c:pt idx="7">
                  <c:v>98.881664676832258</c:v>
                </c:pt>
                <c:pt idx="8">
                  <c:v>100.5427524194767</c:v>
                </c:pt>
                <c:pt idx="9">
                  <c:v>102.06724228619269</c:v>
                </c:pt>
                <c:pt idx="10">
                  <c:v>104.2132642995377</c:v>
                </c:pt>
                <c:pt idx="11">
                  <c:v>105.7693402075416</c:v>
                </c:pt>
                <c:pt idx="12">
                  <c:v>108.1294287693232</c:v>
                </c:pt>
                <c:pt idx="13">
                  <c:v>110.3264061849664</c:v>
                </c:pt>
                <c:pt idx="14">
                  <c:v>112.6712576280614</c:v>
                </c:pt>
                <c:pt idx="15">
                  <c:v>115.376189834063</c:v>
                </c:pt>
                <c:pt idx="16">
                  <c:v>118.1064862855505</c:v>
                </c:pt>
                <c:pt idx="17">
                  <c:v>120.6455013525172</c:v>
                </c:pt>
                <c:pt idx="18">
                  <c:v>124.0977545787802</c:v>
                </c:pt>
                <c:pt idx="19">
                  <c:v>126.3045261093089</c:v>
                </c:pt>
                <c:pt idx="20">
                  <c:v>129.8291098180016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A9-594D-84EA-A2DA3A134240}"/>
            </c:ext>
          </c:extLst>
        </c:ser>
        <c:ser>
          <c:idx val="2"/>
          <c:order val="2"/>
          <c:tx>
            <c:strRef>
              <c:f>'ws_CVaR_Constrained_(No_Private'!$H$2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105.9351669522465</c:v>
                </c:pt>
                <c:pt idx="2">
                  <c:v>110.3777891649907</c:v>
                </c:pt>
                <c:pt idx="3">
                  <c:v>115.1151503120587</c:v>
                </c:pt>
                <c:pt idx="4">
                  <c:v>121.2883965489508</c:v>
                </c:pt>
                <c:pt idx="5">
                  <c:v>128.05792467647211</c:v>
                </c:pt>
                <c:pt idx="6">
                  <c:v>134.71129692434249</c:v>
                </c:pt>
                <c:pt idx="7">
                  <c:v>142.15607244779471</c:v>
                </c:pt>
                <c:pt idx="8">
                  <c:v>149.56480975538651</c:v>
                </c:pt>
                <c:pt idx="9">
                  <c:v>157.2276700638906</c:v>
                </c:pt>
                <c:pt idx="10">
                  <c:v>165.02521927660189</c:v>
                </c:pt>
                <c:pt idx="11">
                  <c:v>173.15166284990681</c:v>
                </c:pt>
                <c:pt idx="12">
                  <c:v>180.6595457260556</c:v>
                </c:pt>
                <c:pt idx="13">
                  <c:v>189.62089167843979</c:v>
                </c:pt>
                <c:pt idx="14">
                  <c:v>198.5507246981598</c:v>
                </c:pt>
                <c:pt idx="15">
                  <c:v>207.86279317245391</c:v>
                </c:pt>
                <c:pt idx="16">
                  <c:v>217.4124698740365</c:v>
                </c:pt>
                <c:pt idx="17">
                  <c:v>226.97373913110931</c:v>
                </c:pt>
                <c:pt idx="18">
                  <c:v>238.7491786822593</c:v>
                </c:pt>
                <c:pt idx="19">
                  <c:v>250.00912559002691</c:v>
                </c:pt>
                <c:pt idx="20">
                  <c:v>261.09119187300053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A9-594D-84EA-A2DA3A134240}"/>
            </c:ext>
          </c:extLst>
        </c:ser>
        <c:ser>
          <c:idx val="3"/>
          <c:order val="3"/>
          <c:tx>
            <c:strRef>
              <c:f>'ws_CVaR_Constrained_(No_Private'!$I$2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118.8223108629507</c:v>
                </c:pt>
                <c:pt idx="2">
                  <c:v>130.36077834020631</c:v>
                </c:pt>
                <c:pt idx="3">
                  <c:v>140.96415902964301</c:v>
                </c:pt>
                <c:pt idx="4">
                  <c:v>154.34972378157599</c:v>
                </c:pt>
                <c:pt idx="5">
                  <c:v>168.43159913732401</c:v>
                </c:pt>
                <c:pt idx="6">
                  <c:v>181.62832378238991</c:v>
                </c:pt>
                <c:pt idx="7">
                  <c:v>197.77366418245299</c:v>
                </c:pt>
                <c:pt idx="8">
                  <c:v>214.85121066162489</c:v>
                </c:pt>
                <c:pt idx="9">
                  <c:v>232.0004062523916</c:v>
                </c:pt>
                <c:pt idx="10">
                  <c:v>249.95202381846039</c:v>
                </c:pt>
                <c:pt idx="11">
                  <c:v>268.06132841976222</c:v>
                </c:pt>
                <c:pt idx="12">
                  <c:v>288.61352802537311</c:v>
                </c:pt>
                <c:pt idx="13">
                  <c:v>308.90373843079738</c:v>
                </c:pt>
                <c:pt idx="14">
                  <c:v>332.64372186331002</c:v>
                </c:pt>
                <c:pt idx="15">
                  <c:v>356.34263492873879</c:v>
                </c:pt>
                <c:pt idx="16">
                  <c:v>381.18049070762203</c:v>
                </c:pt>
                <c:pt idx="17">
                  <c:v>409.70189475116757</c:v>
                </c:pt>
                <c:pt idx="18">
                  <c:v>437.52446569861002</c:v>
                </c:pt>
                <c:pt idx="19">
                  <c:v>464.08505438301529</c:v>
                </c:pt>
                <c:pt idx="20">
                  <c:v>498.62628917817699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A9-594D-84EA-A2DA3A134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'ws_CVaR_Constrained_(No_Private'!$N$2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3-3547-AFBD-7E5722053157}"/>
            </c:ext>
          </c:extLst>
        </c:ser>
        <c:ser>
          <c:idx val="1"/>
          <c:order val="1"/>
          <c:tx>
            <c:strRef>
              <c:f>'ws_CVaR_Constrained_(No_Private'!$O$2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B3-3547-AFBD-7E5722053157}"/>
            </c:ext>
          </c:extLst>
        </c:ser>
        <c:ser>
          <c:idx val="2"/>
          <c:order val="2"/>
          <c:tx>
            <c:strRef>
              <c:f>'ws_CVaR_Constrained_(No_Private'!$P$2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B3-3547-AFBD-7E5722053157}"/>
            </c:ext>
          </c:extLst>
        </c:ser>
        <c:ser>
          <c:idx val="3"/>
          <c:order val="3"/>
          <c:tx>
            <c:strRef>
              <c:f>'ws_CVaR_Constrained_(No_Private'!$Q$2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'ws_CVaR_Constrained_(No_Private'!$A$3:$A$23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'ws_CVaR_Constrained_(No_Private'!$Q$3:$Q$23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B3-3547-AFBD-7E5722053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workbookViewId="0">
      <selection activeCell="D43" sqref="A1:D43"/>
    </sheetView>
  </sheetViews>
  <sheetFormatPr baseColWidth="10" defaultColWidth="8.83203125" defaultRowHeight="15" x14ac:dyDescent="0.2"/>
  <cols>
    <col min="1" max="1" width="35.83203125" customWidth="1"/>
    <col min="2" max="4" width="18" customWidth="1"/>
  </cols>
  <sheetData>
    <row r="1" spans="1:4" ht="17" x14ac:dyDescent="0.2">
      <c r="A1" s="40"/>
      <c r="B1" s="43"/>
      <c r="C1" s="44" t="s">
        <v>104</v>
      </c>
      <c r="D1" s="45"/>
    </row>
    <row r="2" spans="1:4" ht="37" customHeight="1" x14ac:dyDescent="0.2">
      <c r="A2" s="41"/>
      <c r="B2" s="42" t="s">
        <v>0</v>
      </c>
      <c r="C2" s="42" t="s">
        <v>103</v>
      </c>
      <c r="D2" s="46" t="s">
        <v>105</v>
      </c>
    </row>
    <row r="3" spans="1:4" ht="17" customHeight="1" x14ac:dyDescent="0.2">
      <c r="A3" s="47" t="s">
        <v>2</v>
      </c>
      <c r="B3" s="1">
        <v>0.38000000000000012</v>
      </c>
      <c r="C3" s="1">
        <v>0.1195683940882096</v>
      </c>
      <c r="D3" s="48">
        <v>0.10000000885698709</v>
      </c>
    </row>
    <row r="4" spans="1:4" ht="17" customHeight="1" x14ac:dyDescent="0.2">
      <c r="A4" s="49" t="s">
        <v>3</v>
      </c>
      <c r="B4" s="2">
        <v>20</v>
      </c>
      <c r="C4" s="2">
        <v>10.000000106863361</v>
      </c>
      <c r="D4" s="50">
        <v>10.00000006197099</v>
      </c>
    </row>
    <row r="5" spans="1:4" ht="17" customHeight="1" x14ac:dyDescent="0.2">
      <c r="A5" s="49" t="s">
        <v>4</v>
      </c>
      <c r="B5" s="2">
        <v>18</v>
      </c>
      <c r="C5" s="2" t="s">
        <v>100</v>
      </c>
      <c r="D5" s="50" t="s">
        <v>100</v>
      </c>
    </row>
    <row r="6" spans="1:4" ht="17" customHeight="1" x14ac:dyDescent="0.2">
      <c r="A6" s="49" t="s">
        <v>5</v>
      </c>
      <c r="B6" s="2" t="s">
        <v>100</v>
      </c>
      <c r="C6" s="2">
        <v>0.18339941076784291</v>
      </c>
      <c r="D6" s="50" t="s">
        <v>100</v>
      </c>
    </row>
    <row r="7" spans="1:4" ht="17" customHeight="1" x14ac:dyDescent="0.2">
      <c r="A7" s="49" t="s">
        <v>6</v>
      </c>
      <c r="B7" s="2" t="s">
        <v>100</v>
      </c>
      <c r="C7" s="2">
        <v>1.773439832331926</v>
      </c>
      <c r="D7" s="50" t="s">
        <v>100</v>
      </c>
    </row>
    <row r="8" spans="1:4" ht="17" customHeight="1" x14ac:dyDescent="0.2">
      <c r="A8" s="47" t="s">
        <v>7</v>
      </c>
      <c r="B8" s="1">
        <v>0</v>
      </c>
      <c r="C8" s="1">
        <v>9.8203292763567068E-2</v>
      </c>
      <c r="D8" s="48">
        <v>0.1258591953074798</v>
      </c>
    </row>
    <row r="9" spans="1:4" ht="17" customHeight="1" x14ac:dyDescent="0.2">
      <c r="A9" s="49" t="s">
        <v>8</v>
      </c>
      <c r="B9" s="2" t="s">
        <v>100</v>
      </c>
      <c r="C9" s="2">
        <v>5.8658301181650057</v>
      </c>
      <c r="D9" s="50">
        <v>6.6775186516048901</v>
      </c>
    </row>
    <row r="10" spans="1:4" ht="17" customHeight="1" x14ac:dyDescent="0.2">
      <c r="A10" s="49" t="s">
        <v>9</v>
      </c>
      <c r="B10" s="2" t="s">
        <v>100</v>
      </c>
      <c r="C10" s="2">
        <v>3.9544991581917022</v>
      </c>
      <c r="D10" s="50">
        <v>5.9084008791430884</v>
      </c>
    </row>
    <row r="11" spans="1:4" ht="17" customHeight="1" x14ac:dyDescent="0.2">
      <c r="A11" s="47" t="s">
        <v>10</v>
      </c>
      <c r="B11" s="1">
        <v>0.46000000000000008</v>
      </c>
      <c r="C11" s="1">
        <v>0.53698825077355972</v>
      </c>
      <c r="D11" s="48">
        <v>0.6897393881708318</v>
      </c>
    </row>
    <row r="12" spans="1:4" ht="17" customHeight="1" x14ac:dyDescent="0.2">
      <c r="A12" s="49" t="s">
        <v>11</v>
      </c>
      <c r="B12" s="2">
        <v>10</v>
      </c>
      <c r="C12" s="2" t="s">
        <v>100</v>
      </c>
      <c r="D12" s="50" t="s">
        <v>100</v>
      </c>
    </row>
    <row r="13" spans="1:4" ht="17" customHeight="1" x14ac:dyDescent="0.2">
      <c r="A13" s="51" t="s">
        <v>102</v>
      </c>
      <c r="B13" s="2">
        <f>SUM(B14:B16)</f>
        <v>11.000000000000002</v>
      </c>
      <c r="C13" s="2">
        <f t="shared" ref="C13:D13" si="0">SUM(C14:C16)</f>
        <v>22.725467340865517</v>
      </c>
      <c r="D13" s="50">
        <f t="shared" si="0"/>
        <v>30.240150843168902</v>
      </c>
    </row>
    <row r="14" spans="1:4" ht="17" hidden="1" customHeight="1" x14ac:dyDescent="0.2">
      <c r="A14" s="49" t="s">
        <v>12</v>
      </c>
      <c r="B14" s="2">
        <v>6.0000000000000009</v>
      </c>
      <c r="C14" s="2">
        <v>9.0901869363454537</v>
      </c>
      <c r="D14" s="50">
        <v>12.096060337267151</v>
      </c>
    </row>
    <row r="15" spans="1:4" ht="17" hidden="1" customHeight="1" x14ac:dyDescent="0.2">
      <c r="A15" s="49" t="s">
        <v>13</v>
      </c>
      <c r="B15" s="2">
        <v>5.0000000000000009</v>
      </c>
      <c r="C15" s="2">
        <v>10.22646030338934</v>
      </c>
      <c r="D15" s="50">
        <v>13.608067879425979</v>
      </c>
    </row>
    <row r="16" spans="1:4" ht="17" hidden="1" customHeight="1" x14ac:dyDescent="0.2">
      <c r="A16" s="49" t="s">
        <v>14</v>
      </c>
      <c r="B16" s="2" t="s">
        <v>100</v>
      </c>
      <c r="C16" s="2">
        <v>3.4088201011307251</v>
      </c>
      <c r="D16" s="50">
        <v>4.5360226264757726</v>
      </c>
    </row>
    <row r="17" spans="1:4" ht="17" customHeight="1" x14ac:dyDescent="0.2">
      <c r="A17" s="49" t="s">
        <v>15</v>
      </c>
      <c r="B17" s="2">
        <v>7.0000000000000018</v>
      </c>
      <c r="C17" s="2">
        <v>5.9161392337862226</v>
      </c>
      <c r="D17" s="50">
        <v>5.8007736571083219</v>
      </c>
    </row>
    <row r="18" spans="1:4" ht="17" customHeight="1" x14ac:dyDescent="0.2">
      <c r="A18" s="49" t="s">
        <v>16</v>
      </c>
      <c r="B18" s="2" t="s">
        <v>100</v>
      </c>
      <c r="C18" s="2">
        <v>8.0784033687053576</v>
      </c>
      <c r="D18" s="50">
        <v>9.9163856541468185</v>
      </c>
    </row>
    <row r="19" spans="1:4" ht="17" customHeight="1" x14ac:dyDescent="0.2">
      <c r="A19" s="49" t="s">
        <v>17</v>
      </c>
      <c r="B19" s="2">
        <v>4.0000000000000009</v>
      </c>
      <c r="C19" s="2">
        <v>0.87231566999246035</v>
      </c>
      <c r="D19" s="50" t="s">
        <v>100</v>
      </c>
    </row>
    <row r="20" spans="1:4" ht="17" customHeight="1" x14ac:dyDescent="0.2">
      <c r="A20" s="49" t="s">
        <v>18</v>
      </c>
      <c r="B20" s="2">
        <v>8.0000000000000018</v>
      </c>
      <c r="C20" s="2">
        <v>6.7832188097062156</v>
      </c>
      <c r="D20" s="50">
        <v>8.8636316996163611</v>
      </c>
    </row>
    <row r="21" spans="1:4" ht="17" customHeight="1" x14ac:dyDescent="0.2">
      <c r="A21" s="49" t="s">
        <v>19</v>
      </c>
      <c r="B21" s="2">
        <v>6.0000000000000009</v>
      </c>
      <c r="C21" s="2">
        <v>5.5625286232475677</v>
      </c>
      <c r="D21" s="50">
        <v>8.0435806461818746</v>
      </c>
    </row>
    <row r="22" spans="1:4" ht="17" customHeight="1" x14ac:dyDescent="0.2">
      <c r="A22" s="51" t="s">
        <v>101</v>
      </c>
      <c r="B22" s="2">
        <v>6.0000000000000009</v>
      </c>
      <c r="C22" s="2">
        <v>5.5625286232475677</v>
      </c>
      <c r="D22" s="50">
        <v>8.0435806461818746</v>
      </c>
    </row>
    <row r="23" spans="1:4" ht="17" hidden="1" customHeight="1" x14ac:dyDescent="0.2">
      <c r="A23" s="49" t="s">
        <v>20</v>
      </c>
      <c r="B23" s="2" t="s">
        <v>100</v>
      </c>
      <c r="C23" s="2">
        <v>1.8803760152213951</v>
      </c>
      <c r="D23" s="50">
        <v>3.054708116424778</v>
      </c>
    </row>
    <row r="24" spans="1:4" ht="17" hidden="1" customHeight="1" x14ac:dyDescent="0.2">
      <c r="A24" s="49" t="s">
        <v>21</v>
      </c>
      <c r="B24" s="2" t="s">
        <v>100</v>
      </c>
      <c r="C24" s="2">
        <v>1.880376015244513</v>
      </c>
      <c r="D24" s="50">
        <v>3.0547081164340608</v>
      </c>
    </row>
    <row r="25" spans="1:4" ht="17" customHeight="1" x14ac:dyDescent="0.2">
      <c r="A25" s="47" t="s">
        <v>22</v>
      </c>
      <c r="B25" s="1">
        <v>0.16</v>
      </c>
      <c r="C25" s="1">
        <v>5.8566761322804889E-2</v>
      </c>
      <c r="D25" s="48">
        <v>8.4401407642138632E-2</v>
      </c>
    </row>
    <row r="26" spans="1:4" ht="17" customHeight="1" x14ac:dyDescent="0.2">
      <c r="A26" s="49" t="s">
        <v>23</v>
      </c>
      <c r="B26" s="2">
        <v>16</v>
      </c>
      <c r="C26" s="2" t="s">
        <v>100</v>
      </c>
      <c r="D26" s="50" t="s">
        <v>100</v>
      </c>
    </row>
    <row r="27" spans="1:4" ht="17" customHeight="1" x14ac:dyDescent="0.2">
      <c r="A27" s="49" t="s">
        <v>24</v>
      </c>
      <c r="B27" s="2" t="s">
        <v>100</v>
      </c>
      <c r="C27" s="2" t="s">
        <v>100</v>
      </c>
      <c r="D27" s="50" t="s">
        <v>100</v>
      </c>
    </row>
    <row r="28" spans="1:4" ht="17" customHeight="1" x14ac:dyDescent="0.2">
      <c r="A28" s="49" t="s">
        <v>25</v>
      </c>
      <c r="B28" s="2" t="s">
        <v>100</v>
      </c>
      <c r="C28" s="2" t="s">
        <v>100</v>
      </c>
      <c r="D28" s="50" t="s">
        <v>100</v>
      </c>
    </row>
    <row r="29" spans="1:4" ht="17" customHeight="1" x14ac:dyDescent="0.2">
      <c r="A29" s="49" t="s">
        <v>26</v>
      </c>
      <c r="B29" s="2" t="s">
        <v>100</v>
      </c>
      <c r="C29" s="2">
        <v>5.8566653300804479</v>
      </c>
      <c r="D29" s="50">
        <v>8.4401405828002485</v>
      </c>
    </row>
    <row r="30" spans="1:4" ht="17" customHeight="1" x14ac:dyDescent="0.2">
      <c r="A30" s="47" t="s">
        <v>27</v>
      </c>
      <c r="B30" s="1">
        <v>0</v>
      </c>
      <c r="C30" s="1">
        <v>8.0261708715675062E-2</v>
      </c>
      <c r="D30" s="48">
        <v>1.1948305099273691E-11</v>
      </c>
    </row>
    <row r="31" spans="1:4" ht="17" customHeight="1" x14ac:dyDescent="0.2">
      <c r="A31" s="49" t="s">
        <v>28</v>
      </c>
      <c r="B31" s="2" t="s">
        <v>100</v>
      </c>
      <c r="C31" s="2">
        <v>3.334031345511868</v>
      </c>
      <c r="D31" s="50" t="s">
        <v>100</v>
      </c>
    </row>
    <row r="32" spans="1:4" ht="17" customHeight="1" x14ac:dyDescent="0.2">
      <c r="A32" s="49" t="s">
        <v>29</v>
      </c>
      <c r="B32" s="2" t="s">
        <v>100</v>
      </c>
      <c r="C32" s="2">
        <v>2.6549184895654752</v>
      </c>
      <c r="D32" s="50" t="s">
        <v>100</v>
      </c>
    </row>
    <row r="33" spans="1:4" ht="17" customHeight="1" x14ac:dyDescent="0.2">
      <c r="A33" s="49" t="s">
        <v>30</v>
      </c>
      <c r="B33" s="2" t="s">
        <v>100</v>
      </c>
      <c r="C33" s="2">
        <v>2.037221036490164</v>
      </c>
      <c r="D33" s="50" t="s">
        <v>100</v>
      </c>
    </row>
    <row r="34" spans="1:4" ht="17" customHeight="1" x14ac:dyDescent="0.2">
      <c r="A34" s="47" t="s">
        <v>31</v>
      </c>
      <c r="B34" s="1">
        <v>0</v>
      </c>
      <c r="C34" s="1">
        <v>0.1064115923361903</v>
      </c>
      <c r="D34" s="48">
        <v>1.059085040001941E-11</v>
      </c>
    </row>
    <row r="35" spans="1:4" ht="17" customHeight="1" x14ac:dyDescent="0.2">
      <c r="A35" s="49" t="s">
        <v>32</v>
      </c>
      <c r="B35" s="2" t="s">
        <v>100</v>
      </c>
      <c r="C35" s="2">
        <v>4.5378013972356923</v>
      </c>
      <c r="D35" s="50" t="s">
        <v>100</v>
      </c>
    </row>
    <row r="36" spans="1:4" ht="17" customHeight="1" x14ac:dyDescent="0.2">
      <c r="A36" s="49" t="s">
        <v>33</v>
      </c>
      <c r="B36" s="2" t="s">
        <v>100</v>
      </c>
      <c r="C36" s="2">
        <v>4.5775183772807653</v>
      </c>
      <c r="D36" s="50" t="s">
        <v>100</v>
      </c>
    </row>
    <row r="37" spans="1:4" ht="17" customHeight="1" x14ac:dyDescent="0.2">
      <c r="A37" s="49" t="s">
        <v>34</v>
      </c>
      <c r="B37" s="2" t="s">
        <v>100</v>
      </c>
      <c r="C37" s="2">
        <v>1.525839459102567</v>
      </c>
      <c r="D37" s="50" t="s">
        <v>100</v>
      </c>
    </row>
    <row r="38" spans="1:4" ht="23" customHeight="1" x14ac:dyDescent="0.2">
      <c r="A38" s="52" t="s">
        <v>35</v>
      </c>
      <c r="B38" s="3">
        <v>1</v>
      </c>
      <c r="C38" s="3">
        <v>1</v>
      </c>
      <c r="D38" s="53">
        <v>1</v>
      </c>
    </row>
    <row r="39" spans="1:4" ht="3" customHeight="1" x14ac:dyDescent="0.2">
      <c r="A39" s="54"/>
      <c r="B39" s="4">
        <v>0</v>
      </c>
      <c r="C39" s="4">
        <v>0</v>
      </c>
      <c r="D39" s="55">
        <v>0</v>
      </c>
    </row>
    <row r="40" spans="1:4" ht="23" customHeight="1" x14ac:dyDescent="0.2">
      <c r="A40" s="56" t="s">
        <v>36</v>
      </c>
      <c r="B40" s="5">
        <v>5.3990265611727463E-2</v>
      </c>
      <c r="C40" s="5">
        <v>7.4021153414942559E-2</v>
      </c>
      <c r="D40" s="57">
        <v>7.2170147608345392E-2</v>
      </c>
    </row>
    <row r="41" spans="1:4" ht="23" customHeight="1" x14ac:dyDescent="0.2">
      <c r="A41" s="56" t="s">
        <v>37</v>
      </c>
      <c r="B41" s="6">
        <v>0.39333907606745733</v>
      </c>
      <c r="C41" s="6">
        <v>0.48924486213046059</v>
      </c>
      <c r="D41" s="58">
        <v>0.44608631260938031</v>
      </c>
    </row>
    <row r="42" spans="1:4" ht="3" customHeight="1" x14ac:dyDescent="0.2">
      <c r="A42" s="54"/>
      <c r="B42" s="4">
        <v>0</v>
      </c>
      <c r="C42" s="4">
        <v>0</v>
      </c>
      <c r="D42" s="55">
        <v>0</v>
      </c>
    </row>
    <row r="43" spans="1:4" ht="23" customHeight="1" x14ac:dyDescent="0.2">
      <c r="A43" s="59" t="s">
        <v>38</v>
      </c>
      <c r="B43" s="60">
        <v>7.3702989038281208E-2</v>
      </c>
      <c r="C43" s="60">
        <v>0.10019758450088891</v>
      </c>
      <c r="D43" s="61">
        <v>0.10574219893101799</v>
      </c>
    </row>
  </sheetData>
  <mergeCells count="1">
    <mergeCell ref="C1:D1"/>
  </mergeCells>
  <pageMargins left="0.75" right="0.75" top="1" bottom="1" header="0.5" footer="0.5"/>
  <ignoredErrors>
    <ignoredError sqref="C13:E1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abSelected="1" workbookViewId="0">
      <selection activeCell="L14" sqref="L14"/>
    </sheetView>
  </sheetViews>
  <sheetFormatPr baseColWidth="10" defaultColWidth="8.83203125" defaultRowHeight="15" x14ac:dyDescent="0.2"/>
  <cols>
    <col min="1" max="1" width="27.1640625" customWidth="1"/>
    <col min="2" max="7" width="8.5" customWidth="1"/>
  </cols>
  <sheetData>
    <row r="1" spans="1:7" ht="35" customHeight="1" x14ac:dyDescent="0.2">
      <c r="A1" s="80"/>
      <c r="B1" s="81" t="s">
        <v>0</v>
      </c>
      <c r="C1" s="82"/>
      <c r="D1" s="81" t="s">
        <v>1</v>
      </c>
      <c r="E1" s="82"/>
      <c r="F1" s="83" t="s">
        <v>106</v>
      </c>
      <c r="G1" s="84"/>
    </row>
    <row r="2" spans="1:7" s="77" customFormat="1" ht="16" customHeight="1" x14ac:dyDescent="0.2">
      <c r="A2" s="85" t="s">
        <v>2</v>
      </c>
      <c r="B2" s="76">
        <v>0.38000000000000012</v>
      </c>
      <c r="C2" s="86"/>
      <c r="D2" s="76">
        <v>0.1195683940882096</v>
      </c>
      <c r="E2" s="86"/>
      <c r="F2" s="76">
        <v>0.10000000885698709</v>
      </c>
      <c r="G2" s="87"/>
    </row>
    <row r="3" spans="1:7" s="77" customFormat="1" ht="16" customHeight="1" x14ac:dyDescent="0.2">
      <c r="A3" s="85" t="s">
        <v>7</v>
      </c>
      <c r="B3" s="76">
        <v>0</v>
      </c>
      <c r="C3" s="86"/>
      <c r="D3" s="76">
        <v>9.8203292763567068E-2</v>
      </c>
      <c r="E3" s="86"/>
      <c r="F3" s="76">
        <v>0.1258591953074798</v>
      </c>
      <c r="G3" s="87"/>
    </row>
    <row r="4" spans="1:7" s="77" customFormat="1" ht="16" customHeight="1" x14ac:dyDescent="0.2">
      <c r="A4" s="85" t="s">
        <v>10</v>
      </c>
      <c r="B4" s="76">
        <v>0.46000000000000008</v>
      </c>
      <c r="C4" s="86"/>
      <c r="D4" s="76">
        <v>0.53698825077355972</v>
      </c>
      <c r="E4" s="86"/>
      <c r="F4" s="76">
        <v>0.6897393881708318</v>
      </c>
      <c r="G4" s="87"/>
    </row>
    <row r="5" spans="1:7" s="77" customFormat="1" ht="16" customHeight="1" x14ac:dyDescent="0.2">
      <c r="A5" s="85" t="s">
        <v>22</v>
      </c>
      <c r="B5" s="76">
        <v>0.16</v>
      </c>
      <c r="C5" s="86"/>
      <c r="D5" s="76">
        <v>5.8566761322804889E-2</v>
      </c>
      <c r="E5" s="86"/>
      <c r="F5" s="76">
        <v>8.4401407642138632E-2</v>
      </c>
      <c r="G5" s="87"/>
    </row>
    <row r="6" spans="1:7" s="77" customFormat="1" ht="16" customHeight="1" x14ac:dyDescent="0.2">
      <c r="A6" s="85" t="s">
        <v>27</v>
      </c>
      <c r="B6" s="76">
        <v>0</v>
      </c>
      <c r="C6" s="86"/>
      <c r="D6" s="76">
        <v>8.0261708715675062E-2</v>
      </c>
      <c r="E6" s="86"/>
      <c r="F6" s="76">
        <v>1.1948305099273691E-11</v>
      </c>
      <c r="G6" s="87"/>
    </row>
    <row r="7" spans="1:7" s="77" customFormat="1" ht="16" customHeight="1" x14ac:dyDescent="0.2">
      <c r="A7" s="85" t="s">
        <v>31</v>
      </c>
      <c r="B7" s="76">
        <v>0</v>
      </c>
      <c r="C7" s="86"/>
      <c r="D7" s="76">
        <v>0.1064115923361903</v>
      </c>
      <c r="E7" s="86"/>
      <c r="F7" s="76">
        <v>1.059085040001941E-11</v>
      </c>
      <c r="G7" s="87"/>
    </row>
    <row r="8" spans="1:7" s="77" customFormat="1" ht="16" customHeight="1" x14ac:dyDescent="0.2">
      <c r="A8" s="88" t="s">
        <v>36</v>
      </c>
      <c r="B8" s="89">
        <v>5.3990265611727463E-2</v>
      </c>
      <c r="C8" s="78"/>
      <c r="D8" s="89">
        <v>7.4021153414942559E-2</v>
      </c>
      <c r="E8" s="78"/>
      <c r="F8" s="89">
        <v>7.2170147608345392E-2</v>
      </c>
      <c r="G8" s="90"/>
    </row>
    <row r="9" spans="1:7" s="77" customFormat="1" ht="16" customHeight="1" x14ac:dyDescent="0.2">
      <c r="A9" s="85" t="s">
        <v>37</v>
      </c>
      <c r="B9" s="79">
        <v>0.39333907606745733</v>
      </c>
      <c r="C9" s="86"/>
      <c r="D9" s="79">
        <v>0.48924486213046059</v>
      </c>
      <c r="E9" s="86"/>
      <c r="F9" s="79">
        <v>0.44608631260938031</v>
      </c>
      <c r="G9" s="87"/>
    </row>
    <row r="10" spans="1:7" s="77" customFormat="1" ht="16" customHeight="1" x14ac:dyDescent="0.2">
      <c r="A10" s="85" t="s">
        <v>38</v>
      </c>
      <c r="B10" s="76">
        <v>7.3702989038281208E-2</v>
      </c>
      <c r="C10" s="86"/>
      <c r="D10" s="76">
        <v>0.10019758450088891</v>
      </c>
      <c r="E10" s="86"/>
      <c r="F10" s="76">
        <v>0.10574219893101799</v>
      </c>
      <c r="G10" s="87"/>
    </row>
    <row r="11" spans="1:7" ht="16" customHeight="1" x14ac:dyDescent="0.2">
      <c r="A11" s="91" t="s">
        <v>39</v>
      </c>
      <c r="B11" s="75"/>
      <c r="C11" s="75"/>
      <c r="D11" s="75"/>
      <c r="E11" s="75"/>
      <c r="F11" s="75"/>
      <c r="G11" s="92"/>
    </row>
    <row r="12" spans="1:7" ht="16" customHeight="1" x14ac:dyDescent="0.2">
      <c r="A12" s="93" t="s">
        <v>107</v>
      </c>
      <c r="B12" s="62" t="s">
        <v>40</v>
      </c>
      <c r="C12" s="63" t="s">
        <v>41</v>
      </c>
      <c r="D12" s="62" t="s">
        <v>40</v>
      </c>
      <c r="E12" s="63" t="s">
        <v>41</v>
      </c>
      <c r="F12" s="62" t="s">
        <v>40</v>
      </c>
      <c r="G12" s="64" t="s">
        <v>41</v>
      </c>
    </row>
    <row r="13" spans="1:7" ht="16" customHeight="1" x14ac:dyDescent="0.2">
      <c r="A13" s="94" t="s">
        <v>42</v>
      </c>
      <c r="B13" s="65">
        <v>-0.14483801254945641</v>
      </c>
      <c r="C13" s="66">
        <v>-0.27328000394130852</v>
      </c>
      <c r="D13" s="65">
        <v>-0.23379284422402721</v>
      </c>
      <c r="E13" s="66">
        <v>-0.34887416723739889</v>
      </c>
      <c r="F13" s="65">
        <v>-0.26445500815631701</v>
      </c>
      <c r="G13" s="67">
        <v>-0.37493099387261369</v>
      </c>
    </row>
    <row r="14" spans="1:7" ht="16" customHeight="1" x14ac:dyDescent="0.2">
      <c r="A14" s="94" t="s">
        <v>43</v>
      </c>
      <c r="B14" s="65">
        <v>0.14089278218308249</v>
      </c>
      <c r="C14" s="66">
        <v>-3.8581176310079401E-2</v>
      </c>
      <c r="D14" s="65">
        <v>0.10642071931768871</v>
      </c>
      <c r="E14" s="66">
        <v>-6.7630435493571728E-2</v>
      </c>
      <c r="F14" s="65">
        <v>0.1241280838837735</v>
      </c>
      <c r="G14" s="67">
        <v>-5.2708618231130488E-2</v>
      </c>
    </row>
    <row r="15" spans="1:7" ht="16" customHeight="1" x14ac:dyDescent="0.2">
      <c r="A15" s="94" t="s">
        <v>44</v>
      </c>
      <c r="B15" s="65">
        <v>3.3694949225525413E-2</v>
      </c>
      <c r="C15" s="66">
        <v>-9.2473682099793786E-2</v>
      </c>
      <c r="D15" s="65">
        <v>4.8966060635684538E-3</v>
      </c>
      <c r="E15" s="66">
        <v>-0.11775701578636991</v>
      </c>
      <c r="F15" s="65">
        <v>-4.5562031853126461E-2</v>
      </c>
      <c r="G15" s="67">
        <v>-0.16205687611664141</v>
      </c>
    </row>
    <row r="16" spans="1:7" ht="16" customHeight="1" x14ac:dyDescent="0.2">
      <c r="A16" s="94" t="s">
        <v>45</v>
      </c>
      <c r="B16" s="65">
        <v>-9.2492094367075506E-2</v>
      </c>
      <c r="C16" s="66">
        <v>-9.4866958609828744E-2</v>
      </c>
      <c r="D16" s="65">
        <v>-0.12593996086157011</v>
      </c>
      <c r="E16" s="66">
        <v>-0.12822729513170161</v>
      </c>
      <c r="F16" s="65">
        <v>-0.13756060532915729</v>
      </c>
      <c r="G16" s="67">
        <v>-0.13981752944764969</v>
      </c>
    </row>
    <row r="17" spans="1:7" ht="16" customHeight="1" x14ac:dyDescent="0.2">
      <c r="A17" s="94" t="s">
        <v>46</v>
      </c>
      <c r="B17" s="65">
        <v>-1.800790865081359E-2</v>
      </c>
      <c r="C17" s="66">
        <v>-4.0952317120729331E-2</v>
      </c>
      <c r="D17" s="65">
        <v>-3.3187858506079193E-2</v>
      </c>
      <c r="E17" s="66">
        <v>-5.5777584923969892E-2</v>
      </c>
      <c r="F17" s="65">
        <v>-4.6383780036937328E-2</v>
      </c>
      <c r="G17" s="67">
        <v>-6.8665181554446231E-2</v>
      </c>
    </row>
    <row r="18" spans="1:7" ht="16" customHeight="1" x14ac:dyDescent="0.2">
      <c r="A18" s="94" t="s">
        <v>47</v>
      </c>
      <c r="B18" s="65">
        <v>-8.010668726471748E-2</v>
      </c>
      <c r="C18" s="66">
        <v>-8.1236174035639541E-2</v>
      </c>
      <c r="D18" s="65">
        <v>-0.1121461577072744</v>
      </c>
      <c r="E18" s="66">
        <v>-0.1132363049618513</v>
      </c>
      <c r="F18" s="65">
        <v>-0.1175759576971681</v>
      </c>
      <c r="G18" s="67">
        <v>-0.118659437996814</v>
      </c>
    </row>
    <row r="19" spans="1:7" ht="16" customHeight="1" x14ac:dyDescent="0.2">
      <c r="A19" s="94" t="s">
        <v>48</v>
      </c>
      <c r="B19" s="65">
        <v>-0.19376490842818589</v>
      </c>
      <c r="C19" s="66">
        <v>-0.2374671350378057</v>
      </c>
      <c r="D19" s="65">
        <v>-0.2047497929460721</v>
      </c>
      <c r="E19" s="66">
        <v>-0.2478565804368795</v>
      </c>
      <c r="F19" s="65">
        <v>-0.2581721332226371</v>
      </c>
      <c r="G19" s="67">
        <v>-0.29838314596338861</v>
      </c>
    </row>
    <row r="20" spans="1:7" ht="16" customHeight="1" x14ac:dyDescent="0.2">
      <c r="A20" s="94" t="s">
        <v>49</v>
      </c>
      <c r="B20" s="65">
        <v>-0.27355460831394218</v>
      </c>
      <c r="C20" s="66">
        <v>-0.2855606159971591</v>
      </c>
      <c r="D20" s="65">
        <v>-0.37356940807596628</v>
      </c>
      <c r="E20" s="66">
        <v>-0.38392246501006871</v>
      </c>
      <c r="F20" s="65">
        <v>-0.38423227131995957</v>
      </c>
      <c r="G20" s="67">
        <v>-0.39440910245719207</v>
      </c>
    </row>
    <row r="21" spans="1:7" ht="16" customHeight="1" x14ac:dyDescent="0.2">
      <c r="A21" s="94" t="s">
        <v>50</v>
      </c>
      <c r="B21" s="65">
        <v>-9.2205775861361805E-2</v>
      </c>
      <c r="C21" s="68">
        <v>-8.8992249958941394E-2</v>
      </c>
      <c r="D21" s="65">
        <v>-0.13961472916312889</v>
      </c>
      <c r="E21" s="68">
        <v>-0.13656902752681499</v>
      </c>
      <c r="F21" s="65">
        <v>-0.139856688064115</v>
      </c>
      <c r="G21" s="67">
        <v>-0.13681184294481241</v>
      </c>
    </row>
    <row r="22" spans="1:7" ht="16" customHeight="1" x14ac:dyDescent="0.2">
      <c r="A22" s="93" t="s">
        <v>51</v>
      </c>
      <c r="B22" s="62"/>
      <c r="C22" s="62"/>
      <c r="D22" s="62"/>
      <c r="E22" s="62"/>
      <c r="F22" s="62"/>
      <c r="G22" s="64"/>
    </row>
    <row r="23" spans="1:7" ht="16" customHeight="1" x14ac:dyDescent="0.2">
      <c r="A23" s="94" t="s">
        <v>52</v>
      </c>
      <c r="B23" s="69">
        <v>5.3102767438950482E-2</v>
      </c>
      <c r="C23" s="69">
        <v>5.5106230134363672E-2</v>
      </c>
      <c r="D23" s="69">
        <v>7.704517508971398E-2</v>
      </c>
      <c r="E23" s="69">
        <v>7.899797999575231E-2</v>
      </c>
      <c r="F23" s="69">
        <v>7.9907556369483212E-2</v>
      </c>
      <c r="G23" s="70">
        <v>8.1854304996215932E-2</v>
      </c>
    </row>
    <row r="24" spans="1:7" ht="16" customHeight="1" x14ac:dyDescent="0.2">
      <c r="A24" s="94" t="s">
        <v>53</v>
      </c>
      <c r="B24" s="69">
        <v>0.17132123066237159</v>
      </c>
      <c r="C24" s="69">
        <v>0.19065281809377871</v>
      </c>
      <c r="D24" s="69">
        <v>0.24999999999987649</v>
      </c>
      <c r="E24" s="69">
        <v>0.2692058486512976</v>
      </c>
      <c r="F24" s="69">
        <v>0.250000000000004</v>
      </c>
      <c r="G24" s="70">
        <v>0.26750178410431757</v>
      </c>
    </row>
    <row r="25" spans="1:7" ht="16" customHeight="1" x14ac:dyDescent="0.2">
      <c r="A25" s="94" t="s">
        <v>54</v>
      </c>
      <c r="B25" s="71">
        <v>0.19407783094955511</v>
      </c>
      <c r="C25" s="71">
        <v>0.24433009294119579</v>
      </c>
      <c r="D25" s="71">
        <v>0.26209908798786558</v>
      </c>
      <c r="E25" s="71">
        <v>0.30789048302318561</v>
      </c>
      <c r="F25" s="71">
        <v>0.27952519244177032</v>
      </c>
      <c r="G25" s="72">
        <v>0.32677092718606737</v>
      </c>
    </row>
    <row r="26" spans="1:7" ht="16" customHeight="1" x14ac:dyDescent="0.2">
      <c r="A26" s="93" t="s">
        <v>55</v>
      </c>
      <c r="B26" s="62"/>
      <c r="C26" s="62"/>
      <c r="D26" s="62"/>
      <c r="E26" s="62"/>
      <c r="F26" s="62"/>
      <c r="G26" s="64"/>
    </row>
    <row r="27" spans="1:7" ht="16" customHeight="1" x14ac:dyDescent="0.2">
      <c r="A27" s="94" t="s">
        <v>52</v>
      </c>
      <c r="B27" s="69">
        <v>7.4840608538578102E-2</v>
      </c>
      <c r="C27" s="69">
        <v>7.6798077907340279E-2</v>
      </c>
      <c r="D27" s="69">
        <v>0.1082842562269809</v>
      </c>
      <c r="E27" s="69">
        <v>0.11017096490679169</v>
      </c>
      <c r="F27" s="69">
        <v>0.1103160954813748</v>
      </c>
      <c r="G27" s="70">
        <v>0.1121985051580741</v>
      </c>
    </row>
    <row r="28" spans="1:7" ht="16" customHeight="1" x14ac:dyDescent="0.2">
      <c r="A28" s="94" t="s">
        <v>53</v>
      </c>
      <c r="B28" s="69">
        <v>0.2092701813090129</v>
      </c>
      <c r="C28" s="69">
        <v>0.2273215691058684</v>
      </c>
      <c r="D28" s="69">
        <v>0.29340468066220182</v>
      </c>
      <c r="E28" s="69">
        <v>0.30948864281725819</v>
      </c>
      <c r="F28" s="69">
        <v>0.29718089214023141</v>
      </c>
      <c r="G28" s="70">
        <v>0.31315260608092232</v>
      </c>
    </row>
    <row r="29" spans="1:7" ht="16" customHeight="1" x14ac:dyDescent="0.2">
      <c r="A29" s="94" t="s">
        <v>54</v>
      </c>
      <c r="B29" s="71">
        <v>0.24381044598060661</v>
      </c>
      <c r="C29" s="71">
        <v>0.29139845881200183</v>
      </c>
      <c r="D29" s="71">
        <v>0.32374093340968191</v>
      </c>
      <c r="E29" s="71">
        <v>0.36560909936040631</v>
      </c>
      <c r="F29" s="71">
        <v>0.34226797809289111</v>
      </c>
      <c r="G29" s="72">
        <v>0.38337204926075291</v>
      </c>
    </row>
    <row r="30" spans="1:7" ht="16" customHeight="1" x14ac:dyDescent="0.2">
      <c r="A30" s="93" t="s">
        <v>56</v>
      </c>
      <c r="B30" s="62"/>
      <c r="C30" s="62"/>
      <c r="D30" s="62"/>
      <c r="E30" s="62"/>
      <c r="F30" s="62"/>
      <c r="G30" s="64"/>
    </row>
    <row r="31" spans="1:7" ht="16" customHeight="1" x14ac:dyDescent="0.2">
      <c r="A31" s="94" t="s">
        <v>52</v>
      </c>
      <c r="B31" s="69">
        <v>0.34200000000000003</v>
      </c>
      <c r="C31" s="69">
        <v>0.38340000000000002</v>
      </c>
      <c r="D31" s="69">
        <v>0.34205000000000002</v>
      </c>
      <c r="E31" s="69">
        <v>0.36969999999999997</v>
      </c>
      <c r="F31" s="69">
        <v>0.35344999999999999</v>
      </c>
      <c r="G31" s="70">
        <v>0.38214999999999999</v>
      </c>
    </row>
    <row r="32" spans="1:7" ht="16" customHeight="1" x14ac:dyDescent="0.2">
      <c r="A32" s="94" t="s">
        <v>53</v>
      </c>
      <c r="B32" s="69">
        <v>0.18665000000000001</v>
      </c>
      <c r="C32" s="69">
        <v>0.2581</v>
      </c>
      <c r="D32" s="69">
        <v>0.1988</v>
      </c>
      <c r="E32" s="69">
        <v>0.25380000000000003</v>
      </c>
      <c r="F32" s="69">
        <v>0.21679999999999999</v>
      </c>
      <c r="G32" s="70">
        <v>0.27045000000000002</v>
      </c>
    </row>
    <row r="33" spans="1:7" ht="16" customHeight="1" x14ac:dyDescent="0.2">
      <c r="A33" s="95" t="s">
        <v>54</v>
      </c>
      <c r="B33" s="73">
        <v>0.1081</v>
      </c>
      <c r="C33" s="73">
        <v>0.19139999999999999</v>
      </c>
      <c r="D33" s="73">
        <v>0.11595</v>
      </c>
      <c r="E33" s="73">
        <v>0.1804</v>
      </c>
      <c r="F33" s="73">
        <v>0.13339999999999999</v>
      </c>
      <c r="G33" s="74">
        <v>0.19935</v>
      </c>
    </row>
    <row r="34" spans="1:7" ht="16" customHeight="1" x14ac:dyDescent="0.2">
      <c r="A34" s="96" t="s">
        <v>57</v>
      </c>
      <c r="B34" s="97"/>
      <c r="C34" s="97"/>
      <c r="D34" s="97"/>
      <c r="E34" s="97"/>
      <c r="F34" s="97"/>
      <c r="G34" s="98"/>
    </row>
    <row r="35" spans="1:7" ht="16" customHeight="1" x14ac:dyDescent="0.2"/>
    <row r="36" spans="1:7" ht="20" customHeight="1" x14ac:dyDescent="0.2"/>
  </sheetData>
  <mergeCells count="57">
    <mergeCell ref="B33:C33"/>
    <mergeCell ref="D33:E33"/>
    <mergeCell ref="F33:G33"/>
    <mergeCell ref="B31:C31"/>
    <mergeCell ref="D31:E31"/>
    <mergeCell ref="F31:G31"/>
    <mergeCell ref="B32:C32"/>
    <mergeCell ref="D32:E32"/>
    <mergeCell ref="F32:G32"/>
    <mergeCell ref="B28:C28"/>
    <mergeCell ref="D28:E28"/>
    <mergeCell ref="F28:G28"/>
    <mergeCell ref="B29:C29"/>
    <mergeCell ref="D29:E29"/>
    <mergeCell ref="F29:G29"/>
    <mergeCell ref="B25:C25"/>
    <mergeCell ref="D25:E25"/>
    <mergeCell ref="F25:G25"/>
    <mergeCell ref="B27:C27"/>
    <mergeCell ref="D27:E27"/>
    <mergeCell ref="F27:G27"/>
    <mergeCell ref="B23:C23"/>
    <mergeCell ref="D23:E23"/>
    <mergeCell ref="F23:G23"/>
    <mergeCell ref="B24:C24"/>
    <mergeCell ref="D24:E24"/>
    <mergeCell ref="F24:G24"/>
    <mergeCell ref="B1:C1"/>
    <mergeCell ref="D1:E1"/>
    <mergeCell ref="F1:G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8:C8"/>
    <mergeCell ref="D8:E8"/>
    <mergeCell ref="F8:G8"/>
    <mergeCell ref="B7:C7"/>
    <mergeCell ref="D7:E7"/>
    <mergeCell ref="F7:G7"/>
    <mergeCell ref="B10:C10"/>
    <mergeCell ref="D10:E10"/>
    <mergeCell ref="F10:G10"/>
    <mergeCell ref="B9:C9"/>
    <mergeCell ref="D9:E9"/>
    <mergeCell ref="F9:G9"/>
  </mergeCells>
  <conditionalFormatting sqref="B13:G2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workbookViewId="0"/>
  </sheetViews>
  <sheetFormatPr baseColWidth="10" defaultColWidth="8.83203125" defaultRowHeight="15" x14ac:dyDescent="0.2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 x14ac:dyDescent="0.2">
      <c r="A1" s="7"/>
      <c r="B1" s="37" t="s">
        <v>58</v>
      </c>
      <c r="C1" s="38"/>
      <c r="D1" s="38"/>
      <c r="E1" s="38"/>
      <c r="F1" s="38"/>
      <c r="G1" s="38"/>
      <c r="H1" s="9"/>
      <c r="I1" s="37" t="s">
        <v>59</v>
      </c>
      <c r="J1" s="38"/>
    </row>
    <row r="2" spans="1:10" ht="49" customHeight="1" x14ac:dyDescent="0.2">
      <c r="A2" s="10"/>
      <c r="B2" s="39" t="s">
        <v>60</v>
      </c>
      <c r="C2" s="38"/>
      <c r="D2" s="38"/>
      <c r="E2" s="8" t="s">
        <v>38</v>
      </c>
      <c r="F2" s="8" t="s">
        <v>37</v>
      </c>
      <c r="G2" s="11" t="s">
        <v>61</v>
      </c>
      <c r="H2" s="8" t="s">
        <v>62</v>
      </c>
      <c r="I2" s="8" t="s">
        <v>63</v>
      </c>
      <c r="J2" s="8" t="s">
        <v>64</v>
      </c>
    </row>
    <row r="3" spans="1:10" ht="17" customHeight="1" x14ac:dyDescent="0.2">
      <c r="A3" s="12" t="s">
        <v>2</v>
      </c>
      <c r="B3" s="13"/>
      <c r="C3" s="13"/>
      <c r="D3" s="13"/>
      <c r="E3" s="13"/>
      <c r="F3" s="14"/>
      <c r="G3" s="13"/>
      <c r="H3" s="13"/>
      <c r="I3" s="13"/>
      <c r="J3" s="13"/>
    </row>
    <row r="4" spans="1:10" ht="17" customHeight="1" x14ac:dyDescent="0.2">
      <c r="A4" s="15" t="s">
        <v>65</v>
      </c>
      <c r="B4" s="16">
        <v>5.7327167405640464E-3</v>
      </c>
      <c r="C4" s="17">
        <v>1.08673517608701E-2</v>
      </c>
      <c r="D4" s="18">
        <v>1.6001986781176161E-2</v>
      </c>
      <c r="E4" s="17">
        <v>3.2110810353131201E-2</v>
      </c>
      <c r="F4" s="19">
        <v>0.33843280942956339</v>
      </c>
      <c r="G4" s="17">
        <v>3.5867351760870102E-2</v>
      </c>
      <c r="H4" s="20">
        <v>0</v>
      </c>
      <c r="I4" s="21">
        <v>26723</v>
      </c>
      <c r="J4" s="21">
        <v>45777</v>
      </c>
    </row>
    <row r="5" spans="1:10" ht="17" customHeight="1" x14ac:dyDescent="0.2">
      <c r="A5" s="15" t="s">
        <v>66</v>
      </c>
      <c r="B5" s="16">
        <v>4.383045164846216E-4</v>
      </c>
      <c r="C5" s="17">
        <v>3.090125303729937E-3</v>
      </c>
      <c r="D5" s="18">
        <v>5.7419460909752511E-3</v>
      </c>
      <c r="E5" s="17">
        <v>1.4730739161551419E-2</v>
      </c>
      <c r="F5" s="19">
        <v>0.20977394751482981</v>
      </c>
      <c r="G5" s="17">
        <v>2.8090125303729941E-2</v>
      </c>
      <c r="H5" s="20">
        <v>0</v>
      </c>
      <c r="I5" s="21">
        <v>33662</v>
      </c>
      <c r="J5" s="21">
        <v>45777</v>
      </c>
    </row>
    <row r="6" spans="1:10" ht="17" customHeight="1" x14ac:dyDescent="0.2">
      <c r="A6" s="15" t="s">
        <v>67</v>
      </c>
      <c r="B6" s="16">
        <v>-2.1149896547376069E-2</v>
      </c>
      <c r="C6" s="17">
        <v>1.9683612310258999E-2</v>
      </c>
      <c r="D6" s="18">
        <v>6.0517121167894067E-2</v>
      </c>
      <c r="E6" s="17">
        <v>4.6212231292721478E-2</v>
      </c>
      <c r="F6" s="19">
        <v>0.42593944848880749</v>
      </c>
      <c r="G6" s="17">
        <v>4.4683612310258997E-2</v>
      </c>
      <c r="H6" s="20">
        <v>0</v>
      </c>
      <c r="I6" s="21">
        <v>36585</v>
      </c>
      <c r="J6" s="21">
        <v>45777</v>
      </c>
    </row>
    <row r="7" spans="1:10" ht="17" customHeight="1" x14ac:dyDescent="0.2">
      <c r="A7" s="15" t="s">
        <v>68</v>
      </c>
      <c r="B7" s="16">
        <v>6.4340696993407213E-3</v>
      </c>
      <c r="C7" s="17">
        <v>1.994219801661444E-2</v>
      </c>
      <c r="D7" s="18">
        <v>3.3450326333888163E-2</v>
      </c>
      <c r="E7" s="17">
        <v>4.2238342638410448E-2</v>
      </c>
      <c r="F7" s="19">
        <v>0.47213495537297723</v>
      </c>
      <c r="G7" s="17">
        <v>4.4942198016614442E-2</v>
      </c>
      <c r="H7" s="20">
        <v>0</v>
      </c>
      <c r="I7" s="21">
        <v>26723</v>
      </c>
      <c r="J7" s="21">
        <v>45777</v>
      </c>
    </row>
    <row r="8" spans="1:10" ht="17" customHeight="1" x14ac:dyDescent="0.2">
      <c r="A8" s="22" t="s">
        <v>7</v>
      </c>
      <c r="B8" s="23"/>
      <c r="C8" s="24"/>
      <c r="D8" s="25"/>
      <c r="E8" s="24"/>
      <c r="F8" s="26"/>
      <c r="G8" s="24"/>
      <c r="H8" s="27"/>
      <c r="I8" s="28"/>
      <c r="J8" s="28"/>
    </row>
    <row r="9" spans="1:10" ht="17" customHeight="1" x14ac:dyDescent="0.2">
      <c r="A9" s="15" t="s">
        <v>69</v>
      </c>
      <c r="B9" s="16">
        <v>1.327514440503154E-2</v>
      </c>
      <c r="C9" s="17">
        <v>3.2957299522559658E-2</v>
      </c>
      <c r="D9" s="18">
        <v>5.2639454640087777E-2</v>
      </c>
      <c r="E9" s="17">
        <v>8.205840633533279E-2</v>
      </c>
      <c r="F9" s="19">
        <v>0.40163221532574261</v>
      </c>
      <c r="G9" s="17">
        <v>5.7957299522559659E-2</v>
      </c>
      <c r="H9" s="20">
        <v>0</v>
      </c>
      <c r="I9" s="21">
        <v>30559</v>
      </c>
      <c r="J9" s="21">
        <v>45777</v>
      </c>
    </row>
    <row r="10" spans="1:10" ht="17" customHeight="1" x14ac:dyDescent="0.2">
      <c r="A10" s="15" t="s">
        <v>70</v>
      </c>
      <c r="B10" s="16">
        <v>1.3082760297439501E-2</v>
      </c>
      <c r="C10" s="17">
        <v>4.711068434546873E-2</v>
      </c>
      <c r="D10" s="18">
        <v>8.1138608393497957E-2</v>
      </c>
      <c r="E10" s="17">
        <v>0.1220196208482812</v>
      </c>
      <c r="F10" s="19">
        <v>0.38609105665101201</v>
      </c>
      <c r="G10" s="17">
        <v>7.2110684345468731E-2</v>
      </c>
      <c r="H10" s="20">
        <v>0</v>
      </c>
      <c r="I10" s="21">
        <v>34365</v>
      </c>
      <c r="J10" s="21">
        <v>45107</v>
      </c>
    </row>
    <row r="11" spans="1:10" ht="17" customHeight="1" x14ac:dyDescent="0.2">
      <c r="A11" s="22" t="s">
        <v>10</v>
      </c>
      <c r="B11" s="23"/>
      <c r="C11" s="24"/>
      <c r="D11" s="25"/>
      <c r="E11" s="24"/>
      <c r="F11" s="26"/>
      <c r="G11" s="24"/>
      <c r="H11" s="27"/>
      <c r="I11" s="28"/>
      <c r="J11" s="28"/>
    </row>
    <row r="12" spans="1:10" ht="17" customHeight="1" x14ac:dyDescent="0.2">
      <c r="A12" s="15" t="s">
        <v>71</v>
      </c>
      <c r="B12" s="16">
        <v>2.1935921675440812E-2</v>
      </c>
      <c r="C12" s="17">
        <v>4.6797853363938761E-2</v>
      </c>
      <c r="D12" s="18">
        <v>7.1659785052436711E-2</v>
      </c>
      <c r="E12" s="17">
        <v>0.1469643018055917</v>
      </c>
      <c r="F12" s="19">
        <v>0.31843007307886378</v>
      </c>
      <c r="G12" s="17">
        <v>7.1797853363938763E-2</v>
      </c>
      <c r="H12" s="20">
        <v>0.7</v>
      </c>
      <c r="I12" s="21">
        <v>32171</v>
      </c>
      <c r="J12" s="21">
        <v>45777</v>
      </c>
    </row>
    <row r="13" spans="1:10" ht="17" customHeight="1" x14ac:dyDescent="0.2">
      <c r="A13" s="15" t="s">
        <v>72</v>
      </c>
      <c r="B13" s="16">
        <v>1.7176160239301099E-2</v>
      </c>
      <c r="C13" s="17">
        <v>4.424482346715447E-2</v>
      </c>
      <c r="D13" s="18">
        <v>7.1313486695007838E-2</v>
      </c>
      <c r="E13" s="17">
        <v>0.16928110917035849</v>
      </c>
      <c r="F13" s="19">
        <v>0.26136893646312331</v>
      </c>
      <c r="G13" s="17">
        <v>6.9244823467154465E-2</v>
      </c>
      <c r="H13" s="20">
        <v>0</v>
      </c>
      <c r="I13" s="21">
        <v>28886</v>
      </c>
      <c r="J13" s="21">
        <v>45777</v>
      </c>
    </row>
    <row r="14" spans="1:10" ht="17" customHeight="1" x14ac:dyDescent="0.2">
      <c r="A14" s="15" t="s">
        <v>73</v>
      </c>
      <c r="B14" s="16">
        <v>3.8328393380117107E-2</v>
      </c>
      <c r="C14" s="17">
        <v>6.1473144644885618E-2</v>
      </c>
      <c r="D14" s="18">
        <v>8.4617895909654142E-2</v>
      </c>
      <c r="E14" s="17">
        <v>0.14474187855499729</v>
      </c>
      <c r="F14" s="19">
        <v>0.42470876610550412</v>
      </c>
      <c r="G14" s="17">
        <v>8.6473144644885619E-2</v>
      </c>
      <c r="H14" s="20">
        <v>0</v>
      </c>
      <c r="I14" s="21">
        <v>28886</v>
      </c>
      <c r="J14" s="21">
        <v>45777</v>
      </c>
    </row>
    <row r="15" spans="1:10" ht="17" customHeight="1" x14ac:dyDescent="0.2">
      <c r="A15" s="15" t="s">
        <v>74</v>
      </c>
      <c r="B15" s="16">
        <v>3.9548088591888853E-2</v>
      </c>
      <c r="C15" s="17">
        <v>7.0287620802001793E-2</v>
      </c>
      <c r="D15" s="18">
        <v>0.10102715301211471</v>
      </c>
      <c r="E15" s="17">
        <v>0.19223786797684969</v>
      </c>
      <c r="F15" s="19">
        <v>0.36562838290771188</v>
      </c>
      <c r="G15" s="17">
        <v>9.5287620802001788E-2</v>
      </c>
      <c r="H15" s="20">
        <v>0</v>
      </c>
      <c r="I15" s="21">
        <v>28886</v>
      </c>
      <c r="J15" s="21">
        <v>45777</v>
      </c>
    </row>
    <row r="16" spans="1:10" ht="17" customHeight="1" x14ac:dyDescent="0.2">
      <c r="A16" s="15" t="s">
        <v>75</v>
      </c>
      <c r="B16" s="16">
        <v>2.1019364331575061E-2</v>
      </c>
      <c r="C16" s="17">
        <v>4.7103364879311882E-2</v>
      </c>
      <c r="D16" s="18">
        <v>7.3187365427048678E-2</v>
      </c>
      <c r="E16" s="17">
        <v>0.16312325832838301</v>
      </c>
      <c r="F16" s="19">
        <v>0.2887593428552549</v>
      </c>
      <c r="G16" s="17">
        <v>7.2103364879311876E-2</v>
      </c>
      <c r="H16" s="20">
        <v>0.7</v>
      </c>
      <c r="I16" s="21">
        <v>25626</v>
      </c>
      <c r="J16" s="21">
        <v>45777</v>
      </c>
    </row>
    <row r="17" spans="1:10" ht="17" customHeight="1" x14ac:dyDescent="0.2">
      <c r="A17" s="15" t="s">
        <v>76</v>
      </c>
      <c r="B17" s="16">
        <v>2.537093070079656E-2</v>
      </c>
      <c r="C17" s="17">
        <v>4.9088970154403527E-2</v>
      </c>
      <c r="D17" s="18">
        <v>7.2807009608010495E-2</v>
      </c>
      <c r="E17" s="17">
        <v>0.1483270892343698</v>
      </c>
      <c r="F17" s="19">
        <v>0.3309508088359952</v>
      </c>
      <c r="G17" s="17">
        <v>7.4088970154403522E-2</v>
      </c>
      <c r="H17" s="20">
        <v>0.7</v>
      </c>
      <c r="I17" s="21">
        <v>25598</v>
      </c>
      <c r="J17" s="21">
        <v>45777</v>
      </c>
    </row>
    <row r="18" spans="1:10" ht="17" customHeight="1" x14ac:dyDescent="0.2">
      <c r="A18" s="15" t="s">
        <v>77</v>
      </c>
      <c r="B18" s="16">
        <v>-1.5284258244867221E-3</v>
      </c>
      <c r="C18" s="17">
        <v>2.794593789750548E-2</v>
      </c>
      <c r="D18" s="18">
        <v>5.7420301619497682E-2</v>
      </c>
      <c r="E18" s="17">
        <v>0.18432579920737729</v>
      </c>
      <c r="F18" s="19">
        <v>0.1516116464308106</v>
      </c>
      <c r="G18" s="17">
        <v>5.2945937897505492E-2</v>
      </c>
      <c r="H18" s="20">
        <v>0.7</v>
      </c>
      <c r="I18" s="21">
        <v>25598</v>
      </c>
      <c r="J18" s="21">
        <v>45777</v>
      </c>
    </row>
    <row r="19" spans="1:10" ht="17" customHeight="1" x14ac:dyDescent="0.2">
      <c r="A19" s="15" t="s">
        <v>78</v>
      </c>
      <c r="B19" s="16">
        <v>2.752917685078872E-2</v>
      </c>
      <c r="C19" s="17">
        <v>5.6461831660523182E-2</v>
      </c>
      <c r="D19" s="18">
        <v>8.5394486470257644E-2</v>
      </c>
      <c r="E19" s="17">
        <v>0.17102723419765431</v>
      </c>
      <c r="F19" s="19">
        <v>0.33013357156481221</v>
      </c>
      <c r="G19" s="17">
        <v>8.1461831660523176E-2</v>
      </c>
      <c r="H19" s="20">
        <v>0.7</v>
      </c>
      <c r="I19" s="21">
        <v>25626</v>
      </c>
      <c r="J19" s="21">
        <v>45777</v>
      </c>
    </row>
    <row r="20" spans="1:10" ht="17" customHeight="1" x14ac:dyDescent="0.2">
      <c r="A20" s="15" t="s">
        <v>79</v>
      </c>
      <c r="B20" s="16">
        <v>3.5868022051295953E-2</v>
      </c>
      <c r="C20" s="17">
        <v>7.5245769473422777E-2</v>
      </c>
      <c r="D20" s="18">
        <v>0.1146235168955496</v>
      </c>
      <c r="E20" s="17">
        <v>0.23277045521153711</v>
      </c>
      <c r="F20" s="19">
        <v>0.32326168458553273</v>
      </c>
      <c r="G20" s="17">
        <v>0.1002457694734228</v>
      </c>
      <c r="H20" s="20">
        <v>0</v>
      </c>
      <c r="I20" s="21">
        <v>32171</v>
      </c>
      <c r="J20" s="21">
        <v>45777</v>
      </c>
    </row>
    <row r="21" spans="1:10" ht="17" customHeight="1" x14ac:dyDescent="0.2">
      <c r="A21" s="15" t="s">
        <v>80</v>
      </c>
      <c r="B21" s="16">
        <v>-1.2018142784793099E-2</v>
      </c>
      <c r="C21" s="17">
        <v>5.8342310196128892E-2</v>
      </c>
      <c r="D21" s="18">
        <v>0.1287027631770509</v>
      </c>
      <c r="E21" s="17">
        <v>0.1356219911958427</v>
      </c>
      <c r="F21" s="19">
        <v>0.43018325923176148</v>
      </c>
      <c r="G21" s="17">
        <v>8.3342310196128894E-2</v>
      </c>
      <c r="H21" s="20">
        <v>0.7</v>
      </c>
      <c r="I21" s="21">
        <v>32720</v>
      </c>
      <c r="J21" s="21">
        <v>44925</v>
      </c>
    </row>
    <row r="22" spans="1:10" ht="17" customHeight="1" x14ac:dyDescent="0.2">
      <c r="A22" s="15" t="s">
        <v>81</v>
      </c>
      <c r="B22" s="16">
        <v>1.6888386115265861E-2</v>
      </c>
      <c r="C22" s="17">
        <v>4.5625590064520903E-2</v>
      </c>
      <c r="D22" s="18">
        <v>7.4362794013775935E-2</v>
      </c>
      <c r="E22" s="17">
        <v>0.1405898501681038</v>
      </c>
      <c r="F22" s="19">
        <v>0.3245297580868477</v>
      </c>
      <c r="G22" s="17">
        <v>7.0625590064520904E-2</v>
      </c>
      <c r="H22" s="20">
        <v>0.7</v>
      </c>
      <c r="I22" s="21">
        <v>36189</v>
      </c>
      <c r="J22" s="21">
        <v>45777</v>
      </c>
    </row>
    <row r="23" spans="1:10" ht="17" customHeight="1" x14ac:dyDescent="0.2">
      <c r="A23" s="22" t="s">
        <v>22</v>
      </c>
      <c r="B23" s="23"/>
      <c r="C23" s="24"/>
      <c r="D23" s="25"/>
      <c r="E23" s="24"/>
      <c r="F23" s="26"/>
      <c r="G23" s="24"/>
      <c r="H23" s="27"/>
      <c r="I23" s="28"/>
      <c r="J23" s="28"/>
    </row>
    <row r="24" spans="1:10" ht="17" customHeight="1" x14ac:dyDescent="0.2">
      <c r="A24" s="15" t="s">
        <v>82</v>
      </c>
      <c r="B24" s="16">
        <v>5.3661960981587313E-3</v>
      </c>
      <c r="C24" s="17">
        <v>1.5035468559470929E-2</v>
      </c>
      <c r="D24" s="18">
        <v>2.4704741020783131E-2</v>
      </c>
      <c r="E24" s="17">
        <v>5.5490336347120132E-2</v>
      </c>
      <c r="F24" s="19">
        <v>0.27095652232879741</v>
      </c>
      <c r="G24" s="17">
        <v>4.0035468559470933E-2</v>
      </c>
      <c r="H24" s="20">
        <v>1</v>
      </c>
      <c r="I24" s="21">
        <v>32904</v>
      </c>
      <c r="J24" s="21">
        <v>45777</v>
      </c>
    </row>
    <row r="25" spans="1:10" ht="17" customHeight="1" x14ac:dyDescent="0.2">
      <c r="A25" s="15" t="s">
        <v>83</v>
      </c>
      <c r="B25" s="16">
        <v>7.8845227205770647E-3</v>
      </c>
      <c r="C25" s="17">
        <v>1.9381268325582329E-2</v>
      </c>
      <c r="D25" s="18">
        <v>3.0878013930587589E-2</v>
      </c>
      <c r="E25" s="17">
        <v>6.1838706545769943E-2</v>
      </c>
      <c r="F25" s="19">
        <v>0.31341645723519901</v>
      </c>
      <c r="G25" s="17">
        <v>4.4381268325582333E-2</v>
      </c>
      <c r="H25" s="20">
        <v>1</v>
      </c>
      <c r="I25" s="21">
        <v>34365</v>
      </c>
      <c r="J25" s="21">
        <v>45777</v>
      </c>
    </row>
    <row r="26" spans="1:10" ht="17" customHeight="1" x14ac:dyDescent="0.2">
      <c r="A26" s="15" t="s">
        <v>84</v>
      </c>
      <c r="B26" s="16">
        <v>4.352380054283532E-3</v>
      </c>
      <c r="C26" s="17">
        <v>2.0773446286426561E-2</v>
      </c>
      <c r="D26" s="18">
        <v>3.7194512518569589E-2</v>
      </c>
      <c r="E26" s="17">
        <v>8.8325647168886814E-2</v>
      </c>
      <c r="F26" s="19">
        <v>0.2351915548006776</v>
      </c>
      <c r="G26" s="17">
        <v>4.5773446286426558E-2</v>
      </c>
      <c r="H26" s="20">
        <v>1</v>
      </c>
      <c r="I26" s="21">
        <v>34365</v>
      </c>
      <c r="J26" s="21">
        <v>45777</v>
      </c>
    </row>
    <row r="27" spans="1:10" ht="17" customHeight="1" x14ac:dyDescent="0.2">
      <c r="A27" s="15" t="s">
        <v>85</v>
      </c>
      <c r="B27" s="16">
        <v>1.069289996815624E-2</v>
      </c>
      <c r="C27" s="17">
        <v>2.7968658495309971E-2</v>
      </c>
      <c r="D27" s="18">
        <v>4.5244417022463707E-2</v>
      </c>
      <c r="E27" s="17">
        <v>7.3138510600272974E-2</v>
      </c>
      <c r="F27" s="19">
        <v>0.38240672753330018</v>
      </c>
      <c r="G27" s="17">
        <v>5.2968658495309982E-2</v>
      </c>
      <c r="H27" s="20">
        <v>1</v>
      </c>
      <c r="I27" s="21">
        <v>38383</v>
      </c>
      <c r="J27" s="21">
        <v>45777</v>
      </c>
    </row>
    <row r="28" spans="1:10" ht="17" customHeight="1" x14ac:dyDescent="0.2">
      <c r="A28" s="22" t="s">
        <v>27</v>
      </c>
      <c r="B28" s="23"/>
      <c r="C28" s="24"/>
      <c r="D28" s="25"/>
      <c r="E28" s="24"/>
      <c r="F28" s="26"/>
      <c r="G28" s="24"/>
      <c r="H28" s="27"/>
      <c r="I28" s="28"/>
      <c r="J28" s="28"/>
    </row>
    <row r="29" spans="1:10" ht="17" customHeight="1" x14ac:dyDescent="0.2">
      <c r="A29" s="15" t="s">
        <v>86</v>
      </c>
      <c r="B29" s="16">
        <v>1.8093277361216731E-2</v>
      </c>
      <c r="C29" s="17">
        <v>6.5301867527006729E-2</v>
      </c>
      <c r="D29" s="18">
        <v>0.1125104576927967</v>
      </c>
      <c r="E29" s="17">
        <v>0.1377719846412887</v>
      </c>
      <c r="F29" s="19">
        <v>0.47398509716638371</v>
      </c>
      <c r="G29" s="17">
        <v>9.0301867527006724E-2</v>
      </c>
      <c r="H29" s="20">
        <v>0</v>
      </c>
      <c r="I29" s="21">
        <v>25598</v>
      </c>
      <c r="J29" s="21">
        <v>45777</v>
      </c>
    </row>
    <row r="30" spans="1:10" ht="17" customHeight="1" x14ac:dyDescent="0.2">
      <c r="A30" s="15" t="s">
        <v>87</v>
      </c>
      <c r="B30" s="16">
        <v>1.3496497215615419E-2</v>
      </c>
      <c r="C30" s="17">
        <v>6.7090635723618383E-2</v>
      </c>
      <c r="D30" s="18">
        <v>0.1206847742316214</v>
      </c>
      <c r="E30" s="17">
        <v>0.15640735725123131</v>
      </c>
      <c r="F30" s="19">
        <v>0.4289480808492479</v>
      </c>
      <c r="G30" s="17">
        <v>9.2090635723618391E-2</v>
      </c>
      <c r="H30" s="20">
        <v>0</v>
      </c>
      <c r="I30" s="21">
        <v>28886</v>
      </c>
      <c r="J30" s="21">
        <v>45777</v>
      </c>
    </row>
    <row r="31" spans="1:10" ht="17" customHeight="1" x14ac:dyDescent="0.2">
      <c r="A31" s="15" t="s">
        <v>88</v>
      </c>
      <c r="B31" s="16">
        <v>4.8618709169252214E-3</v>
      </c>
      <c r="C31" s="17">
        <v>6.2172068187196533E-2</v>
      </c>
      <c r="D31" s="18">
        <v>0.1194822654574678</v>
      </c>
      <c r="E31" s="17">
        <v>0.16725217996089919</v>
      </c>
      <c r="F31" s="19">
        <v>0.37172650426279252</v>
      </c>
      <c r="G31" s="17">
        <v>8.7172068187196528E-2</v>
      </c>
      <c r="H31" s="20">
        <v>0</v>
      </c>
      <c r="I31" s="21">
        <v>30680</v>
      </c>
      <c r="J31" s="21">
        <v>44925</v>
      </c>
    </row>
    <row r="32" spans="1:10" ht="17" customHeight="1" x14ac:dyDescent="0.2">
      <c r="A32" s="22" t="s">
        <v>31</v>
      </c>
      <c r="B32" s="23"/>
      <c r="C32" s="24"/>
      <c r="D32" s="25"/>
      <c r="E32" s="24"/>
      <c r="F32" s="26"/>
      <c r="G32" s="24"/>
      <c r="H32" s="27"/>
      <c r="I32" s="28"/>
      <c r="J32" s="28"/>
    </row>
    <row r="33" spans="1:10" ht="17" customHeight="1" x14ac:dyDescent="0.2">
      <c r="A33" s="15" t="s">
        <v>89</v>
      </c>
      <c r="B33" s="16">
        <v>2.0469028338070811E-2</v>
      </c>
      <c r="C33" s="17">
        <v>5.9395006840754223E-2</v>
      </c>
      <c r="D33" s="18">
        <v>9.8320985343437611E-2</v>
      </c>
      <c r="E33" s="17">
        <v>0.1136002853206385</v>
      </c>
      <c r="F33" s="19">
        <v>0.52284205689370356</v>
      </c>
      <c r="G33" s="17">
        <v>8.4395006840754211E-2</v>
      </c>
      <c r="H33" s="20">
        <v>0</v>
      </c>
      <c r="I33" s="21">
        <v>30589</v>
      </c>
      <c r="J33" s="21">
        <v>45777</v>
      </c>
    </row>
    <row r="34" spans="1:10" ht="17" customHeight="1" x14ac:dyDescent="0.2">
      <c r="A34" s="15" t="s">
        <v>90</v>
      </c>
      <c r="B34" s="16">
        <v>2.899500491554419E-2</v>
      </c>
      <c r="C34" s="17">
        <v>7.8592057555021813E-2</v>
      </c>
      <c r="D34" s="18">
        <v>0.12818911019449941</v>
      </c>
      <c r="E34" s="17">
        <v>0.14474239435031749</v>
      </c>
      <c r="F34" s="19">
        <v>0.54297884118737738</v>
      </c>
      <c r="G34" s="17">
        <v>0.10359205755502179</v>
      </c>
      <c r="H34" s="20">
        <v>0</v>
      </c>
      <c r="I34" s="21">
        <v>32720</v>
      </c>
      <c r="J34" s="21">
        <v>44925</v>
      </c>
    </row>
    <row r="35" spans="1:10" ht="17" customHeight="1" x14ac:dyDescent="0.2">
      <c r="A35" s="29" t="s">
        <v>91</v>
      </c>
      <c r="B35" s="30">
        <v>1.0324018166474019E-2</v>
      </c>
      <c r="C35" s="31">
        <v>6.0402182003979593E-2</v>
      </c>
      <c r="D35" s="32">
        <v>0.11048034584148519</v>
      </c>
      <c r="E35" s="31">
        <v>0.14614645332248091</v>
      </c>
      <c r="F35" s="33">
        <v>0.41329899310453039</v>
      </c>
      <c r="G35" s="31">
        <v>8.5402182003979588E-2</v>
      </c>
      <c r="H35" s="34">
        <v>0</v>
      </c>
      <c r="I35" s="35">
        <v>36189</v>
      </c>
      <c r="J35" s="35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6"/>
      <c r="B1" s="36" t="s">
        <v>92</v>
      </c>
      <c r="C1" s="36" t="s">
        <v>92</v>
      </c>
      <c r="D1" s="36" t="s">
        <v>92</v>
      </c>
      <c r="E1" s="36" t="s">
        <v>92</v>
      </c>
      <c r="F1" s="36" t="s">
        <v>93</v>
      </c>
      <c r="G1" s="36" t="s">
        <v>93</v>
      </c>
      <c r="H1" s="36" t="s">
        <v>93</v>
      </c>
      <c r="I1" s="36" t="s">
        <v>93</v>
      </c>
      <c r="J1" s="36" t="s">
        <v>94</v>
      </c>
      <c r="K1" s="36" t="s">
        <v>94</v>
      </c>
      <c r="L1" s="36" t="s">
        <v>94</v>
      </c>
      <c r="M1" s="36" t="s">
        <v>94</v>
      </c>
      <c r="N1" s="36" t="s">
        <v>95</v>
      </c>
      <c r="O1" s="36" t="s">
        <v>95</v>
      </c>
      <c r="P1" s="36" t="s">
        <v>95</v>
      </c>
      <c r="Q1" s="36" t="s">
        <v>95</v>
      </c>
    </row>
    <row r="2" spans="1:17" x14ac:dyDescent="0.2">
      <c r="A2" s="36"/>
      <c r="B2" s="36" t="s">
        <v>96</v>
      </c>
      <c r="C2" s="36" t="s">
        <v>97</v>
      </c>
      <c r="D2" s="36" t="s">
        <v>98</v>
      </c>
      <c r="E2" s="36" t="s">
        <v>99</v>
      </c>
      <c r="F2" s="36" t="s">
        <v>96</v>
      </c>
      <c r="G2" s="36" t="s">
        <v>97</v>
      </c>
      <c r="H2" s="36" t="s">
        <v>98</v>
      </c>
      <c r="I2" s="36" t="s">
        <v>99</v>
      </c>
      <c r="J2" s="36" t="s">
        <v>96</v>
      </c>
      <c r="K2" s="36" t="s">
        <v>97</v>
      </c>
      <c r="L2" s="36" t="s">
        <v>98</v>
      </c>
      <c r="M2" s="36" t="s">
        <v>99</v>
      </c>
      <c r="N2" s="36" t="s">
        <v>96</v>
      </c>
      <c r="O2" s="36" t="s">
        <v>97</v>
      </c>
      <c r="P2" s="36" t="s">
        <v>98</v>
      </c>
      <c r="Q2" s="36" t="s">
        <v>99</v>
      </c>
    </row>
    <row r="3" spans="1:17" x14ac:dyDescent="0.2">
      <c r="A3" s="36">
        <v>0</v>
      </c>
      <c r="B3" s="36">
        <v>100</v>
      </c>
      <c r="C3" s="36">
        <v>100</v>
      </c>
      <c r="D3" s="36">
        <v>100</v>
      </c>
      <c r="E3" s="36">
        <v>100</v>
      </c>
      <c r="F3" s="36">
        <v>100</v>
      </c>
      <c r="G3" s="36">
        <v>100</v>
      </c>
      <c r="H3" s="36">
        <v>100</v>
      </c>
      <c r="I3" s="36">
        <v>100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</row>
    <row r="4" spans="1:17" x14ac:dyDescent="0.2">
      <c r="A4" s="36">
        <v>1</v>
      </c>
      <c r="B4" s="36">
        <v>89.456903357182568</v>
      </c>
      <c r="C4" s="36">
        <v>97.025265613165288</v>
      </c>
      <c r="D4" s="36">
        <v>106.3967716051538</v>
      </c>
      <c r="E4" s="36">
        <v>115.1468750861214</v>
      </c>
      <c r="F4" s="36">
        <v>86.70380523586735</v>
      </c>
      <c r="G4" s="36">
        <v>94.656688850760474</v>
      </c>
      <c r="H4" s="36">
        <v>104.0428106961856</v>
      </c>
      <c r="I4" s="36">
        <v>112.7577902260052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0</v>
      </c>
      <c r="Q4" s="36">
        <v>0</v>
      </c>
    </row>
    <row r="5" spans="1:17" x14ac:dyDescent="0.2">
      <c r="A5" s="36">
        <v>2</v>
      </c>
      <c r="B5" s="36">
        <v>89.980738266643627</v>
      </c>
      <c r="C5" s="36">
        <v>99.192368947115298</v>
      </c>
      <c r="D5" s="36">
        <v>111.90510917957231</v>
      </c>
      <c r="E5" s="36">
        <v>125.37894161320349</v>
      </c>
      <c r="F5" s="36">
        <v>85.100894859473641</v>
      </c>
      <c r="G5" s="36">
        <v>94.400289959351397</v>
      </c>
      <c r="H5" s="36">
        <v>106.9281453903247</v>
      </c>
      <c r="I5" s="36">
        <v>120.0687988303105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</row>
    <row r="6" spans="1:17" x14ac:dyDescent="0.2">
      <c r="A6" s="36">
        <v>3</v>
      </c>
      <c r="B6" s="36">
        <v>90.8898661257616</v>
      </c>
      <c r="C6" s="36">
        <v>102.4088840698504</v>
      </c>
      <c r="D6" s="36">
        <v>117.8612498854892</v>
      </c>
      <c r="E6" s="36">
        <v>134.9170317398123</v>
      </c>
      <c r="F6" s="36">
        <v>84.218811499977932</v>
      </c>
      <c r="G6" s="36">
        <v>95.332301272175343</v>
      </c>
      <c r="H6" s="36">
        <v>110.172532673408</v>
      </c>
      <c r="I6" s="36">
        <v>126.4571433231085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</row>
    <row r="7" spans="1:17" x14ac:dyDescent="0.2">
      <c r="A7" s="36">
        <v>4</v>
      </c>
      <c r="B7" s="36">
        <v>90.42786853539711</v>
      </c>
      <c r="C7" s="36">
        <v>105.398121567084</v>
      </c>
      <c r="D7" s="36">
        <v>124.98892317916609</v>
      </c>
      <c r="E7" s="36">
        <v>147.082820183048</v>
      </c>
      <c r="F7" s="36">
        <v>82.13829188916705</v>
      </c>
      <c r="G7" s="36">
        <v>96.009494279172088</v>
      </c>
      <c r="H7" s="36">
        <v>114.3523511006908</v>
      </c>
      <c r="I7" s="36">
        <v>134.9815228122057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</row>
    <row r="8" spans="1:17" x14ac:dyDescent="0.2">
      <c r="A8" s="36">
        <v>5</v>
      </c>
      <c r="B8" s="36">
        <v>91.369198231432648</v>
      </c>
      <c r="C8" s="36">
        <v>109.1866393454906</v>
      </c>
      <c r="D8" s="36">
        <v>132.898534851976</v>
      </c>
      <c r="E8" s="36">
        <v>159.97581582226579</v>
      </c>
      <c r="F8" s="36">
        <v>81.549877876853301</v>
      </c>
      <c r="G8" s="36">
        <v>97.32633481900659</v>
      </c>
      <c r="H8" s="36">
        <v>118.94104161299239</v>
      </c>
      <c r="I8" s="36">
        <v>143.81494842674709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</row>
    <row r="9" spans="1:17" x14ac:dyDescent="0.2">
      <c r="A9" s="36">
        <v>6</v>
      </c>
      <c r="B9" s="36">
        <v>92.173075244339728</v>
      </c>
      <c r="C9" s="36">
        <v>113.09197920309791</v>
      </c>
      <c r="D9" s="36">
        <v>140.7688812629919</v>
      </c>
      <c r="E9" s="36">
        <v>172.9234416891949</v>
      </c>
      <c r="F9" s="36">
        <v>80.40280160608043</v>
      </c>
      <c r="G9" s="36">
        <v>98.598670542218926</v>
      </c>
      <c r="H9" s="36">
        <v>123.44725259105221</v>
      </c>
      <c r="I9" s="36">
        <v>152.12768802624149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</row>
    <row r="10" spans="1:17" x14ac:dyDescent="0.2">
      <c r="A10" s="36">
        <v>7</v>
      </c>
      <c r="B10" s="36">
        <v>91.064145706205579</v>
      </c>
      <c r="C10" s="36">
        <v>116.0626830575069</v>
      </c>
      <c r="D10" s="36">
        <v>149.36102878932289</v>
      </c>
      <c r="E10" s="36">
        <v>187.42408538105241</v>
      </c>
      <c r="F10" s="36">
        <v>78.25787929641443</v>
      </c>
      <c r="G10" s="36">
        <v>99.337505925042677</v>
      </c>
      <c r="H10" s="36">
        <v>128.2246174574569</v>
      </c>
      <c r="I10" s="36">
        <v>161.49801238406221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</row>
    <row r="11" spans="1:17" x14ac:dyDescent="0.2">
      <c r="A11" s="36">
        <v>8</v>
      </c>
      <c r="B11" s="36">
        <v>92.498179650755802</v>
      </c>
      <c r="C11" s="36">
        <v>119.33159211006409</v>
      </c>
      <c r="D11" s="36">
        <v>158.2136613573862</v>
      </c>
      <c r="E11" s="36">
        <v>202.8969653662061</v>
      </c>
      <c r="F11" s="36">
        <v>77.685825880984837</v>
      </c>
      <c r="G11" s="36">
        <v>100.2398836893494</v>
      </c>
      <c r="H11" s="36">
        <v>133.08611384272001</v>
      </c>
      <c r="I11" s="36">
        <v>171.48035918072711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</row>
    <row r="12" spans="1:17" x14ac:dyDescent="0.2">
      <c r="A12" s="36">
        <v>9</v>
      </c>
      <c r="B12" s="36">
        <v>91.512380784642389</v>
      </c>
      <c r="C12" s="36">
        <v>122.4295446271361</v>
      </c>
      <c r="D12" s="36">
        <v>166.8426238446261</v>
      </c>
      <c r="E12" s="36">
        <v>219.07229317005891</v>
      </c>
      <c r="F12" s="36">
        <v>76.198094733240652</v>
      </c>
      <c r="G12" s="36">
        <v>100.9225431869304</v>
      </c>
      <c r="H12" s="36">
        <v>137.65238528149089</v>
      </c>
      <c r="I12" s="36">
        <v>181.19234999553399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</row>
    <row r="13" spans="1:17" x14ac:dyDescent="0.2">
      <c r="A13" s="36">
        <v>10</v>
      </c>
      <c r="B13" s="36">
        <v>92.934747749398539</v>
      </c>
      <c r="C13" s="36">
        <v>126.25256184610031</v>
      </c>
      <c r="D13" s="36">
        <v>175.8287661816199</v>
      </c>
      <c r="E13" s="36">
        <v>235.5684906843498</v>
      </c>
      <c r="F13" s="36">
        <v>75.423080243046371</v>
      </c>
      <c r="G13" s="36">
        <v>101.92611202814849</v>
      </c>
      <c r="H13" s="36">
        <v>141.9303377299826</v>
      </c>
      <c r="I13" s="36">
        <v>191.00776799537371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</row>
    <row r="14" spans="1:17" x14ac:dyDescent="0.2">
      <c r="A14" s="36">
        <v>11</v>
      </c>
      <c r="B14" s="36">
        <v>93.814016252111855</v>
      </c>
      <c r="C14" s="36">
        <v>129.33699057122999</v>
      </c>
      <c r="D14" s="36">
        <v>185.18393079225339</v>
      </c>
      <c r="E14" s="36">
        <v>253.54931883777991</v>
      </c>
      <c r="F14" s="36">
        <v>75.678130435135131</v>
      </c>
      <c r="G14" s="36">
        <v>102.6938700582825</v>
      </c>
      <c r="H14" s="36">
        <v>146.89472652466119</v>
      </c>
      <c r="I14" s="36">
        <v>201.21541603913079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</row>
    <row r="15" spans="1:17" x14ac:dyDescent="0.2">
      <c r="A15" s="36">
        <v>12</v>
      </c>
      <c r="B15" s="36">
        <v>95.92752207205757</v>
      </c>
      <c r="C15" s="36">
        <v>133.53381482939361</v>
      </c>
      <c r="D15" s="36">
        <v>194.80417584260289</v>
      </c>
      <c r="E15" s="36">
        <v>273.48578434558391</v>
      </c>
      <c r="F15" s="36">
        <v>75.064350566601632</v>
      </c>
      <c r="G15" s="36">
        <v>103.8231447508433</v>
      </c>
      <c r="H15" s="36">
        <v>151.2647476460927</v>
      </c>
      <c r="I15" s="36">
        <v>212.8758606443985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</row>
    <row r="16" spans="1:17" x14ac:dyDescent="0.2">
      <c r="A16" s="36">
        <v>13</v>
      </c>
      <c r="B16" s="36">
        <v>97.112830179337351</v>
      </c>
      <c r="C16" s="36">
        <v>137.38246120196499</v>
      </c>
      <c r="D16" s="36">
        <v>204.20383875683149</v>
      </c>
      <c r="E16" s="36">
        <v>293.87272469413108</v>
      </c>
      <c r="F16" s="36">
        <v>74.024301538455532</v>
      </c>
      <c r="G16" s="36">
        <v>104.99812825737681</v>
      </c>
      <c r="H16" s="36">
        <v>156.01683448409241</v>
      </c>
      <c r="I16" s="36">
        <v>223.60113739748229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</row>
    <row r="17" spans="1:17" x14ac:dyDescent="0.2">
      <c r="A17" s="36">
        <v>14</v>
      </c>
      <c r="B17" s="36">
        <v>98.468382394765342</v>
      </c>
      <c r="C17" s="36">
        <v>142.37204958074079</v>
      </c>
      <c r="D17" s="36">
        <v>215.6296724950476</v>
      </c>
      <c r="E17" s="36">
        <v>314.9033622075309</v>
      </c>
      <c r="F17" s="36">
        <v>74.633923165407225</v>
      </c>
      <c r="G17" s="36">
        <v>106.68681910779129</v>
      </c>
      <c r="H17" s="36">
        <v>161.2031090108153</v>
      </c>
      <c r="I17" s="36">
        <v>235.23014222444101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</row>
    <row r="18" spans="1:17" x14ac:dyDescent="0.2">
      <c r="A18" s="36">
        <v>15</v>
      </c>
      <c r="B18" s="36">
        <v>99.308266105457449</v>
      </c>
      <c r="C18" s="36">
        <v>146.59654335179761</v>
      </c>
      <c r="D18" s="36">
        <v>226.1906998647797</v>
      </c>
      <c r="E18" s="36">
        <v>338.17804620613862</v>
      </c>
      <c r="F18" s="36">
        <v>74.182997099231969</v>
      </c>
      <c r="G18" s="36">
        <v>108.1823758828707</v>
      </c>
      <c r="H18" s="36">
        <v>165.70740200275449</v>
      </c>
      <c r="I18" s="36">
        <v>247.3015784953663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</row>
    <row r="19" spans="1:17" x14ac:dyDescent="0.2">
      <c r="A19" s="36">
        <v>16</v>
      </c>
      <c r="B19" s="36">
        <v>100.8967731299779</v>
      </c>
      <c r="C19" s="36">
        <v>151.4291687475654</v>
      </c>
      <c r="D19" s="36">
        <v>237.695043221585</v>
      </c>
      <c r="E19" s="36">
        <v>362.59622389555551</v>
      </c>
      <c r="F19" s="36">
        <v>73.312668878138098</v>
      </c>
      <c r="G19" s="36">
        <v>109.6351805549494</v>
      </c>
      <c r="H19" s="36">
        <v>170.96418675985419</v>
      </c>
      <c r="I19" s="36">
        <v>259.80425289121058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</row>
    <row r="20" spans="1:17" x14ac:dyDescent="0.2">
      <c r="A20" s="36">
        <v>17</v>
      </c>
      <c r="B20" s="36">
        <v>103.00293094916751</v>
      </c>
      <c r="C20" s="36">
        <v>156.48495492891101</v>
      </c>
      <c r="D20" s="36">
        <v>249.60345768630489</v>
      </c>
      <c r="E20" s="36">
        <v>390.14871332644481</v>
      </c>
      <c r="F20" s="36">
        <v>73.94485093469126</v>
      </c>
      <c r="G20" s="36">
        <v>110.85121285783841</v>
      </c>
      <c r="H20" s="36">
        <v>176.09562331023659</v>
      </c>
      <c r="I20" s="36">
        <v>272.99269968346641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</row>
    <row r="21" spans="1:17" x14ac:dyDescent="0.2">
      <c r="A21" s="36">
        <v>18</v>
      </c>
      <c r="B21" s="36">
        <v>105.1794933587548</v>
      </c>
      <c r="C21" s="36">
        <v>161.88677722153639</v>
      </c>
      <c r="D21" s="36">
        <v>263.31841545216491</v>
      </c>
      <c r="E21" s="36">
        <v>418.65926805038453</v>
      </c>
      <c r="F21" s="36">
        <v>74.576581864937339</v>
      </c>
      <c r="G21" s="36">
        <v>112.4313657577416</v>
      </c>
      <c r="H21" s="36">
        <v>181.90767396690319</v>
      </c>
      <c r="I21" s="36">
        <v>287.57515692195602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</row>
    <row r="22" spans="1:17" x14ac:dyDescent="0.2">
      <c r="A22" s="36">
        <v>19</v>
      </c>
      <c r="B22" s="36">
        <v>107.9186017702071</v>
      </c>
      <c r="C22" s="36">
        <v>167.6515969034825</v>
      </c>
      <c r="D22" s="36">
        <v>277.03201954530692</v>
      </c>
      <c r="E22" s="36">
        <v>445.76435801146158</v>
      </c>
      <c r="F22" s="36">
        <v>74.864305403667643</v>
      </c>
      <c r="G22" s="36">
        <v>113.57045695861591</v>
      </c>
      <c r="H22" s="36">
        <v>187.911553553403</v>
      </c>
      <c r="I22" s="36">
        <v>299.87145958742929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</row>
    <row r="23" spans="1:17" x14ac:dyDescent="0.2">
      <c r="A23" s="36">
        <v>20</v>
      </c>
      <c r="B23" s="36">
        <v>110.67117834453801</v>
      </c>
      <c r="C23" s="36">
        <v>173.23977525078459</v>
      </c>
      <c r="D23" s="36">
        <v>290.67048422949279</v>
      </c>
      <c r="E23" s="36">
        <v>475.19458292480039</v>
      </c>
      <c r="F23" s="36">
        <v>75.081858895213188</v>
      </c>
      <c r="G23" s="36">
        <v>115.6684166229964</v>
      </c>
      <c r="H23" s="36">
        <v>193.38003253472721</v>
      </c>
      <c r="I23" s="36">
        <v>313.2132588407361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6"/>
      <c r="B1" s="36" t="s">
        <v>92</v>
      </c>
      <c r="C1" s="36" t="s">
        <v>92</v>
      </c>
      <c r="D1" s="36" t="s">
        <v>92</v>
      </c>
      <c r="E1" s="36" t="s">
        <v>92</v>
      </c>
      <c r="F1" s="36" t="s">
        <v>93</v>
      </c>
      <c r="G1" s="36" t="s">
        <v>93</v>
      </c>
      <c r="H1" s="36" t="s">
        <v>93</v>
      </c>
      <c r="I1" s="36" t="s">
        <v>93</v>
      </c>
      <c r="J1" s="36" t="s">
        <v>94</v>
      </c>
      <c r="K1" s="36" t="s">
        <v>94</v>
      </c>
      <c r="L1" s="36" t="s">
        <v>94</v>
      </c>
      <c r="M1" s="36" t="s">
        <v>94</v>
      </c>
      <c r="N1" s="36" t="s">
        <v>95</v>
      </c>
      <c r="O1" s="36" t="s">
        <v>95</v>
      </c>
      <c r="P1" s="36" t="s">
        <v>95</v>
      </c>
      <c r="Q1" s="36" t="s">
        <v>95</v>
      </c>
    </row>
    <row r="2" spans="1:17" x14ac:dyDescent="0.2">
      <c r="A2" s="36"/>
      <c r="B2" s="36" t="s">
        <v>96</v>
      </c>
      <c r="C2" s="36" t="s">
        <v>97</v>
      </c>
      <c r="D2" s="36" t="s">
        <v>98</v>
      </c>
      <c r="E2" s="36" t="s">
        <v>99</v>
      </c>
      <c r="F2" s="36" t="s">
        <v>96</v>
      </c>
      <c r="G2" s="36" t="s">
        <v>97</v>
      </c>
      <c r="H2" s="36" t="s">
        <v>98</v>
      </c>
      <c r="I2" s="36" t="s">
        <v>99</v>
      </c>
      <c r="J2" s="36" t="s">
        <v>96</v>
      </c>
      <c r="K2" s="36" t="s">
        <v>97</v>
      </c>
      <c r="L2" s="36" t="s">
        <v>98</v>
      </c>
      <c r="M2" s="36" t="s">
        <v>99</v>
      </c>
      <c r="N2" s="36" t="s">
        <v>96</v>
      </c>
      <c r="O2" s="36" t="s">
        <v>97</v>
      </c>
      <c r="P2" s="36" t="s">
        <v>98</v>
      </c>
      <c r="Q2" s="36" t="s">
        <v>99</v>
      </c>
    </row>
    <row r="3" spans="1:17" x14ac:dyDescent="0.2">
      <c r="A3" s="36">
        <v>0</v>
      </c>
      <c r="B3" s="36">
        <v>100</v>
      </c>
      <c r="C3" s="36">
        <v>100</v>
      </c>
      <c r="D3" s="36">
        <v>100</v>
      </c>
      <c r="E3" s="36">
        <v>100</v>
      </c>
      <c r="F3" s="36">
        <v>100</v>
      </c>
      <c r="G3" s="36">
        <v>100</v>
      </c>
      <c r="H3" s="36">
        <v>100</v>
      </c>
      <c r="I3" s="36">
        <v>100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</row>
    <row r="4" spans="1:17" x14ac:dyDescent="0.2">
      <c r="A4" s="36">
        <v>1</v>
      </c>
      <c r="B4" s="36">
        <v>84.873430486525635</v>
      </c>
      <c r="C4" s="36">
        <v>96.028631579742324</v>
      </c>
      <c r="D4" s="36">
        <v>108.7918828123067</v>
      </c>
      <c r="E4" s="36">
        <v>121.39629569234209</v>
      </c>
      <c r="F4" s="36">
        <v>82.051323705365306</v>
      </c>
      <c r="G4" s="36">
        <v>93.636854667086965</v>
      </c>
      <c r="H4" s="36">
        <v>106.4143327846048</v>
      </c>
      <c r="I4" s="36">
        <v>119.0523235108007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0</v>
      </c>
      <c r="Q4" s="36">
        <v>0</v>
      </c>
    </row>
    <row r="5" spans="1:17" x14ac:dyDescent="0.2">
      <c r="A5" s="36">
        <v>2</v>
      </c>
      <c r="B5" s="36">
        <v>85.860961578034505</v>
      </c>
      <c r="C5" s="36">
        <v>98.675569778757819</v>
      </c>
      <c r="D5" s="36">
        <v>117.11872449628621</v>
      </c>
      <c r="E5" s="36">
        <v>136.074798893836</v>
      </c>
      <c r="F5" s="36">
        <v>81.009251544884762</v>
      </c>
      <c r="G5" s="36">
        <v>93.766924399662017</v>
      </c>
      <c r="H5" s="36">
        <v>111.92363349343741</v>
      </c>
      <c r="I5" s="36">
        <v>130.50898744546561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</row>
    <row r="6" spans="1:17" x14ac:dyDescent="0.2">
      <c r="A6" s="36">
        <v>3</v>
      </c>
      <c r="B6" s="36">
        <v>87.151154439126643</v>
      </c>
      <c r="C6" s="36">
        <v>103.4679986832795</v>
      </c>
      <c r="D6" s="36">
        <v>125.6000502836916</v>
      </c>
      <c r="E6" s="36">
        <v>150.63760929138999</v>
      </c>
      <c r="F6" s="36">
        <v>80.326441654026439</v>
      </c>
      <c r="G6" s="36">
        <v>96.140317944863369</v>
      </c>
      <c r="H6" s="36">
        <v>117.468926136409</v>
      </c>
      <c r="I6" s="36">
        <v>141.4639759660422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</row>
    <row r="7" spans="1:17" x14ac:dyDescent="0.2">
      <c r="A7" s="36">
        <v>4</v>
      </c>
      <c r="B7" s="36">
        <v>86.934176819247114</v>
      </c>
      <c r="C7" s="36">
        <v>107.31102738162321</v>
      </c>
      <c r="D7" s="36">
        <v>135.81986413415891</v>
      </c>
      <c r="E7" s="36">
        <v>169.1614913313517</v>
      </c>
      <c r="F7" s="36">
        <v>78.500227514730611</v>
      </c>
      <c r="G7" s="36">
        <v>97.406769198801911</v>
      </c>
      <c r="H7" s="36">
        <v>124.2999909541596</v>
      </c>
      <c r="I7" s="36">
        <v>155.59931715517121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</row>
    <row r="8" spans="1:17" x14ac:dyDescent="0.2">
      <c r="A8" s="36">
        <v>5</v>
      </c>
      <c r="B8" s="36">
        <v>88.1221579456912</v>
      </c>
      <c r="C8" s="36">
        <v>112.43382437265539</v>
      </c>
      <c r="D8" s="36">
        <v>147.18080324679369</v>
      </c>
      <c r="E8" s="36">
        <v>188.5589824155023</v>
      </c>
      <c r="F8" s="36">
        <v>78.27268616361701</v>
      </c>
      <c r="G8" s="36">
        <v>100.0389047156622</v>
      </c>
      <c r="H8" s="36">
        <v>131.80877535225719</v>
      </c>
      <c r="I8" s="36">
        <v>169.93471614274961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</row>
    <row r="9" spans="1:17" x14ac:dyDescent="0.2">
      <c r="A9" s="36">
        <v>6</v>
      </c>
      <c r="B9" s="36">
        <v>89.833287838259551</v>
      </c>
      <c r="C9" s="36">
        <v>118.1379861147758</v>
      </c>
      <c r="D9" s="36">
        <v>158.9247863379959</v>
      </c>
      <c r="E9" s="36">
        <v>208.7442698749289</v>
      </c>
      <c r="F9" s="36">
        <v>78.562817481149906</v>
      </c>
      <c r="G9" s="36">
        <v>102.7977934040704</v>
      </c>
      <c r="H9" s="36">
        <v>139.36962082568141</v>
      </c>
      <c r="I9" s="36">
        <v>184.2177103748634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</row>
    <row r="10" spans="1:17" x14ac:dyDescent="0.2">
      <c r="A10" s="36">
        <v>7</v>
      </c>
      <c r="B10" s="36">
        <v>88.097994322082869</v>
      </c>
      <c r="C10" s="36">
        <v>122.57999070056709</v>
      </c>
      <c r="D10" s="36">
        <v>171.6804361447752</v>
      </c>
      <c r="E10" s="36">
        <v>232.7500869827735</v>
      </c>
      <c r="F10" s="36">
        <v>76.001204635072227</v>
      </c>
      <c r="G10" s="36">
        <v>104.9211291778241</v>
      </c>
      <c r="H10" s="36">
        <v>147.25937578339361</v>
      </c>
      <c r="I10" s="36">
        <v>200.83408853713479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</row>
    <row r="11" spans="1:17" x14ac:dyDescent="0.2">
      <c r="A11" s="36">
        <v>8</v>
      </c>
      <c r="B11" s="36">
        <v>90.104045999740634</v>
      </c>
      <c r="C11" s="36">
        <v>127.7394034579689</v>
      </c>
      <c r="D11" s="36">
        <v>184.86037132437059</v>
      </c>
      <c r="E11" s="36">
        <v>257.76609684379599</v>
      </c>
      <c r="F11" s="36">
        <v>75.843094974303</v>
      </c>
      <c r="G11" s="36">
        <v>106.950247471216</v>
      </c>
      <c r="H11" s="36">
        <v>155.48037525510111</v>
      </c>
      <c r="I11" s="36">
        <v>218.2698160911483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</row>
    <row r="12" spans="1:17" x14ac:dyDescent="0.2">
      <c r="A12" s="36">
        <v>9</v>
      </c>
      <c r="B12" s="36">
        <v>89.600951746153655</v>
      </c>
      <c r="C12" s="36">
        <v>132.24188826035231</v>
      </c>
      <c r="D12" s="36">
        <v>198.34153388107259</v>
      </c>
      <c r="E12" s="36">
        <v>285.25882609246491</v>
      </c>
      <c r="F12" s="36">
        <v>74.208957582316032</v>
      </c>
      <c r="G12" s="36">
        <v>108.492510779732</v>
      </c>
      <c r="H12" s="36">
        <v>163.55128214117681</v>
      </c>
      <c r="I12" s="36">
        <v>237.02388986455779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</row>
    <row r="13" spans="1:17" x14ac:dyDescent="0.2">
      <c r="A13" s="36">
        <v>10</v>
      </c>
      <c r="B13" s="36">
        <v>90.871110920992763</v>
      </c>
      <c r="C13" s="36">
        <v>137.70148681875261</v>
      </c>
      <c r="D13" s="36">
        <v>212.937150002024</v>
      </c>
      <c r="E13" s="36">
        <v>314.07810424086051</v>
      </c>
      <c r="F13" s="36">
        <v>73.639415337318596</v>
      </c>
      <c r="G13" s="36">
        <v>111.4336424604404</v>
      </c>
      <c r="H13" s="36">
        <v>171.95813415554181</v>
      </c>
      <c r="I13" s="36">
        <v>255.4027141156686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</row>
    <row r="14" spans="1:17" x14ac:dyDescent="0.2">
      <c r="A14" s="36">
        <v>11</v>
      </c>
      <c r="B14" s="36">
        <v>92.948348270265967</v>
      </c>
      <c r="C14" s="36">
        <v>143.9313376588089</v>
      </c>
      <c r="D14" s="36">
        <v>228.07755330985859</v>
      </c>
      <c r="E14" s="36">
        <v>343.89528638522592</v>
      </c>
      <c r="F14" s="36">
        <v>74.554818137825052</v>
      </c>
      <c r="G14" s="36">
        <v>114.0109377221757</v>
      </c>
      <c r="H14" s="36">
        <v>180.5306951537178</v>
      </c>
      <c r="I14" s="36">
        <v>274.50152593153041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</row>
    <row r="15" spans="1:17" x14ac:dyDescent="0.2">
      <c r="A15" s="36">
        <v>12</v>
      </c>
      <c r="B15" s="36">
        <v>96.383379738390829</v>
      </c>
      <c r="C15" s="36">
        <v>150.44406105054139</v>
      </c>
      <c r="D15" s="36">
        <v>243.7946078783169</v>
      </c>
      <c r="E15" s="36">
        <v>379.37078458107402</v>
      </c>
      <c r="F15" s="36">
        <v>75.158289935852437</v>
      </c>
      <c r="G15" s="36">
        <v>116.61670134575211</v>
      </c>
      <c r="H15" s="36">
        <v>189.13633879073649</v>
      </c>
      <c r="I15" s="36">
        <v>296.68289897874848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</row>
    <row r="16" spans="1:17" x14ac:dyDescent="0.2">
      <c r="A16" s="36">
        <v>13</v>
      </c>
      <c r="B16" s="36">
        <v>97.507972391630076</v>
      </c>
      <c r="C16" s="36">
        <v>156.74619306935281</v>
      </c>
      <c r="D16" s="36">
        <v>261.03726387007418</v>
      </c>
      <c r="E16" s="36">
        <v>414.60428004437381</v>
      </c>
      <c r="F16" s="36">
        <v>75.404057230814544</v>
      </c>
      <c r="G16" s="36">
        <v>119.2005337149328</v>
      </c>
      <c r="H16" s="36">
        <v>198.9333404156402</v>
      </c>
      <c r="I16" s="36">
        <v>317.28583646015778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</row>
    <row r="17" spans="1:17" x14ac:dyDescent="0.2">
      <c r="A17" s="36">
        <v>14</v>
      </c>
      <c r="B17" s="36">
        <v>100.4984525112567</v>
      </c>
      <c r="C17" s="36">
        <v>164.40950622261681</v>
      </c>
      <c r="D17" s="36">
        <v>280.37739903641062</v>
      </c>
      <c r="E17" s="36">
        <v>456.14557642119962</v>
      </c>
      <c r="F17" s="36">
        <v>75.634558045540842</v>
      </c>
      <c r="G17" s="36">
        <v>122.4246645303275</v>
      </c>
      <c r="H17" s="36">
        <v>208.82097352081621</v>
      </c>
      <c r="I17" s="36">
        <v>342.09623589559891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</row>
    <row r="18" spans="1:17" x14ac:dyDescent="0.2">
      <c r="A18" s="36">
        <v>15</v>
      </c>
      <c r="B18" s="36">
        <v>102.5913163386731</v>
      </c>
      <c r="C18" s="36">
        <v>171.4705587805683</v>
      </c>
      <c r="D18" s="36">
        <v>298.84780745700328</v>
      </c>
      <c r="E18" s="36">
        <v>499.63967032588249</v>
      </c>
      <c r="F18" s="36">
        <v>76.271623416660347</v>
      </c>
      <c r="G18" s="36">
        <v>125.5363836819003</v>
      </c>
      <c r="H18" s="36">
        <v>218.62860981137061</v>
      </c>
      <c r="I18" s="36">
        <v>368.74344881472013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</row>
    <row r="19" spans="1:17" x14ac:dyDescent="0.2">
      <c r="A19" s="36">
        <v>16</v>
      </c>
      <c r="B19" s="36">
        <v>104.0738870225812</v>
      </c>
      <c r="C19" s="36">
        <v>179.24005304965951</v>
      </c>
      <c r="D19" s="36">
        <v>319.65503543942731</v>
      </c>
      <c r="E19" s="36">
        <v>546.35862639701998</v>
      </c>
      <c r="F19" s="36">
        <v>76.096582055253251</v>
      </c>
      <c r="G19" s="36">
        <v>128.99463095672871</v>
      </c>
      <c r="H19" s="36">
        <v>229.72180027186579</v>
      </c>
      <c r="I19" s="36">
        <v>393.91139321886232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</row>
    <row r="20" spans="1:17" x14ac:dyDescent="0.2">
      <c r="A20" s="36">
        <v>17</v>
      </c>
      <c r="B20" s="36">
        <v>109.35263220556141</v>
      </c>
      <c r="C20" s="36">
        <v>187.9572832019883</v>
      </c>
      <c r="D20" s="36">
        <v>341.4950221443446</v>
      </c>
      <c r="E20" s="36">
        <v>599.17249240712795</v>
      </c>
      <c r="F20" s="36">
        <v>78.440908253775476</v>
      </c>
      <c r="G20" s="36">
        <v>132.52035965542439</v>
      </c>
      <c r="H20" s="36">
        <v>240.55987368218251</v>
      </c>
      <c r="I20" s="36">
        <v>421.27483871921038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</row>
    <row r="21" spans="1:17" x14ac:dyDescent="0.2">
      <c r="A21" s="36">
        <v>18</v>
      </c>
      <c r="B21" s="36">
        <v>113.52546232261921</v>
      </c>
      <c r="C21" s="36">
        <v>197.16137027972621</v>
      </c>
      <c r="D21" s="36">
        <v>367.15634650105932</v>
      </c>
      <c r="E21" s="36">
        <v>655.48233397072875</v>
      </c>
      <c r="F21" s="36">
        <v>79.921103100816566</v>
      </c>
      <c r="G21" s="36">
        <v>136.0764833891092</v>
      </c>
      <c r="H21" s="36">
        <v>253.22542424536701</v>
      </c>
      <c r="I21" s="36">
        <v>452.33259755793671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</row>
    <row r="22" spans="1:17" x14ac:dyDescent="0.2">
      <c r="A22" s="36">
        <v>19</v>
      </c>
      <c r="B22" s="36">
        <v>118.0508255818843</v>
      </c>
      <c r="C22" s="36">
        <v>206.08751080489591</v>
      </c>
      <c r="D22" s="36">
        <v>392.82042162724417</v>
      </c>
      <c r="E22" s="36">
        <v>711.32385896679261</v>
      </c>
      <c r="F22" s="36">
        <v>80.711984227336856</v>
      </c>
      <c r="G22" s="36">
        <v>139.82037705781201</v>
      </c>
      <c r="H22" s="36">
        <v>266.66722456358468</v>
      </c>
      <c r="I22" s="36">
        <v>481.30232333864171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</row>
    <row r="23" spans="1:17" x14ac:dyDescent="0.2">
      <c r="A23" s="36">
        <v>20</v>
      </c>
      <c r="B23" s="36">
        <v>121.0129378056008</v>
      </c>
      <c r="C23" s="36">
        <v>216.86051079991191</v>
      </c>
      <c r="D23" s="36">
        <v>420.16240688250372</v>
      </c>
      <c r="E23" s="36">
        <v>776.65659951638997</v>
      </c>
      <c r="F23" s="36">
        <v>82.478146089821124</v>
      </c>
      <c r="G23" s="36">
        <v>143.60695919858651</v>
      </c>
      <c r="H23" s="36">
        <v>279.99392445000149</v>
      </c>
      <c r="I23" s="36">
        <v>515.55022481385265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6"/>
      <c r="B1" s="36" t="s">
        <v>92</v>
      </c>
      <c r="C1" s="36" t="s">
        <v>92</v>
      </c>
      <c r="D1" s="36" t="s">
        <v>92</v>
      </c>
      <c r="E1" s="36" t="s">
        <v>92</v>
      </c>
      <c r="F1" s="36" t="s">
        <v>93</v>
      </c>
      <c r="G1" s="36" t="s">
        <v>93</v>
      </c>
      <c r="H1" s="36" t="s">
        <v>93</v>
      </c>
      <c r="I1" s="36" t="s">
        <v>93</v>
      </c>
      <c r="J1" s="36" t="s">
        <v>94</v>
      </c>
      <c r="K1" s="36" t="s">
        <v>94</v>
      </c>
      <c r="L1" s="36" t="s">
        <v>94</v>
      </c>
      <c r="M1" s="36" t="s">
        <v>94</v>
      </c>
      <c r="N1" s="36" t="s">
        <v>95</v>
      </c>
      <c r="O1" s="36" t="s">
        <v>95</v>
      </c>
      <c r="P1" s="36" t="s">
        <v>95</v>
      </c>
      <c r="Q1" s="36" t="s">
        <v>95</v>
      </c>
    </row>
    <row r="2" spans="1:17" x14ac:dyDescent="0.2">
      <c r="A2" s="36"/>
      <c r="B2" s="36" t="s">
        <v>96</v>
      </c>
      <c r="C2" s="36" t="s">
        <v>97</v>
      </c>
      <c r="D2" s="36" t="s">
        <v>98</v>
      </c>
      <c r="E2" s="36" t="s">
        <v>99</v>
      </c>
      <c r="F2" s="36" t="s">
        <v>96</v>
      </c>
      <c r="G2" s="36" t="s">
        <v>97</v>
      </c>
      <c r="H2" s="36" t="s">
        <v>98</v>
      </c>
      <c r="I2" s="36" t="s">
        <v>99</v>
      </c>
      <c r="J2" s="36" t="s">
        <v>96</v>
      </c>
      <c r="K2" s="36" t="s">
        <v>97</v>
      </c>
      <c r="L2" s="36" t="s">
        <v>98</v>
      </c>
      <c r="M2" s="36" t="s">
        <v>99</v>
      </c>
      <c r="N2" s="36" t="s">
        <v>96</v>
      </c>
      <c r="O2" s="36" t="s">
        <v>97</v>
      </c>
      <c r="P2" s="36" t="s">
        <v>98</v>
      </c>
      <c r="Q2" s="36" t="s">
        <v>99</v>
      </c>
    </row>
    <row r="3" spans="1:17" x14ac:dyDescent="0.2">
      <c r="A3" s="36">
        <v>0</v>
      </c>
      <c r="B3" s="36">
        <v>100</v>
      </c>
      <c r="C3" s="36">
        <v>100</v>
      </c>
      <c r="D3" s="36">
        <v>100</v>
      </c>
      <c r="E3" s="36">
        <v>100</v>
      </c>
      <c r="F3" s="36">
        <v>100</v>
      </c>
      <c r="G3" s="36">
        <v>100</v>
      </c>
      <c r="H3" s="36">
        <v>100</v>
      </c>
      <c r="I3" s="36">
        <v>100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</row>
    <row r="4" spans="1:17" x14ac:dyDescent="0.2">
      <c r="A4" s="36">
        <v>1</v>
      </c>
      <c r="B4" s="36">
        <v>82.962932226239175</v>
      </c>
      <c r="C4" s="36">
        <v>94.411205876420453</v>
      </c>
      <c r="D4" s="36">
        <v>108.2700884156696</v>
      </c>
      <c r="E4" s="36">
        <v>121.3193555536472</v>
      </c>
      <c r="F4" s="36">
        <v>80.199914584274964</v>
      </c>
      <c r="G4" s="36">
        <v>92.087908973770922</v>
      </c>
      <c r="H4" s="36">
        <v>105.9351669522465</v>
      </c>
      <c r="I4" s="36">
        <v>118.8223108629507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0</v>
      </c>
      <c r="Q4" s="36">
        <v>0</v>
      </c>
    </row>
    <row r="5" spans="1:17" x14ac:dyDescent="0.2">
      <c r="A5" s="36">
        <v>2</v>
      </c>
      <c r="B5" s="36">
        <v>82.809881180144245</v>
      </c>
      <c r="C5" s="36">
        <v>96.189216880636579</v>
      </c>
      <c r="D5" s="36">
        <v>115.4814537145494</v>
      </c>
      <c r="E5" s="36">
        <v>135.9721986647811</v>
      </c>
      <c r="F5" s="36">
        <v>78.371710996650194</v>
      </c>
      <c r="G5" s="36">
        <v>91.46712850864516</v>
      </c>
      <c r="H5" s="36">
        <v>110.3777891649907</v>
      </c>
      <c r="I5" s="36">
        <v>130.36077834020631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</row>
    <row r="6" spans="1:17" x14ac:dyDescent="0.2">
      <c r="A6" s="36">
        <v>3</v>
      </c>
      <c r="B6" s="36">
        <v>83.17286821885989</v>
      </c>
      <c r="C6" s="36">
        <v>99.848564409602147</v>
      </c>
      <c r="D6" s="36">
        <v>123.0910386690533</v>
      </c>
      <c r="E6" s="36">
        <v>150.27261952986041</v>
      </c>
      <c r="F6" s="36">
        <v>76.900216419726888</v>
      </c>
      <c r="G6" s="36">
        <v>92.925904416030562</v>
      </c>
      <c r="H6" s="36">
        <v>115.1151503120587</v>
      </c>
      <c r="I6" s="36">
        <v>140.96415902964301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</row>
    <row r="7" spans="1:17" x14ac:dyDescent="0.2">
      <c r="A7" s="36">
        <v>4</v>
      </c>
      <c r="B7" s="36">
        <v>82.199636780572817</v>
      </c>
      <c r="C7" s="36">
        <v>103.0955449068219</v>
      </c>
      <c r="D7" s="36">
        <v>132.62937190503189</v>
      </c>
      <c r="E7" s="36">
        <v>167.87382805944841</v>
      </c>
      <c r="F7" s="36">
        <v>74.433408054466071</v>
      </c>
      <c r="G7" s="36">
        <v>93.732714706222367</v>
      </c>
      <c r="H7" s="36">
        <v>121.2883965489508</v>
      </c>
      <c r="I7" s="36">
        <v>154.34972378157599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</row>
    <row r="8" spans="1:17" x14ac:dyDescent="0.2">
      <c r="A8" s="36">
        <v>5</v>
      </c>
      <c r="B8" s="36">
        <v>83.123612382733739</v>
      </c>
      <c r="C8" s="36">
        <v>107.1340665762586</v>
      </c>
      <c r="D8" s="36">
        <v>142.97282573539999</v>
      </c>
      <c r="E8" s="36">
        <v>187.20240786004359</v>
      </c>
      <c r="F8" s="36">
        <v>73.622412716523741</v>
      </c>
      <c r="G8" s="36">
        <v>95.61086770265571</v>
      </c>
      <c r="H8" s="36">
        <v>128.05792467647211</v>
      </c>
      <c r="I8" s="36">
        <v>168.43159913732401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</row>
    <row r="9" spans="1:17" x14ac:dyDescent="0.2">
      <c r="A9" s="36">
        <v>6</v>
      </c>
      <c r="B9" s="36">
        <v>84.051749597966008</v>
      </c>
      <c r="C9" s="36">
        <v>111.97834960075799</v>
      </c>
      <c r="D9" s="36">
        <v>153.5839787768231</v>
      </c>
      <c r="E9" s="36">
        <v>206.34085914669151</v>
      </c>
      <c r="F9" s="36">
        <v>73.607013262865365</v>
      </c>
      <c r="G9" s="36">
        <v>97.626203147626072</v>
      </c>
      <c r="H9" s="36">
        <v>134.71129692434249</v>
      </c>
      <c r="I9" s="36">
        <v>181.62832378238991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</row>
    <row r="10" spans="1:17" x14ac:dyDescent="0.2">
      <c r="A10" s="36">
        <v>7</v>
      </c>
      <c r="B10" s="36">
        <v>82.343588652333011</v>
      </c>
      <c r="C10" s="36">
        <v>115.7863418046099</v>
      </c>
      <c r="D10" s="36">
        <v>165.58365330231149</v>
      </c>
      <c r="E10" s="36">
        <v>229.12753166120379</v>
      </c>
      <c r="F10" s="36">
        <v>70.494505878450738</v>
      </c>
      <c r="G10" s="36">
        <v>98.881664676832258</v>
      </c>
      <c r="H10" s="36">
        <v>142.15607244779471</v>
      </c>
      <c r="I10" s="36">
        <v>197.77366418245299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</row>
    <row r="11" spans="1:17" x14ac:dyDescent="0.2">
      <c r="A11" s="36">
        <v>8</v>
      </c>
      <c r="B11" s="36">
        <v>83.59597758637976</v>
      </c>
      <c r="C11" s="36">
        <v>120.04755626689629</v>
      </c>
      <c r="D11" s="36">
        <v>177.92709487320121</v>
      </c>
      <c r="E11" s="36">
        <v>253.76199188852229</v>
      </c>
      <c r="F11" s="36">
        <v>70.368135851307031</v>
      </c>
      <c r="G11" s="36">
        <v>100.5427524194767</v>
      </c>
      <c r="H11" s="36">
        <v>149.56480975538651</v>
      </c>
      <c r="I11" s="36">
        <v>214.85121066162489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</row>
    <row r="12" spans="1:17" x14ac:dyDescent="0.2">
      <c r="A12" s="36">
        <v>9</v>
      </c>
      <c r="B12" s="36">
        <v>82.392255675479447</v>
      </c>
      <c r="C12" s="36">
        <v>123.86652352237989</v>
      </c>
      <c r="D12" s="36">
        <v>190.65867569710579</v>
      </c>
      <c r="E12" s="36">
        <v>280.33483042365827</v>
      </c>
      <c r="F12" s="36">
        <v>68.559613135331944</v>
      </c>
      <c r="G12" s="36">
        <v>102.06724228619269</v>
      </c>
      <c r="H12" s="36">
        <v>157.2276700638906</v>
      </c>
      <c r="I12" s="36">
        <v>232.0004062523916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</row>
    <row r="13" spans="1:17" x14ac:dyDescent="0.2">
      <c r="A13" s="36">
        <v>10</v>
      </c>
      <c r="B13" s="36">
        <v>84.176741799541773</v>
      </c>
      <c r="C13" s="36">
        <v>129.16804814302029</v>
      </c>
      <c r="D13" s="36">
        <v>203.9786526053168</v>
      </c>
      <c r="E13" s="36">
        <v>307.28358989137041</v>
      </c>
      <c r="F13" s="36">
        <v>68.600629056207936</v>
      </c>
      <c r="G13" s="36">
        <v>104.2132642995377</v>
      </c>
      <c r="H13" s="36">
        <v>165.02521927660189</v>
      </c>
      <c r="I13" s="36">
        <v>249.95202381846039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</row>
    <row r="14" spans="1:17" x14ac:dyDescent="0.2">
      <c r="A14" s="36">
        <v>11</v>
      </c>
      <c r="B14" s="36">
        <v>85.583976046204626</v>
      </c>
      <c r="C14" s="36">
        <v>133.58695393948449</v>
      </c>
      <c r="D14" s="36">
        <v>218.65868176408091</v>
      </c>
      <c r="E14" s="36">
        <v>336.3422128444206</v>
      </c>
      <c r="F14" s="36">
        <v>68.237771054138335</v>
      </c>
      <c r="G14" s="36">
        <v>105.7693402075416</v>
      </c>
      <c r="H14" s="36">
        <v>173.15166284990681</v>
      </c>
      <c r="I14" s="36">
        <v>268.06132841976222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</row>
    <row r="15" spans="1:17" x14ac:dyDescent="0.2">
      <c r="A15" s="36">
        <v>12</v>
      </c>
      <c r="B15" s="36">
        <v>87.492622591332491</v>
      </c>
      <c r="C15" s="36">
        <v>139.0611761572213</v>
      </c>
      <c r="D15" s="36">
        <v>232.89617030085449</v>
      </c>
      <c r="E15" s="36">
        <v>370.91738318249372</v>
      </c>
      <c r="F15" s="36">
        <v>68.205721607898269</v>
      </c>
      <c r="G15" s="36">
        <v>108.1294287693232</v>
      </c>
      <c r="H15" s="36">
        <v>180.6595457260556</v>
      </c>
      <c r="I15" s="36">
        <v>288.61352802537311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</row>
    <row r="16" spans="1:17" x14ac:dyDescent="0.2">
      <c r="A16" s="36">
        <v>13</v>
      </c>
      <c r="B16" s="36">
        <v>87.892508164981479</v>
      </c>
      <c r="C16" s="36">
        <v>144.46449244784881</v>
      </c>
      <c r="D16" s="36">
        <v>248.7348184702881</v>
      </c>
      <c r="E16" s="36">
        <v>404.89869286887921</v>
      </c>
      <c r="F16" s="36">
        <v>67.92886599516757</v>
      </c>
      <c r="G16" s="36">
        <v>110.3264061849664</v>
      </c>
      <c r="H16" s="36">
        <v>189.62089167843979</v>
      </c>
      <c r="I16" s="36">
        <v>308.90373843079738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</row>
    <row r="17" spans="1:17" x14ac:dyDescent="0.2">
      <c r="A17" s="36">
        <v>14</v>
      </c>
      <c r="B17" s="36">
        <v>89.997095584426518</v>
      </c>
      <c r="C17" s="36">
        <v>150.8610012384045</v>
      </c>
      <c r="D17" s="36">
        <v>266.10505956432547</v>
      </c>
      <c r="E17" s="36">
        <v>443.59631866208531</v>
      </c>
      <c r="F17" s="36">
        <v>68.410316551243952</v>
      </c>
      <c r="G17" s="36">
        <v>112.6712576280614</v>
      </c>
      <c r="H17" s="36">
        <v>198.5507246981598</v>
      </c>
      <c r="I17" s="36">
        <v>332.64372186331002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</row>
    <row r="18" spans="1:17" x14ac:dyDescent="0.2">
      <c r="A18" s="36">
        <v>15</v>
      </c>
      <c r="B18" s="36">
        <v>91.19983355940866</v>
      </c>
      <c r="C18" s="36">
        <v>157.93350522434781</v>
      </c>
      <c r="D18" s="36">
        <v>283.18093640634942</v>
      </c>
      <c r="E18" s="36">
        <v>485.90654139099661</v>
      </c>
      <c r="F18" s="36">
        <v>68.312425373932498</v>
      </c>
      <c r="G18" s="36">
        <v>115.376189834063</v>
      </c>
      <c r="H18" s="36">
        <v>207.86279317245391</v>
      </c>
      <c r="I18" s="36">
        <v>356.34263492873879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</row>
    <row r="19" spans="1:17" x14ac:dyDescent="0.2">
      <c r="A19" s="36">
        <v>16</v>
      </c>
      <c r="B19" s="36">
        <v>93.496824285760951</v>
      </c>
      <c r="C19" s="36">
        <v>163.97235071340981</v>
      </c>
      <c r="D19" s="36">
        <v>302.18491211356809</v>
      </c>
      <c r="E19" s="36">
        <v>530.15387742027599</v>
      </c>
      <c r="F19" s="36">
        <v>68.813484060959752</v>
      </c>
      <c r="G19" s="36">
        <v>118.1064862855505</v>
      </c>
      <c r="H19" s="36">
        <v>217.4124698740365</v>
      </c>
      <c r="I19" s="36">
        <v>381.18049070762203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</row>
    <row r="20" spans="1:17" x14ac:dyDescent="0.2">
      <c r="A20" s="36">
        <v>17</v>
      </c>
      <c r="B20" s="36">
        <v>96.917956859435833</v>
      </c>
      <c r="C20" s="36">
        <v>170.8795429712699</v>
      </c>
      <c r="D20" s="36">
        <v>322.31330661901922</v>
      </c>
      <c r="E20" s="36">
        <v>580.74834990802992</v>
      </c>
      <c r="F20" s="36">
        <v>69.41643838773966</v>
      </c>
      <c r="G20" s="36">
        <v>120.6455013525172</v>
      </c>
      <c r="H20" s="36">
        <v>226.97373913110931</v>
      </c>
      <c r="I20" s="36">
        <v>409.70189475116757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</row>
    <row r="21" spans="1:17" x14ac:dyDescent="0.2">
      <c r="A21" s="36">
        <v>18</v>
      </c>
      <c r="B21" s="36">
        <v>99.481184848279796</v>
      </c>
      <c r="C21" s="36">
        <v>178.88056394293821</v>
      </c>
      <c r="D21" s="36">
        <v>345.57426247796548</v>
      </c>
      <c r="E21" s="36">
        <v>631.50574080138927</v>
      </c>
      <c r="F21" s="36">
        <v>70.154647945923372</v>
      </c>
      <c r="G21" s="36">
        <v>124.0977545787802</v>
      </c>
      <c r="H21" s="36">
        <v>238.7491786822593</v>
      </c>
      <c r="I21" s="36">
        <v>437.52446569861002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</row>
    <row r="22" spans="1:17" x14ac:dyDescent="0.2">
      <c r="A22" s="36">
        <v>19</v>
      </c>
      <c r="B22" s="36">
        <v>103.5048833301519</v>
      </c>
      <c r="C22" s="36">
        <v>186.05213830295489</v>
      </c>
      <c r="D22" s="36">
        <v>368.66118608738111</v>
      </c>
      <c r="E22" s="36">
        <v>687.52733247389358</v>
      </c>
      <c r="F22" s="36">
        <v>71.424454319619898</v>
      </c>
      <c r="G22" s="36">
        <v>126.3045261093089</v>
      </c>
      <c r="H22" s="36">
        <v>250.00912559002691</v>
      </c>
      <c r="I22" s="36">
        <v>464.08505438301529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</row>
    <row r="23" spans="1:17" x14ac:dyDescent="0.2">
      <c r="A23" s="36">
        <v>20</v>
      </c>
      <c r="B23" s="36">
        <v>107.1291616605307</v>
      </c>
      <c r="C23" s="36">
        <v>195.39619880814871</v>
      </c>
      <c r="D23" s="36">
        <v>393.5084879475769</v>
      </c>
      <c r="E23" s="36">
        <v>749.38918251923837</v>
      </c>
      <c r="F23" s="36">
        <v>72.374650097486622</v>
      </c>
      <c r="G23" s="36">
        <v>129.8291098180016</v>
      </c>
      <c r="H23" s="36">
        <v>261.09119187300053</v>
      </c>
      <c r="I23" s="36">
        <v>498.62628917817699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portfolios</vt:lpstr>
      <vt:lpstr>risk_dashboard</vt:lpstr>
      <vt:lpstr>assumptions</vt:lpstr>
      <vt:lpstr>ws_Current_Portfolio</vt:lpstr>
      <vt:lpstr>ws_CVaR_Constrained</vt:lpstr>
      <vt:lpstr>ws_CVaR_Constrained_(No_Private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2025-07-06T20:33:26Z</dcterms:created>
  <dcterms:modified xsi:type="dcterms:W3CDTF">2025-07-07T08:25:37Z</dcterms:modified>
</cp:coreProperties>
</file>