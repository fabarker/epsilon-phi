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Scripts/Case Studies/2. Optimizations/"/>
    </mc:Choice>
  </mc:AlternateContent>
  <xr:revisionPtr revIDLastSave="0" documentId="13_ncr:1_{B412E8D0-0D7A-5448-8770-D442F670FED7}" xr6:coauthVersionLast="47" xr6:coauthVersionMax="47" xr10:uidLastSave="{00000000-0000-0000-0000-000000000000}"/>
  <bookViews>
    <workbookView xWindow="0" yWindow="500" windowWidth="33600" windowHeight="19040" activeTab="1" xr2:uid="{00000000-000D-0000-FFFF-FFFF00000000}"/>
  </bookViews>
  <sheets>
    <sheet name="portfolios" sheetId="1" r:id="rId1"/>
    <sheet name="risk_dashboard" sheetId="2" r:id="rId2"/>
    <sheet name="assumptions" sheetId="3" r:id="rId3"/>
    <sheet name="ws_Current_Portfolio" sheetId="4" r:id="rId4"/>
    <sheet name="ws_Drawdown_Constrained" sheetId="5" r:id="rId5"/>
    <sheet name="ws_Drawdown_Constrained_(No_Pr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C13" i="1"/>
  <c r="D13" i="1"/>
  <c r="B13" i="1"/>
</calcChain>
</file>

<file path=xl/sharedStrings.xml><?xml version="1.0" encoding="utf-8"?>
<sst xmlns="http://schemas.openxmlformats.org/spreadsheetml/2006/main" count="253" uniqueCount="108">
  <si>
    <t>Current Portfolio</t>
  </si>
  <si>
    <t>Drawdown Constrained</t>
  </si>
  <si>
    <t>Investment Grade Fixed Income</t>
  </si>
  <si>
    <t xml:space="preserve">  US Dollar Debt</t>
  </si>
  <si>
    <t xml:space="preserve">  US Short Duration Debt</t>
  </si>
  <si>
    <t xml:space="preserve">  US Inflation Protected Bonds</t>
  </si>
  <si>
    <t xml:space="preserve">  US Corporate Bonds</t>
  </si>
  <si>
    <t>Other Fixed Income</t>
  </si>
  <si>
    <t xml:space="preserve">  US High Yield</t>
  </si>
  <si>
    <t xml:space="preserve">  EM External Debt</t>
  </si>
  <si>
    <t>Public Equity</t>
  </si>
  <si>
    <t xml:space="preserve">  Global Equities (ACWI)</t>
  </si>
  <si>
    <t xml:space="preserve">  US Large Cap Growth Equity</t>
  </si>
  <si>
    <t xml:space="preserve">  US Large Cap Value Equity</t>
  </si>
  <si>
    <t xml:space="preserve">  US Small Cap Equity</t>
  </si>
  <si>
    <t xml:space="preserve">  Europe ex-UK Equity</t>
  </si>
  <si>
    <t xml:space="preserve">  UK Equity</t>
  </si>
  <si>
    <t xml:space="preserve">  Japanese Equity</t>
  </si>
  <si>
    <t xml:space="preserve">  Asia-Pacific Equity</t>
  </si>
  <si>
    <t xml:space="preserve">  Emerging Market Equity</t>
  </si>
  <si>
    <t xml:space="preserve">  Global REITs</t>
  </si>
  <si>
    <t xml:space="preserve">  Infrastructure Equity</t>
  </si>
  <si>
    <t>Hedge Funds</t>
  </si>
  <si>
    <t xml:space="preserve">  Multi-Strategy</t>
  </si>
  <si>
    <t xml:space="preserve">  Event Driven</t>
  </si>
  <si>
    <t xml:space="preserve">  Equity Long/Short</t>
  </si>
  <si>
    <t xml:space="preserve">  Tactical Trading</t>
  </si>
  <si>
    <t>Private Equity</t>
  </si>
  <si>
    <t xml:space="preserve">  Buyout</t>
  </si>
  <si>
    <t xml:space="preserve">  Growth</t>
  </si>
  <si>
    <t xml:space="preserve">  Venture</t>
  </si>
  <si>
    <t>Other Private Assets</t>
  </si>
  <si>
    <t xml:space="preserve">  Private Credit</t>
  </si>
  <si>
    <t xml:space="preserve">  Core Real Estate</t>
  </si>
  <si>
    <t xml:space="preserve">  Infrastructure</t>
  </si>
  <si>
    <t>TOTAL</t>
  </si>
  <si>
    <t>Estimated Mean Return</t>
  </si>
  <si>
    <t>Sharpe Ratio</t>
  </si>
  <si>
    <t>Volatility</t>
  </si>
  <si>
    <t>Factor Based Risk Analytics</t>
  </si>
  <si>
    <t>Nominal</t>
  </si>
  <si>
    <t>Real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</si>
  <si>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</si>
  <si>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</si>
  <si>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</si>
  <si>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</si>
  <si>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</si>
  <si>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</si>
  <si>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</si>
  <si>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</si>
  <si>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</si>
  <si>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</si>
  <si>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</si>
  <si>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</si>
  <si>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</si>
  <si>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</si>
  <si>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</si>
  <si>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</si>
  <si>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</si>
  <si>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</si>
  <si>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</si>
  <si>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</si>
  <si>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</si>
  <si>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</si>
  <si>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</si>
  <si>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</si>
  <si>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US Short Duration Debt</t>
  </si>
  <si>
    <t xml:space="preserve">    US Inflation Protected Bonds</t>
  </si>
  <si>
    <t xml:space="preserve">    US Corporate Bonds</t>
  </si>
  <si>
    <t xml:space="preserve">    US High Yield</t>
  </si>
  <si>
    <t xml:space="preserve">    EM External Debt</t>
  </si>
  <si>
    <t xml:space="preserve">    Global Equities (ACWI)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</si>
  <si>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</si>
  <si>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</si>
  <si>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</si>
  <si>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</si>
  <si>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</si>
  <si>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</si>
  <si>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</si>
  <si>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</si>
  <si>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</si>
  <si>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</si>
  <si>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 xml:space="preserve">    Multi-Strategy</t>
  </si>
  <si>
    <t xml:space="preserve">    Event Driven</t>
  </si>
  <si>
    <t xml:space="preserve">    Equity Long/Short</t>
  </si>
  <si>
    <t xml:space="preserve">    Tactical Trading</t>
  </si>
  <si>
    <t xml:space="preserve">    Buyout</t>
  </si>
  <si>
    <t xml:space="preserve">    Growth</t>
  </si>
  <si>
    <t xml:space="preserve">    Venture</t>
  </si>
  <si>
    <t xml:space="preserve">    Private Credit</t>
  </si>
  <si>
    <t xml:space="preserve">    Core Real Estate</t>
  </si>
  <si>
    <t xml:space="preserve">    Infrastructure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</si>
  <si>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</si>
  <si>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</si>
  <si>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</si>
  <si>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</si>
  <si>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</si>
  <si>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</si>
  <si>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</si>
  <si>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</si>
  <si>
    <t>-</t>
  </si>
  <si>
    <t>Unconstrained</t>
  </si>
  <si>
    <t>Private Asset 
Constrained</t>
  </si>
  <si>
    <t>US Equity</t>
  </si>
  <si>
    <t>Income Equity</t>
  </si>
  <si>
    <t>Performance Over Stress Periods</t>
  </si>
  <si>
    <t>Drawdown 
Constrained</t>
  </si>
  <si>
    <t>Drawdown Constrained 
(No Private Assets)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</si>
</sst>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2.5"/>
      <name val="Calibri Light"/>
      <family val="2"/>
    </font>
    <font>
      <sz val="12.5"/>
      <name val="Arial"/>
      <family val="2"/>
    </font>
    <font>
      <sz val="12.5"/>
      <color rgb="FFFFFFFF"/>
      <name val="Calibri"/>
      <family val="2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  <font>
      <sz val="11"/>
      <color rgb="FFFFFFFF"/>
      <name val="Aptos Narrow"/>
    </font>
    <font>
      <sz val="11"/>
      <name val="Aptos Narrow"/>
    </font>
    <font>
      <b/>
      <sz val="11"/>
      <color rgb="FF092539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DEA"/>
      </patternFill>
    </fill>
    <fill>
      <patternFill patternType="solid">
        <fgColor rgb="FF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/>
      <bottom style="dotted">
        <color auto="1"/>
      </bottom>
      <diagonal/>
    </border>
    <border>
      <left/>
      <right style="thin">
        <color theme="0"/>
      </right>
      <top/>
      <bottom style="dotted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dotted">
        <color auto="1"/>
      </top>
      <bottom/>
      <diagonal/>
    </border>
    <border>
      <left/>
      <right style="thin">
        <color theme="0"/>
      </right>
      <top style="dotted">
        <color auto="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dotted">
        <color rgb="FFA9A9A9"/>
      </top>
      <bottom/>
      <diagonal/>
    </border>
    <border>
      <left/>
      <right style="thin">
        <color theme="0"/>
      </right>
      <top style="dotted">
        <color rgb="FFA9A9A9"/>
      </top>
      <bottom/>
      <diagonal/>
    </border>
    <border>
      <left/>
      <right style="hair">
        <color rgb="FFA9A9A9"/>
      </right>
      <top style="dotted">
        <color rgb="FFA9A9A9"/>
      </top>
      <bottom/>
      <diagonal/>
    </border>
    <border>
      <left/>
      <right style="hair">
        <color rgb="FFA9A9A9"/>
      </right>
      <top/>
      <bottom/>
      <diagonal/>
    </border>
    <border>
      <left/>
      <right style="hair">
        <color rgb="FFA9A9A9"/>
      </right>
      <top/>
      <bottom style="dotted">
        <color rgb="FFA9A9A9"/>
      </bottom>
      <diagonal/>
    </border>
    <border>
      <left/>
      <right/>
      <top/>
      <bottom style="dotted">
        <color rgb="FFA9A9A9"/>
      </bottom>
      <diagonal/>
    </border>
    <border>
      <left/>
      <right style="thin">
        <color theme="0"/>
      </right>
      <top/>
      <bottom style="dotted">
        <color rgb="FFA9A9A9"/>
      </bottom>
      <diagonal/>
    </border>
    <border>
      <left style="thin">
        <color theme="0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0"/>
      </right>
      <top/>
      <bottom style="thin">
        <color theme="1"/>
      </bottom>
      <diagonal/>
    </border>
  </borders>
  <cellStyleXfs count="1">
    <xf numFmtId="0" fontId="0" fillId="0" borderId="0"/>
  </cellStyleXfs>
  <cellXfs count="95">
    <xf numFmtId="0" fontId="0" fillId="0" borderId="0" xfId="0"/>
    <xf numFmtId="164" fontId="1" fillId="3" borderId="2" xfId="0" applyNumberFormat="1" applyFont="1" applyFill="1" applyBorder="1" applyAlignment="1">
      <alignment horizontal="right" vertical="center" indent="4"/>
    </xf>
    <xf numFmtId="165" fontId="1" fillId="2" borderId="2" xfId="0" applyNumberFormat="1" applyFont="1" applyFill="1" applyBorder="1" applyAlignment="1">
      <alignment horizontal="right" vertical="center" indent="4"/>
    </xf>
    <xf numFmtId="164" fontId="1" fillId="2" borderId="3" xfId="0" applyNumberFormat="1" applyFont="1" applyFill="1" applyBorder="1" applyAlignment="1">
      <alignment horizontal="right" indent="4"/>
    </xf>
    <xf numFmtId="0" fontId="2" fillId="2" borderId="2" xfId="0" applyFont="1" applyFill="1" applyBorder="1"/>
    <xf numFmtId="164" fontId="3" fillId="4" borderId="2" xfId="0" applyNumberFormat="1" applyFont="1" applyFill="1" applyBorder="1" applyAlignment="1">
      <alignment horizontal="right" vertical="center" indent="4"/>
    </xf>
    <xf numFmtId="2" fontId="3" fillId="4" borderId="2" xfId="0" applyNumberFormat="1" applyFont="1" applyFill="1" applyBorder="1" applyAlignment="1">
      <alignment horizontal="right" vertical="center" indent="4"/>
    </xf>
    <xf numFmtId="0" fontId="4" fillId="6" borderId="2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center" vertical="center" wrapText="1"/>
    </xf>
    <xf numFmtId="0" fontId="5" fillId="6" borderId="2" xfId="0" applyFont="1" applyFill="1" applyBorder="1"/>
    <xf numFmtId="0" fontId="5" fillId="6" borderId="2" xfId="0" applyFont="1" applyFill="1" applyBorder="1" applyAlignment="1">
      <alignment horizontal="center"/>
    </xf>
    <xf numFmtId="2" fontId="5" fillId="6" borderId="2" xfId="0" applyNumberFormat="1" applyFont="1" applyFill="1" applyBorder="1" applyAlignment="1">
      <alignment horizontal="center"/>
    </xf>
    <xf numFmtId="0" fontId="4" fillId="6" borderId="2" xfId="0" applyFont="1" applyFill="1" applyBorder="1"/>
    <xf numFmtId="164" fontId="6" fillId="6" borderId="2" xfId="0" applyNumberFormat="1" applyFont="1" applyFill="1" applyBorder="1" applyAlignment="1">
      <alignment horizontal="right"/>
    </xf>
    <xf numFmtId="164" fontId="4" fillId="6" borderId="2" xfId="0" applyNumberFormat="1" applyFont="1" applyFill="1" applyBorder="1" applyAlignment="1">
      <alignment horizontal="center"/>
    </xf>
    <xf numFmtId="164" fontId="7" fillId="6" borderId="2" xfId="0" applyNumberFormat="1" applyFont="1" applyFill="1" applyBorder="1" applyAlignment="1">
      <alignment horizontal="left"/>
    </xf>
    <xf numFmtId="2" fontId="4" fillId="6" borderId="2" xfId="0" applyNumberFormat="1" applyFont="1" applyFill="1" applyBorder="1" applyAlignment="1">
      <alignment horizontal="center"/>
    </xf>
    <xf numFmtId="9" fontId="4" fillId="6" borderId="2" xfId="0" applyNumberFormat="1" applyFont="1" applyFill="1" applyBorder="1" applyAlignment="1">
      <alignment horizontal="center"/>
    </xf>
    <xf numFmtId="17" fontId="4" fillId="6" borderId="2" xfId="0" applyNumberFormat="1" applyFont="1" applyFill="1" applyBorder="1" applyAlignment="1">
      <alignment horizontal="center"/>
    </xf>
    <xf numFmtId="0" fontId="5" fillId="6" borderId="6" xfId="0" applyFont="1" applyFill="1" applyBorder="1"/>
    <xf numFmtId="164" fontId="5" fillId="6" borderId="6" xfId="0" applyNumberFormat="1" applyFont="1" applyFill="1" applyBorder="1" applyAlignment="1">
      <alignment horizontal="right"/>
    </xf>
    <xf numFmtId="164" fontId="5" fillId="6" borderId="6" xfId="0" applyNumberFormat="1" applyFont="1" applyFill="1" applyBorder="1" applyAlignment="1">
      <alignment horizontal="center"/>
    </xf>
    <xf numFmtId="164" fontId="8" fillId="6" borderId="6" xfId="0" applyNumberFormat="1" applyFont="1" applyFill="1" applyBorder="1" applyAlignment="1">
      <alignment horizontal="left"/>
    </xf>
    <xf numFmtId="2" fontId="5" fillId="6" borderId="6" xfId="0" applyNumberFormat="1" applyFont="1" applyFill="1" applyBorder="1" applyAlignment="1">
      <alignment horizontal="center"/>
    </xf>
    <xf numFmtId="9" fontId="5" fillId="6" borderId="6" xfId="0" applyNumberFormat="1" applyFont="1" applyFill="1" applyBorder="1" applyAlignment="1">
      <alignment horizontal="center"/>
    </xf>
    <xf numFmtId="17" fontId="5" fillId="6" borderId="6" xfId="0" applyNumberFormat="1" applyFont="1" applyFill="1" applyBorder="1" applyAlignment="1">
      <alignment horizontal="center"/>
    </xf>
    <xf numFmtId="0" fontId="4" fillId="6" borderId="5" xfId="0" applyFont="1" applyFill="1" applyBorder="1"/>
    <xf numFmtId="164" fontId="6" fillId="6" borderId="5" xfId="0" applyNumberFormat="1" applyFont="1" applyFill="1" applyBorder="1" applyAlignment="1">
      <alignment horizontal="right"/>
    </xf>
    <xf numFmtId="164" fontId="4" fillId="6" borderId="5" xfId="0" applyNumberFormat="1" applyFont="1" applyFill="1" applyBorder="1" applyAlignment="1">
      <alignment horizontal="center"/>
    </xf>
    <xf numFmtId="164" fontId="7" fillId="6" borderId="5" xfId="0" applyNumberFormat="1" applyFont="1" applyFill="1" applyBorder="1" applyAlignment="1">
      <alignment horizontal="left"/>
    </xf>
    <xf numFmtId="2" fontId="4" fillId="6" borderId="5" xfId="0" applyNumberFormat="1" applyFont="1" applyFill="1" applyBorder="1" applyAlignment="1">
      <alignment horizontal="center"/>
    </xf>
    <xf numFmtId="9" fontId="4" fillId="6" borderId="5" xfId="0" applyNumberFormat="1" applyFont="1" applyFill="1" applyBorder="1" applyAlignment="1">
      <alignment horizontal="center"/>
    </xf>
    <xf numFmtId="17" fontId="4" fillId="6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/>
    <xf numFmtId="0" fontId="4" fillId="6" borderId="5" xfId="0" applyFont="1" applyFill="1" applyBorder="1" applyAlignment="1">
      <alignment horizontal="center" vertical="center"/>
    </xf>
    <xf numFmtId="0" fontId="0" fillId="0" borderId="7" xfId="0" applyBorder="1"/>
    <xf numFmtId="0" fontId="4" fillId="6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0" fillId="7" borderId="8" xfId="0" applyFill="1" applyBorder="1"/>
    <xf numFmtId="0" fontId="0" fillId="7" borderId="9" xfId="0" applyFill="1" applyBorder="1"/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vertical="center"/>
    </xf>
    <xf numFmtId="0" fontId="1" fillId="7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left" vertical="center"/>
    </xf>
    <xf numFmtId="164" fontId="1" fillId="3" borderId="15" xfId="0" applyNumberFormat="1" applyFont="1" applyFill="1" applyBorder="1" applyAlignment="1">
      <alignment horizontal="right" vertical="center" indent="4"/>
    </xf>
    <xf numFmtId="0" fontId="1" fillId="2" borderId="14" xfId="0" applyFont="1" applyFill="1" applyBorder="1" applyAlignment="1">
      <alignment horizontal="left" vertical="center"/>
    </xf>
    <xf numFmtId="165" fontId="1" fillId="2" borderId="15" xfId="0" applyNumberFormat="1" applyFont="1" applyFill="1" applyBorder="1" applyAlignment="1">
      <alignment horizontal="right" vertical="center" indent="4"/>
    </xf>
    <xf numFmtId="0" fontId="1" fillId="2" borderId="14" xfId="0" applyFont="1" applyFill="1" applyBorder="1" applyAlignment="1">
      <alignment horizontal="left" vertical="center" indent="1"/>
    </xf>
    <xf numFmtId="0" fontId="1" fillId="2" borderId="16" xfId="0" applyFont="1" applyFill="1" applyBorder="1"/>
    <xf numFmtId="164" fontId="1" fillId="2" borderId="17" xfId="0" applyNumberFormat="1" applyFont="1" applyFill="1" applyBorder="1" applyAlignment="1">
      <alignment horizontal="right" indent="4"/>
    </xf>
    <xf numFmtId="0" fontId="2" fillId="2" borderId="14" xfId="0" applyFont="1" applyFill="1" applyBorder="1"/>
    <xf numFmtId="0" fontId="2" fillId="2" borderId="15" xfId="0" applyFont="1" applyFill="1" applyBorder="1"/>
    <xf numFmtId="164" fontId="3" fillId="4" borderId="14" xfId="0" applyNumberFormat="1" applyFont="1" applyFill="1" applyBorder="1" applyAlignment="1">
      <alignment vertical="center"/>
    </xf>
    <xf numFmtId="164" fontId="3" fillId="4" borderId="15" xfId="0" applyNumberFormat="1" applyFont="1" applyFill="1" applyBorder="1" applyAlignment="1">
      <alignment horizontal="right" vertical="center" indent="4"/>
    </xf>
    <xf numFmtId="2" fontId="3" fillId="4" borderId="15" xfId="0" applyNumberFormat="1" applyFont="1" applyFill="1" applyBorder="1" applyAlignment="1">
      <alignment horizontal="right" vertical="center" indent="4"/>
    </xf>
    <xf numFmtId="164" fontId="3" fillId="4" borderId="18" xfId="0" applyNumberFormat="1" applyFont="1" applyFill="1" applyBorder="1" applyAlignment="1">
      <alignment vertical="center"/>
    </xf>
    <xf numFmtId="164" fontId="3" fillId="4" borderId="19" xfId="0" applyNumberFormat="1" applyFont="1" applyFill="1" applyBorder="1" applyAlignment="1">
      <alignment horizontal="right" vertical="center" indent="4"/>
    </xf>
    <xf numFmtId="164" fontId="3" fillId="4" borderId="20" xfId="0" applyNumberFormat="1" applyFont="1" applyFill="1" applyBorder="1" applyAlignment="1">
      <alignment horizontal="right" vertical="center" indent="4"/>
    </xf>
    <xf numFmtId="0" fontId="9" fillId="5" borderId="8" xfId="0" applyFont="1" applyFill="1" applyBorder="1" applyAlignment="1">
      <alignment vertical="center"/>
    </xf>
    <xf numFmtId="0" fontId="9" fillId="5" borderId="9" xfId="0" applyFont="1" applyFill="1" applyBorder="1" applyAlignment="1">
      <alignment horizontal="center" vertical="center"/>
    </xf>
    <xf numFmtId="0" fontId="0" fillId="0" borderId="9" xfId="0" applyBorder="1"/>
    <xf numFmtId="0" fontId="9" fillId="5" borderId="9" xfId="0" applyFont="1" applyFill="1" applyBorder="1" applyAlignment="1">
      <alignment horizontal="center" vertical="center" wrapText="1"/>
    </xf>
    <xf numFmtId="0" fontId="0" fillId="0" borderId="21" xfId="0" applyBorder="1"/>
    <xf numFmtId="0" fontId="10" fillId="6" borderId="14" xfId="0" applyFont="1" applyFill="1" applyBorder="1"/>
    <xf numFmtId="164" fontId="10" fillId="6" borderId="2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15" xfId="0" applyBorder="1"/>
    <xf numFmtId="0" fontId="10" fillId="6" borderId="22" xfId="0" applyFont="1" applyFill="1" applyBorder="1"/>
    <xf numFmtId="164" fontId="10" fillId="6" borderId="4" xfId="0" applyNumberFormat="1" applyFont="1" applyFill="1" applyBorder="1" applyAlignment="1">
      <alignment horizontal="center"/>
    </xf>
    <xf numFmtId="0" fontId="0" fillId="0" borderId="23" xfId="0" applyBorder="1"/>
    <xf numFmtId="2" fontId="10" fillId="6" borderId="2" xfId="0" applyNumberFormat="1" applyFont="1" applyFill="1" applyBorder="1" applyAlignment="1">
      <alignment horizontal="center"/>
    </xf>
    <xf numFmtId="0" fontId="9" fillId="5" borderId="14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11" fillId="6" borderId="22" xfId="0" applyFont="1" applyFill="1" applyBorder="1"/>
    <xf numFmtId="0" fontId="10" fillId="6" borderId="4" xfId="0" applyFont="1" applyFill="1" applyBorder="1" applyAlignment="1">
      <alignment horizontal="center"/>
    </xf>
    <xf numFmtId="0" fontId="10" fillId="6" borderId="24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left" indent="1"/>
    </xf>
    <xf numFmtId="164" fontId="10" fillId="6" borderId="2" xfId="0" applyNumberFormat="1" applyFont="1" applyFill="1" applyBorder="1" applyAlignment="1">
      <alignment horizontal="center"/>
    </xf>
    <xf numFmtId="164" fontId="10" fillId="6" borderId="25" xfId="0" applyNumberFormat="1" applyFont="1" applyFill="1" applyBorder="1" applyAlignment="1">
      <alignment horizontal="center"/>
    </xf>
    <xf numFmtId="164" fontId="10" fillId="6" borderId="15" xfId="0" applyNumberFormat="1" applyFont="1" applyFill="1" applyBorder="1" applyAlignment="1">
      <alignment horizontal="center"/>
    </xf>
    <xf numFmtId="164" fontId="10" fillId="6" borderId="26" xfId="0" applyNumberFormat="1" applyFont="1" applyFill="1" applyBorder="1" applyAlignment="1">
      <alignment horizontal="center"/>
    </xf>
    <xf numFmtId="164" fontId="10" fillId="6" borderId="15" xfId="0" applyNumberFormat="1" applyFont="1" applyFill="1" applyBorder="1" applyAlignment="1">
      <alignment horizontal="center"/>
    </xf>
    <xf numFmtId="164" fontId="10" fillId="6" borderId="27" xfId="0" applyNumberFormat="1" applyFont="1" applyFill="1" applyBorder="1" applyAlignment="1">
      <alignment horizontal="center"/>
    </xf>
    <xf numFmtId="164" fontId="10" fillId="6" borderId="28" xfId="0" applyNumberFormat="1" applyFont="1" applyFill="1" applyBorder="1" applyAlignment="1">
      <alignment horizontal="center"/>
    </xf>
    <xf numFmtId="0" fontId="10" fillId="6" borderId="29" xfId="0" applyFont="1" applyFill="1" applyBorder="1" applyAlignment="1">
      <alignment horizontal="left" indent="1"/>
    </xf>
    <xf numFmtId="164" fontId="10" fillId="6" borderId="30" xfId="0" applyNumberFormat="1" applyFont="1" applyFill="1" applyBorder="1" applyAlignment="1">
      <alignment horizontal="center"/>
    </xf>
    <xf numFmtId="164" fontId="10" fillId="6" borderId="31" xfId="0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vertical="center"/>
    </xf>
  </cellXfs>
  <cellStyles count="1">
    <cellStyle name="Normal" xfId="0" builtinId="0"/>
  </cellStyles>
  <dxfs count="4">
    <dxf>
      <font>
        <color rgb="FF006100"/>
      </font>
    </dxf>
    <dxf>
      <font>
        <color rgb="FF9C0006"/>
      </font>
    </dxf>
    <dxf>
      <font>
        <color rgb="FF00610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4-7945-B715-DFEF0D8E9815}"/>
            </c:ext>
          </c:extLst>
        </c:ser>
        <c:ser>
          <c:idx val="1"/>
          <c:order val="1"/>
          <c:tx>
            <c:strRef>
              <c:f>ws_Current_Portfolio!$K$2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94-7945-B715-DFEF0D8E9815}"/>
            </c:ext>
          </c:extLst>
        </c:ser>
        <c:ser>
          <c:idx val="2"/>
          <c:order val="2"/>
          <c:tx>
            <c:strRef>
              <c:f>ws_Current_Portfolio!$L$2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94-7945-B715-DFEF0D8E9815}"/>
            </c:ext>
          </c:extLst>
        </c:ser>
        <c:ser>
          <c:idx val="3"/>
          <c:order val="3"/>
          <c:tx>
            <c:strRef>
              <c:f>ws_Current_Portfolio!$M$2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94-7945-B715-DFEF0D8E9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ws_Current_Portfolio!$B$3:$B$23</c:f>
              <c:numCache>
                <c:formatCode>General</c:formatCode>
                <c:ptCount val="21"/>
                <c:pt idx="0">
                  <c:v>100</c:v>
                </c:pt>
                <c:pt idx="1">
                  <c:v>89.456903357182568</c:v>
                </c:pt>
                <c:pt idx="2">
                  <c:v>89.980738266643627</c:v>
                </c:pt>
                <c:pt idx="3">
                  <c:v>90.8898661257616</c:v>
                </c:pt>
                <c:pt idx="4">
                  <c:v>90.42786853539711</c:v>
                </c:pt>
                <c:pt idx="5">
                  <c:v>91.369198231432648</c:v>
                </c:pt>
                <c:pt idx="6">
                  <c:v>92.173075244339728</c:v>
                </c:pt>
                <c:pt idx="7">
                  <c:v>91.064145706205579</c:v>
                </c:pt>
                <c:pt idx="8">
                  <c:v>92.498179650755802</c:v>
                </c:pt>
                <c:pt idx="9">
                  <c:v>91.512380784642389</c:v>
                </c:pt>
                <c:pt idx="10">
                  <c:v>92.934747749398539</c:v>
                </c:pt>
                <c:pt idx="11">
                  <c:v>93.814016252111855</c:v>
                </c:pt>
                <c:pt idx="12">
                  <c:v>95.92752207205757</c:v>
                </c:pt>
                <c:pt idx="13">
                  <c:v>97.112830179337351</c:v>
                </c:pt>
                <c:pt idx="14">
                  <c:v>98.468382394765342</c:v>
                </c:pt>
                <c:pt idx="15">
                  <c:v>99.308266105457449</c:v>
                </c:pt>
                <c:pt idx="16">
                  <c:v>100.8967731299779</c:v>
                </c:pt>
                <c:pt idx="17">
                  <c:v>103.00293094916751</c:v>
                </c:pt>
                <c:pt idx="18">
                  <c:v>105.1794933587548</c:v>
                </c:pt>
                <c:pt idx="19">
                  <c:v>107.9186017702071</c:v>
                </c:pt>
                <c:pt idx="20">
                  <c:v>110.67117834453801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59-F343-A42A-66C32E72F6D1}"/>
            </c:ext>
          </c:extLst>
        </c:ser>
        <c:ser>
          <c:idx val="1"/>
          <c:order val="1"/>
          <c:tx>
            <c:strRef>
              <c:f>ws_Current_Portfolio!$C$2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ws_Current_Portfolio!$C$3:$C$23</c:f>
              <c:numCache>
                <c:formatCode>General</c:formatCode>
                <c:ptCount val="21"/>
                <c:pt idx="0">
                  <c:v>100</c:v>
                </c:pt>
                <c:pt idx="1">
                  <c:v>97.025265613165288</c:v>
                </c:pt>
                <c:pt idx="2">
                  <c:v>99.192368947115298</c:v>
                </c:pt>
                <c:pt idx="3">
                  <c:v>102.4088840698504</c:v>
                </c:pt>
                <c:pt idx="4">
                  <c:v>105.398121567084</c:v>
                </c:pt>
                <c:pt idx="5">
                  <c:v>109.1866393454906</c:v>
                </c:pt>
                <c:pt idx="6">
                  <c:v>113.09197920309791</c:v>
                </c:pt>
                <c:pt idx="7">
                  <c:v>116.0626830575069</c:v>
                </c:pt>
                <c:pt idx="8">
                  <c:v>119.33159211006409</c:v>
                </c:pt>
                <c:pt idx="9">
                  <c:v>122.4295446271361</c:v>
                </c:pt>
                <c:pt idx="10">
                  <c:v>126.25256184610031</c:v>
                </c:pt>
                <c:pt idx="11">
                  <c:v>129.33699057122999</c:v>
                </c:pt>
                <c:pt idx="12">
                  <c:v>133.53381482939361</c:v>
                </c:pt>
                <c:pt idx="13">
                  <c:v>137.38246120196499</c:v>
                </c:pt>
                <c:pt idx="14">
                  <c:v>142.37204958074079</c:v>
                </c:pt>
                <c:pt idx="15">
                  <c:v>146.59654335179761</c:v>
                </c:pt>
                <c:pt idx="16">
                  <c:v>151.4291687475654</c:v>
                </c:pt>
                <c:pt idx="17">
                  <c:v>156.48495492891101</c:v>
                </c:pt>
                <c:pt idx="18">
                  <c:v>161.88677722153639</c:v>
                </c:pt>
                <c:pt idx="19">
                  <c:v>167.6515969034825</c:v>
                </c:pt>
                <c:pt idx="20">
                  <c:v>173.23977525078459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59-F343-A42A-66C32E72F6D1}"/>
            </c:ext>
          </c:extLst>
        </c:ser>
        <c:ser>
          <c:idx val="2"/>
          <c:order val="2"/>
          <c:tx>
            <c:strRef>
              <c:f>ws_Current_Portfolio!$D$2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106.3967716051538</c:v>
                </c:pt>
                <c:pt idx="2">
                  <c:v>111.90510917957231</c:v>
                </c:pt>
                <c:pt idx="3">
                  <c:v>117.8612498854892</c:v>
                </c:pt>
                <c:pt idx="4">
                  <c:v>124.98892317916609</c:v>
                </c:pt>
                <c:pt idx="5">
                  <c:v>132.898534851976</c:v>
                </c:pt>
                <c:pt idx="6">
                  <c:v>140.7688812629919</c:v>
                </c:pt>
                <c:pt idx="7">
                  <c:v>149.36102878932289</c:v>
                </c:pt>
                <c:pt idx="8">
                  <c:v>158.2136613573862</c:v>
                </c:pt>
                <c:pt idx="9">
                  <c:v>166.8426238446261</c:v>
                </c:pt>
                <c:pt idx="10">
                  <c:v>175.8287661816199</c:v>
                </c:pt>
                <c:pt idx="11">
                  <c:v>185.18393079225339</c:v>
                </c:pt>
                <c:pt idx="12">
                  <c:v>194.80417584260289</c:v>
                </c:pt>
                <c:pt idx="13">
                  <c:v>204.20383875683149</c:v>
                </c:pt>
                <c:pt idx="14">
                  <c:v>215.6296724950476</c:v>
                </c:pt>
                <c:pt idx="15">
                  <c:v>226.1906998647797</c:v>
                </c:pt>
                <c:pt idx="16">
                  <c:v>237.695043221585</c:v>
                </c:pt>
                <c:pt idx="17">
                  <c:v>249.60345768630489</c:v>
                </c:pt>
                <c:pt idx="18">
                  <c:v>263.31841545216491</c:v>
                </c:pt>
                <c:pt idx="19">
                  <c:v>277.03201954530692</c:v>
                </c:pt>
                <c:pt idx="20">
                  <c:v>290.67048422949279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59-F343-A42A-66C32E72F6D1}"/>
            </c:ext>
          </c:extLst>
        </c:ser>
        <c:ser>
          <c:idx val="3"/>
          <c:order val="3"/>
          <c:tx>
            <c:strRef>
              <c:f>ws_Current_Portfolio!$E$2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115.1468750861214</c:v>
                </c:pt>
                <c:pt idx="2">
                  <c:v>125.37894161320349</c:v>
                </c:pt>
                <c:pt idx="3">
                  <c:v>134.9170317398123</c:v>
                </c:pt>
                <c:pt idx="4">
                  <c:v>147.082820183048</c:v>
                </c:pt>
                <c:pt idx="5">
                  <c:v>159.97581582226579</c:v>
                </c:pt>
                <c:pt idx="6">
                  <c:v>172.9234416891949</c:v>
                </c:pt>
                <c:pt idx="7">
                  <c:v>187.42408538105241</c:v>
                </c:pt>
                <c:pt idx="8">
                  <c:v>202.8969653662061</c:v>
                </c:pt>
                <c:pt idx="9">
                  <c:v>219.07229317005891</c:v>
                </c:pt>
                <c:pt idx="10">
                  <c:v>235.5684906843498</c:v>
                </c:pt>
                <c:pt idx="11">
                  <c:v>253.54931883777991</c:v>
                </c:pt>
                <c:pt idx="12">
                  <c:v>273.48578434558391</c:v>
                </c:pt>
                <c:pt idx="13">
                  <c:v>293.87272469413108</c:v>
                </c:pt>
                <c:pt idx="14">
                  <c:v>314.9033622075309</c:v>
                </c:pt>
                <c:pt idx="15">
                  <c:v>338.17804620613862</c:v>
                </c:pt>
                <c:pt idx="16">
                  <c:v>362.59622389555551</c:v>
                </c:pt>
                <c:pt idx="17">
                  <c:v>390.14871332644481</c:v>
                </c:pt>
                <c:pt idx="18">
                  <c:v>418.65926805038453</c:v>
                </c:pt>
                <c:pt idx="19">
                  <c:v>445.76435801146158</c:v>
                </c:pt>
                <c:pt idx="20">
                  <c:v>475.19458292480039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59-F343-A42A-66C32E72F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ws_Current_Portfolio!$F$3:$F$23</c:f>
              <c:numCache>
                <c:formatCode>General</c:formatCode>
                <c:ptCount val="21"/>
                <c:pt idx="0">
                  <c:v>100</c:v>
                </c:pt>
                <c:pt idx="1">
                  <c:v>86.70380523586735</c:v>
                </c:pt>
                <c:pt idx="2">
                  <c:v>85.100894859473641</c:v>
                </c:pt>
                <c:pt idx="3">
                  <c:v>84.218811499977932</c:v>
                </c:pt>
                <c:pt idx="4">
                  <c:v>82.13829188916705</c:v>
                </c:pt>
                <c:pt idx="5">
                  <c:v>81.549877876853301</c:v>
                </c:pt>
                <c:pt idx="6">
                  <c:v>80.40280160608043</c:v>
                </c:pt>
                <c:pt idx="7">
                  <c:v>78.25787929641443</c:v>
                </c:pt>
                <c:pt idx="8">
                  <c:v>77.685825880984837</c:v>
                </c:pt>
                <c:pt idx="9">
                  <c:v>76.198094733240652</c:v>
                </c:pt>
                <c:pt idx="10">
                  <c:v>75.423080243046371</c:v>
                </c:pt>
                <c:pt idx="11">
                  <c:v>75.678130435135131</c:v>
                </c:pt>
                <c:pt idx="12">
                  <c:v>75.064350566601632</c:v>
                </c:pt>
                <c:pt idx="13">
                  <c:v>74.024301538455532</c:v>
                </c:pt>
                <c:pt idx="14">
                  <c:v>74.633923165407225</c:v>
                </c:pt>
                <c:pt idx="15">
                  <c:v>74.182997099231969</c:v>
                </c:pt>
                <c:pt idx="16">
                  <c:v>73.312668878138098</c:v>
                </c:pt>
                <c:pt idx="17">
                  <c:v>73.94485093469126</c:v>
                </c:pt>
                <c:pt idx="18">
                  <c:v>74.576581864937339</c:v>
                </c:pt>
                <c:pt idx="19">
                  <c:v>74.864305403667643</c:v>
                </c:pt>
                <c:pt idx="20">
                  <c:v>75.081858895213188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7E-2248-B733-DA2FE26F31E9}"/>
            </c:ext>
          </c:extLst>
        </c:ser>
        <c:ser>
          <c:idx val="1"/>
          <c:order val="1"/>
          <c:tx>
            <c:strRef>
              <c:f>ws_Current_Portfolio!$G$2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94.656688850760474</c:v>
                </c:pt>
                <c:pt idx="2">
                  <c:v>94.400289959351397</c:v>
                </c:pt>
                <c:pt idx="3">
                  <c:v>95.332301272175343</c:v>
                </c:pt>
                <c:pt idx="4">
                  <c:v>96.009494279172088</c:v>
                </c:pt>
                <c:pt idx="5">
                  <c:v>97.32633481900659</c:v>
                </c:pt>
                <c:pt idx="6">
                  <c:v>98.598670542218926</c:v>
                </c:pt>
                <c:pt idx="7">
                  <c:v>99.337505925042677</c:v>
                </c:pt>
                <c:pt idx="8">
                  <c:v>100.2398836893494</c:v>
                </c:pt>
                <c:pt idx="9">
                  <c:v>100.9225431869304</c:v>
                </c:pt>
                <c:pt idx="10">
                  <c:v>101.92611202814849</c:v>
                </c:pt>
                <c:pt idx="11">
                  <c:v>102.6938700582825</c:v>
                </c:pt>
                <c:pt idx="12">
                  <c:v>103.8231447508433</c:v>
                </c:pt>
                <c:pt idx="13">
                  <c:v>104.99812825737681</c:v>
                </c:pt>
                <c:pt idx="14">
                  <c:v>106.68681910779129</c:v>
                </c:pt>
                <c:pt idx="15">
                  <c:v>108.1823758828707</c:v>
                </c:pt>
                <c:pt idx="16">
                  <c:v>109.6351805549494</c:v>
                </c:pt>
                <c:pt idx="17">
                  <c:v>110.85121285783841</c:v>
                </c:pt>
                <c:pt idx="18">
                  <c:v>112.4313657577416</c:v>
                </c:pt>
                <c:pt idx="19">
                  <c:v>113.57045695861591</c:v>
                </c:pt>
                <c:pt idx="20">
                  <c:v>115.6684166229964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7E-2248-B733-DA2FE26F31E9}"/>
            </c:ext>
          </c:extLst>
        </c:ser>
        <c:ser>
          <c:idx val="2"/>
          <c:order val="2"/>
          <c:tx>
            <c:strRef>
              <c:f>ws_Current_Portfolio!$H$2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104.0428106961856</c:v>
                </c:pt>
                <c:pt idx="2">
                  <c:v>106.9281453903247</c:v>
                </c:pt>
                <c:pt idx="3">
                  <c:v>110.172532673408</c:v>
                </c:pt>
                <c:pt idx="4">
                  <c:v>114.3523511006908</c:v>
                </c:pt>
                <c:pt idx="5">
                  <c:v>118.94104161299239</c:v>
                </c:pt>
                <c:pt idx="6">
                  <c:v>123.44725259105221</c:v>
                </c:pt>
                <c:pt idx="7">
                  <c:v>128.2246174574569</c:v>
                </c:pt>
                <c:pt idx="8">
                  <c:v>133.08611384272001</c:v>
                </c:pt>
                <c:pt idx="9">
                  <c:v>137.65238528149089</c:v>
                </c:pt>
                <c:pt idx="10">
                  <c:v>141.9303377299826</c:v>
                </c:pt>
                <c:pt idx="11">
                  <c:v>146.89472652466119</c:v>
                </c:pt>
                <c:pt idx="12">
                  <c:v>151.2647476460927</c:v>
                </c:pt>
                <c:pt idx="13">
                  <c:v>156.01683448409241</c:v>
                </c:pt>
                <c:pt idx="14">
                  <c:v>161.2031090108153</c:v>
                </c:pt>
                <c:pt idx="15">
                  <c:v>165.70740200275449</c:v>
                </c:pt>
                <c:pt idx="16">
                  <c:v>170.96418675985419</c:v>
                </c:pt>
                <c:pt idx="17">
                  <c:v>176.09562331023659</c:v>
                </c:pt>
                <c:pt idx="18">
                  <c:v>181.90767396690319</c:v>
                </c:pt>
                <c:pt idx="19">
                  <c:v>187.911553553403</c:v>
                </c:pt>
                <c:pt idx="20">
                  <c:v>193.38003253472721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7E-2248-B733-DA2FE26F31E9}"/>
            </c:ext>
          </c:extLst>
        </c:ser>
        <c:ser>
          <c:idx val="3"/>
          <c:order val="3"/>
          <c:tx>
            <c:strRef>
              <c:f>ws_Current_Portfolio!$I$2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112.7577902260052</c:v>
                </c:pt>
                <c:pt idx="2">
                  <c:v>120.0687988303105</c:v>
                </c:pt>
                <c:pt idx="3">
                  <c:v>126.4571433231085</c:v>
                </c:pt>
                <c:pt idx="4">
                  <c:v>134.9815228122057</c:v>
                </c:pt>
                <c:pt idx="5">
                  <c:v>143.81494842674709</c:v>
                </c:pt>
                <c:pt idx="6">
                  <c:v>152.12768802624149</c:v>
                </c:pt>
                <c:pt idx="7">
                  <c:v>161.49801238406221</c:v>
                </c:pt>
                <c:pt idx="8">
                  <c:v>171.48035918072711</c:v>
                </c:pt>
                <c:pt idx="9">
                  <c:v>181.19234999553399</c:v>
                </c:pt>
                <c:pt idx="10">
                  <c:v>191.00776799537371</c:v>
                </c:pt>
                <c:pt idx="11">
                  <c:v>201.21541603913079</c:v>
                </c:pt>
                <c:pt idx="12">
                  <c:v>212.8758606443985</c:v>
                </c:pt>
                <c:pt idx="13">
                  <c:v>223.60113739748229</c:v>
                </c:pt>
                <c:pt idx="14">
                  <c:v>235.23014222444101</c:v>
                </c:pt>
                <c:pt idx="15">
                  <c:v>247.3015784953663</c:v>
                </c:pt>
                <c:pt idx="16">
                  <c:v>259.80425289121058</c:v>
                </c:pt>
                <c:pt idx="17">
                  <c:v>272.99269968346641</c:v>
                </c:pt>
                <c:pt idx="18">
                  <c:v>287.57515692195602</c:v>
                </c:pt>
                <c:pt idx="19">
                  <c:v>299.87145958742929</c:v>
                </c:pt>
                <c:pt idx="20">
                  <c:v>313.2132588407361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7E-2248-B733-DA2FE26F3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64-334C-9849-527DB58DDB7C}"/>
            </c:ext>
          </c:extLst>
        </c:ser>
        <c:ser>
          <c:idx val="1"/>
          <c:order val="1"/>
          <c:tx>
            <c:strRef>
              <c:f>ws_Current_Portfolio!$O$2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64-334C-9849-527DB58DDB7C}"/>
            </c:ext>
          </c:extLst>
        </c:ser>
        <c:ser>
          <c:idx val="2"/>
          <c:order val="2"/>
          <c:tx>
            <c:strRef>
              <c:f>ws_Current_Portfolio!$P$2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64-334C-9849-527DB58DDB7C}"/>
            </c:ext>
          </c:extLst>
        </c:ser>
        <c:ser>
          <c:idx val="3"/>
          <c:order val="3"/>
          <c:tx>
            <c:strRef>
              <c:f>ws_Current_Portfolio!$Q$2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64-334C-9849-527DB58DD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ws_Drawdown_Constrained!$J$2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2B-814F-A059-8E94D1063AD9}"/>
            </c:ext>
          </c:extLst>
        </c:ser>
        <c:ser>
          <c:idx val="1"/>
          <c:order val="1"/>
          <c:tx>
            <c:strRef>
              <c:f>ws_Drawdown_Constrained!$K$2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2B-814F-A059-8E94D1063AD9}"/>
            </c:ext>
          </c:extLst>
        </c:ser>
        <c:ser>
          <c:idx val="2"/>
          <c:order val="2"/>
          <c:tx>
            <c:strRef>
              <c:f>ws_Drawdown_Constrained!$L$2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2B-814F-A059-8E94D1063AD9}"/>
            </c:ext>
          </c:extLst>
        </c:ser>
        <c:ser>
          <c:idx val="3"/>
          <c:order val="3"/>
          <c:tx>
            <c:strRef>
              <c:f>ws_Drawdown_Constrained!$M$2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2B-814F-A059-8E94D1063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ws_Drawdown_Constrained!$B$2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ws_Drawdown_Constrained!$B$3:$B$23</c:f>
              <c:numCache>
                <c:formatCode>General</c:formatCode>
                <c:ptCount val="21"/>
                <c:pt idx="0">
                  <c:v>100</c:v>
                </c:pt>
                <c:pt idx="1">
                  <c:v>88.395825866687616</c:v>
                </c:pt>
                <c:pt idx="2">
                  <c:v>90.612222942703696</c:v>
                </c:pt>
                <c:pt idx="3">
                  <c:v>92.828179511684311</c:v>
                </c:pt>
                <c:pt idx="4">
                  <c:v>93.657170812766068</c:v>
                </c:pt>
                <c:pt idx="5">
                  <c:v>96.502666267248671</c:v>
                </c:pt>
                <c:pt idx="6">
                  <c:v>99.065982854022408</c:v>
                </c:pt>
                <c:pt idx="7">
                  <c:v>98.55697070877747</c:v>
                </c:pt>
                <c:pt idx="8">
                  <c:v>100.6922474893705</c:v>
                </c:pt>
                <c:pt idx="9">
                  <c:v>101.2909616592777</c:v>
                </c:pt>
                <c:pt idx="10">
                  <c:v>103.3608721008021</c:v>
                </c:pt>
                <c:pt idx="11">
                  <c:v>105.85523552577369</c:v>
                </c:pt>
                <c:pt idx="12">
                  <c:v>109.4399230810687</c:v>
                </c:pt>
                <c:pt idx="13">
                  <c:v>111.8431271478715</c:v>
                </c:pt>
                <c:pt idx="14">
                  <c:v>114.64645581759009</c:v>
                </c:pt>
                <c:pt idx="15">
                  <c:v>117.72898840789119</c:v>
                </c:pt>
                <c:pt idx="16">
                  <c:v>120.0436767790813</c:v>
                </c:pt>
                <c:pt idx="17">
                  <c:v>125.6004478222529</c:v>
                </c:pt>
                <c:pt idx="18">
                  <c:v>130.83417242913779</c:v>
                </c:pt>
                <c:pt idx="19">
                  <c:v>135.00670699582079</c:v>
                </c:pt>
                <c:pt idx="20">
                  <c:v>139.68948804228219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0-F941-A635-88D909FAF377}"/>
            </c:ext>
          </c:extLst>
        </c:ser>
        <c:ser>
          <c:idx val="1"/>
          <c:order val="1"/>
          <c:tx>
            <c:strRef>
              <c:f>ws_Drawdown_Constrained!$C$2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ws_Drawdown_Constrained!$C$3:$C$23</c:f>
              <c:numCache>
                <c:formatCode>General</c:formatCode>
                <c:ptCount val="21"/>
                <c:pt idx="0">
                  <c:v>100</c:v>
                </c:pt>
                <c:pt idx="1">
                  <c:v>98.183920179148217</c:v>
                </c:pt>
                <c:pt idx="2">
                  <c:v>101.6419372523609</c:v>
                </c:pt>
                <c:pt idx="3">
                  <c:v>107.00148787432521</c:v>
                </c:pt>
                <c:pt idx="4">
                  <c:v>111.4440042293125</c:v>
                </c:pt>
                <c:pt idx="5">
                  <c:v>117.2818603934694</c:v>
                </c:pt>
                <c:pt idx="6">
                  <c:v>123.470098155475</c:v>
                </c:pt>
                <c:pt idx="7">
                  <c:v>128.30662524691411</c:v>
                </c:pt>
                <c:pt idx="8">
                  <c:v>133.61079413170501</c:v>
                </c:pt>
                <c:pt idx="9">
                  <c:v>138.54935419292659</c:v>
                </c:pt>
                <c:pt idx="10">
                  <c:v>144.44916571909761</c:v>
                </c:pt>
                <c:pt idx="11">
                  <c:v>150.59382300603451</c:v>
                </c:pt>
                <c:pt idx="12">
                  <c:v>157.29187577906089</c:v>
                </c:pt>
                <c:pt idx="13">
                  <c:v>163.50969957673931</c:v>
                </c:pt>
                <c:pt idx="14">
                  <c:v>171.25536807257029</c:v>
                </c:pt>
                <c:pt idx="15">
                  <c:v>178.57293815388721</c:v>
                </c:pt>
                <c:pt idx="16">
                  <c:v>186.68614850971491</c:v>
                </c:pt>
                <c:pt idx="17">
                  <c:v>195.51534993285739</c:v>
                </c:pt>
                <c:pt idx="18">
                  <c:v>204.29710725313259</c:v>
                </c:pt>
                <c:pt idx="19">
                  <c:v>213.12406098115389</c:v>
                </c:pt>
                <c:pt idx="20">
                  <c:v>223.0761362291357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90-F941-A635-88D909FAF377}"/>
            </c:ext>
          </c:extLst>
        </c:ser>
        <c:ser>
          <c:idx val="2"/>
          <c:order val="2"/>
          <c:tx>
            <c:strRef>
              <c:f>ws_Drawdown_Constrained!$D$2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108.5654827291106</c:v>
                </c:pt>
                <c:pt idx="2">
                  <c:v>116.849047857608</c:v>
                </c:pt>
                <c:pt idx="3">
                  <c:v>125.2590202544512</c:v>
                </c:pt>
                <c:pt idx="4">
                  <c:v>135.00304876822321</c:v>
                </c:pt>
                <c:pt idx="5">
                  <c:v>145.84162068794859</c:v>
                </c:pt>
                <c:pt idx="6">
                  <c:v>156.981125818957</c:v>
                </c:pt>
                <c:pt idx="7">
                  <c:v>168.45594234543961</c:v>
                </c:pt>
                <c:pt idx="8">
                  <c:v>180.58200563320261</c:v>
                </c:pt>
                <c:pt idx="9">
                  <c:v>192.5524137728415</c:v>
                </c:pt>
                <c:pt idx="10">
                  <c:v>205.5835469833784</c:v>
                </c:pt>
                <c:pt idx="11">
                  <c:v>219.2749910252486</c:v>
                </c:pt>
                <c:pt idx="12">
                  <c:v>232.76674308761901</c:v>
                </c:pt>
                <c:pt idx="13">
                  <c:v>248.17850863618349</c:v>
                </c:pt>
                <c:pt idx="14">
                  <c:v>264.69867170026282</c:v>
                </c:pt>
                <c:pt idx="15">
                  <c:v>281.37234261690332</c:v>
                </c:pt>
                <c:pt idx="16">
                  <c:v>298.81260473088298</c:v>
                </c:pt>
                <c:pt idx="17">
                  <c:v>317.90691789111781</c:v>
                </c:pt>
                <c:pt idx="18">
                  <c:v>339.60280874217159</c:v>
                </c:pt>
                <c:pt idx="19">
                  <c:v>361.77461349839621</c:v>
                </c:pt>
                <c:pt idx="20">
                  <c:v>385.93233443719851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90-F941-A635-88D909FAF377}"/>
            </c:ext>
          </c:extLst>
        </c:ser>
        <c:ser>
          <c:idx val="3"/>
          <c:order val="3"/>
          <c:tx>
            <c:strRef>
              <c:f>ws_Drawdown_Constrained!$E$2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118.70027912192241</c:v>
                </c:pt>
                <c:pt idx="2">
                  <c:v>131.7153257616406</c:v>
                </c:pt>
                <c:pt idx="3">
                  <c:v>144.91901183006371</c:v>
                </c:pt>
                <c:pt idx="4">
                  <c:v>160.86234409344411</c:v>
                </c:pt>
                <c:pt idx="5">
                  <c:v>178.04857106731569</c:v>
                </c:pt>
                <c:pt idx="6">
                  <c:v>195.52019802063981</c:v>
                </c:pt>
                <c:pt idx="7">
                  <c:v>215.41920702263559</c:v>
                </c:pt>
                <c:pt idx="8">
                  <c:v>236.28041083580709</c:v>
                </c:pt>
                <c:pt idx="9">
                  <c:v>258.44390395509771</c:v>
                </c:pt>
                <c:pt idx="10">
                  <c:v>282.27792570269042</c:v>
                </c:pt>
                <c:pt idx="11">
                  <c:v>306.9357482721939</c:v>
                </c:pt>
                <c:pt idx="12">
                  <c:v>335.95393038136763</c:v>
                </c:pt>
                <c:pt idx="13">
                  <c:v>363.71451865261378</c:v>
                </c:pt>
                <c:pt idx="14">
                  <c:v>396.09048286721429</c:v>
                </c:pt>
                <c:pt idx="15">
                  <c:v>431.13709961975297</c:v>
                </c:pt>
                <c:pt idx="16">
                  <c:v>468.03625063402939</c:v>
                </c:pt>
                <c:pt idx="17">
                  <c:v>508.11304292604638</c:v>
                </c:pt>
                <c:pt idx="18">
                  <c:v>550.62944495106012</c:v>
                </c:pt>
                <c:pt idx="19">
                  <c:v>594.67520300912952</c:v>
                </c:pt>
                <c:pt idx="20">
                  <c:v>642.6390445670396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90-F941-A635-88D909FAF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ws_Drawdown_Constrained!$F$2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85.428216426504562</c:v>
                </c:pt>
                <c:pt idx="2">
                  <c:v>85.302592042284843</c:v>
                </c:pt>
                <c:pt idx="3">
                  <c:v>85.507992973020606</c:v>
                </c:pt>
                <c:pt idx="4">
                  <c:v>84.868928251217127</c:v>
                </c:pt>
                <c:pt idx="5">
                  <c:v>85.257343037205274</c:v>
                </c:pt>
                <c:pt idx="6">
                  <c:v>86.226814440079181</c:v>
                </c:pt>
                <c:pt idx="7">
                  <c:v>84.638840287565884</c:v>
                </c:pt>
                <c:pt idx="8">
                  <c:v>84.433849353462804</c:v>
                </c:pt>
                <c:pt idx="9">
                  <c:v>83.829293061340181</c:v>
                </c:pt>
                <c:pt idx="10">
                  <c:v>83.846008636958857</c:v>
                </c:pt>
                <c:pt idx="11">
                  <c:v>84.285129405715907</c:v>
                </c:pt>
                <c:pt idx="12">
                  <c:v>84.993047231799608</c:v>
                </c:pt>
                <c:pt idx="13">
                  <c:v>85.43516490458812</c:v>
                </c:pt>
                <c:pt idx="14">
                  <c:v>86.388424069471952</c:v>
                </c:pt>
                <c:pt idx="15">
                  <c:v>87.225905538620069</c:v>
                </c:pt>
                <c:pt idx="16">
                  <c:v>87.368648561195968</c:v>
                </c:pt>
                <c:pt idx="17">
                  <c:v>89.872115491059063</c:v>
                </c:pt>
                <c:pt idx="18">
                  <c:v>91.445325719261803</c:v>
                </c:pt>
                <c:pt idx="19">
                  <c:v>92.790861048562562</c:v>
                </c:pt>
                <c:pt idx="20">
                  <c:v>94.700000762043288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F-D748-BDCE-6F6C7EBBF0BF}"/>
            </c:ext>
          </c:extLst>
        </c:ser>
        <c:ser>
          <c:idx val="1"/>
          <c:order val="1"/>
          <c:tx>
            <c:strRef>
              <c:f>ws_Drawdown_Constrained!$G$2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ws_Drawdown_Constrained!$G$3:$G$23</c:f>
              <c:numCache>
                <c:formatCode>General</c:formatCode>
                <c:ptCount val="21"/>
                <c:pt idx="0">
                  <c:v>100</c:v>
                </c:pt>
                <c:pt idx="1">
                  <c:v>95.75488197789295</c:v>
                </c:pt>
                <c:pt idx="2">
                  <c:v>96.59768575780177</c:v>
                </c:pt>
                <c:pt idx="3">
                  <c:v>99.469043630938742</c:v>
                </c:pt>
                <c:pt idx="4">
                  <c:v>101.2406351563146</c:v>
                </c:pt>
                <c:pt idx="5">
                  <c:v>104.29285870918309</c:v>
                </c:pt>
                <c:pt idx="6">
                  <c:v>107.30252480480119</c:v>
                </c:pt>
                <c:pt idx="7">
                  <c:v>109.5756374336509</c:v>
                </c:pt>
                <c:pt idx="8">
                  <c:v>111.7581493851248</c:v>
                </c:pt>
                <c:pt idx="9">
                  <c:v>113.4724669046678</c:v>
                </c:pt>
                <c:pt idx="10">
                  <c:v>116.4226177573311</c:v>
                </c:pt>
                <c:pt idx="11">
                  <c:v>118.9010833723608</c:v>
                </c:pt>
                <c:pt idx="12">
                  <c:v>121.66529590440651</c:v>
                </c:pt>
                <c:pt idx="13">
                  <c:v>124.2277350388336</c:v>
                </c:pt>
                <c:pt idx="14">
                  <c:v>127.6362453253671</c:v>
                </c:pt>
                <c:pt idx="15">
                  <c:v>130.57763041210799</c:v>
                </c:pt>
                <c:pt idx="16">
                  <c:v>133.9905553729705</c:v>
                </c:pt>
                <c:pt idx="17">
                  <c:v>137.18440939625361</c:v>
                </c:pt>
                <c:pt idx="18">
                  <c:v>140.90878389561979</c:v>
                </c:pt>
                <c:pt idx="19">
                  <c:v>144.04437341803671</c:v>
                </c:pt>
                <c:pt idx="20">
                  <c:v>148.2876273945065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4F-D748-BDCE-6F6C7EBBF0BF}"/>
            </c:ext>
          </c:extLst>
        </c:ser>
        <c:ser>
          <c:idx val="2"/>
          <c:order val="2"/>
          <c:tx>
            <c:strRef>
              <c:f>ws_Drawdown_Constrained!$H$2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106.20391224793249</c:v>
                </c:pt>
                <c:pt idx="2">
                  <c:v>111.6516638155625</c:v>
                </c:pt>
                <c:pt idx="3">
                  <c:v>117.18949728768941</c:v>
                </c:pt>
                <c:pt idx="4">
                  <c:v>123.6146823148963</c:v>
                </c:pt>
                <c:pt idx="5">
                  <c:v>130.5539478096683</c:v>
                </c:pt>
                <c:pt idx="6">
                  <c:v>137.59897556405181</c:v>
                </c:pt>
                <c:pt idx="7">
                  <c:v>144.54174842968001</c:v>
                </c:pt>
                <c:pt idx="8">
                  <c:v>151.9401651337985</c:v>
                </c:pt>
                <c:pt idx="9">
                  <c:v>158.8462020998937</c:v>
                </c:pt>
                <c:pt idx="10">
                  <c:v>166.01615649619299</c:v>
                </c:pt>
                <c:pt idx="11">
                  <c:v>173.5213657383222</c:v>
                </c:pt>
                <c:pt idx="12">
                  <c:v>180.9900308562984</c:v>
                </c:pt>
                <c:pt idx="13">
                  <c:v>189.23265479970809</c:v>
                </c:pt>
                <c:pt idx="14">
                  <c:v>197.6394358415161</c:v>
                </c:pt>
                <c:pt idx="15">
                  <c:v>205.88751004065429</c:v>
                </c:pt>
                <c:pt idx="16">
                  <c:v>215.06915534604801</c:v>
                </c:pt>
                <c:pt idx="17">
                  <c:v>224.27440473099031</c:v>
                </c:pt>
                <c:pt idx="18">
                  <c:v>234.74365079195869</c:v>
                </c:pt>
                <c:pt idx="19">
                  <c:v>245.6351084778284</c:v>
                </c:pt>
                <c:pt idx="20">
                  <c:v>256.99831751884602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4F-D748-BDCE-6F6C7EBBF0BF}"/>
            </c:ext>
          </c:extLst>
        </c:ser>
        <c:ser>
          <c:idx val="3"/>
          <c:order val="3"/>
          <c:tx>
            <c:strRef>
              <c:f>ws_Drawdown_Constrained!$I$2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116.3967976302704</c:v>
                </c:pt>
                <c:pt idx="2">
                  <c:v>126.32695611170929</c:v>
                </c:pt>
                <c:pt idx="3">
                  <c:v>136.1107021790877</c:v>
                </c:pt>
                <c:pt idx="4">
                  <c:v>148.09836229204629</c:v>
                </c:pt>
                <c:pt idx="5">
                  <c:v>160.35788662183799</c:v>
                </c:pt>
                <c:pt idx="6">
                  <c:v>172.59745994001861</c:v>
                </c:pt>
                <c:pt idx="7">
                  <c:v>186.00819178424561</c:v>
                </c:pt>
                <c:pt idx="8">
                  <c:v>200.0721361710755</c:v>
                </c:pt>
                <c:pt idx="9">
                  <c:v>215.32463265149761</c:v>
                </c:pt>
                <c:pt idx="10">
                  <c:v>230.04786569108589</c:v>
                </c:pt>
                <c:pt idx="11">
                  <c:v>244.98122161684969</c:v>
                </c:pt>
                <c:pt idx="12">
                  <c:v>262.49414689484581</c:v>
                </c:pt>
                <c:pt idx="13">
                  <c:v>278.48423724481393</c:v>
                </c:pt>
                <c:pt idx="14">
                  <c:v>297.33566602053031</c:v>
                </c:pt>
                <c:pt idx="15">
                  <c:v>317.37277114693438</c:v>
                </c:pt>
                <c:pt idx="16">
                  <c:v>336.59136658593002</c:v>
                </c:pt>
                <c:pt idx="17">
                  <c:v>358.21452301170382</c:v>
                </c:pt>
                <c:pt idx="18">
                  <c:v>380.2363357688958</c:v>
                </c:pt>
                <c:pt idx="19">
                  <c:v>401.55383834512247</c:v>
                </c:pt>
                <c:pt idx="20">
                  <c:v>426.53877775542639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4F-D748-BDCE-6F6C7EBBF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ws_Drawdown_Constrained!$N$2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AF-FD44-8C08-F12D971B41B1}"/>
            </c:ext>
          </c:extLst>
        </c:ser>
        <c:ser>
          <c:idx val="1"/>
          <c:order val="1"/>
          <c:tx>
            <c:strRef>
              <c:f>ws_Drawdown_Constrained!$O$2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AF-FD44-8C08-F12D971B41B1}"/>
            </c:ext>
          </c:extLst>
        </c:ser>
        <c:ser>
          <c:idx val="2"/>
          <c:order val="2"/>
          <c:tx>
            <c:strRef>
              <c:f>ws_Drawdown_Constrained!$P$2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AF-FD44-8C08-F12D971B41B1}"/>
            </c:ext>
          </c:extLst>
        </c:ser>
        <c:ser>
          <c:idx val="3"/>
          <c:order val="3"/>
          <c:tx>
            <c:strRef>
              <c:f>ws_Drawdown_Constrained!$Q$2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ws_Drawdown_Constrained!$A$3:$A$23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ws_Drawdown_Constrained!$Q$3:$Q$23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AF-FD44-8C08-F12D971B4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'ws_Drawdown_Constrained_(No_Pri'!$J$2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4D-3B41-B657-7090839A92B0}"/>
            </c:ext>
          </c:extLst>
        </c:ser>
        <c:ser>
          <c:idx val="1"/>
          <c:order val="1"/>
          <c:tx>
            <c:strRef>
              <c:f>'ws_Drawdown_Constrained_(No_Pri'!$K$2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4D-3B41-B657-7090839A92B0}"/>
            </c:ext>
          </c:extLst>
        </c:ser>
        <c:ser>
          <c:idx val="2"/>
          <c:order val="2"/>
          <c:tx>
            <c:strRef>
              <c:f>'ws_Drawdown_Constrained_(No_Pri'!$L$2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4D-3B41-B657-7090839A92B0}"/>
            </c:ext>
          </c:extLst>
        </c:ser>
        <c:ser>
          <c:idx val="3"/>
          <c:order val="3"/>
          <c:tx>
            <c:strRef>
              <c:f>'ws_Drawdown_Constrained_(No_Pri'!$M$2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4D-3B41-B657-7090839A9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'ws_Drawdown_Constrained_(No_Pri'!$B$2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87.49512432753464</c:v>
                </c:pt>
                <c:pt idx="2">
                  <c:v>89.119002541369383</c:v>
                </c:pt>
                <c:pt idx="3">
                  <c:v>90.405393906622237</c:v>
                </c:pt>
                <c:pt idx="4">
                  <c:v>90.870771270808632</c:v>
                </c:pt>
                <c:pt idx="5">
                  <c:v>92.540092066853077</c:v>
                </c:pt>
                <c:pt idx="6">
                  <c:v>94.434691854175981</c:v>
                </c:pt>
                <c:pt idx="7">
                  <c:v>93.943054210129105</c:v>
                </c:pt>
                <c:pt idx="8">
                  <c:v>95.473582047998093</c:v>
                </c:pt>
                <c:pt idx="9">
                  <c:v>95.670436531047713</c:v>
                </c:pt>
                <c:pt idx="10">
                  <c:v>97.452788057914816</c:v>
                </c:pt>
                <c:pt idx="11">
                  <c:v>99.107705283533335</c:v>
                </c:pt>
                <c:pt idx="12">
                  <c:v>101.65882891662849</c:v>
                </c:pt>
                <c:pt idx="13">
                  <c:v>103.1032294541358</c:v>
                </c:pt>
                <c:pt idx="14">
                  <c:v>105.3190383760337</c:v>
                </c:pt>
                <c:pt idx="15">
                  <c:v>107.08223361510331</c:v>
                </c:pt>
                <c:pt idx="16">
                  <c:v>110.0811521275668</c:v>
                </c:pt>
                <c:pt idx="17">
                  <c:v>114.00963781090501</c:v>
                </c:pt>
                <c:pt idx="18">
                  <c:v>117.3568433416513</c:v>
                </c:pt>
                <c:pt idx="19">
                  <c:v>121.55744094922591</c:v>
                </c:pt>
                <c:pt idx="20">
                  <c:v>124.58673623565269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3B-4849-B51C-EE94ADECB588}"/>
            </c:ext>
          </c:extLst>
        </c:ser>
        <c:ser>
          <c:idx val="1"/>
          <c:order val="1"/>
          <c:tx>
            <c:strRef>
              <c:f>'ws_Drawdown_Constrained_(No_Pri'!$C$2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97.135930716830671</c:v>
                </c:pt>
                <c:pt idx="2">
                  <c:v>99.818688166915479</c:v>
                </c:pt>
                <c:pt idx="3">
                  <c:v>104.17077770053319</c:v>
                </c:pt>
                <c:pt idx="4">
                  <c:v>108.1213044719981</c:v>
                </c:pt>
                <c:pt idx="5">
                  <c:v>112.8049096876624</c:v>
                </c:pt>
                <c:pt idx="6">
                  <c:v>118.1241728905898</c:v>
                </c:pt>
                <c:pt idx="7">
                  <c:v>121.9956166674274</c:v>
                </c:pt>
                <c:pt idx="8">
                  <c:v>126.7215172398876</c:v>
                </c:pt>
                <c:pt idx="9">
                  <c:v>130.63024089099099</c:v>
                </c:pt>
                <c:pt idx="10">
                  <c:v>136.1109742921663</c:v>
                </c:pt>
                <c:pt idx="11">
                  <c:v>140.55888637987701</c:v>
                </c:pt>
                <c:pt idx="12">
                  <c:v>145.9178655748141</c:v>
                </c:pt>
                <c:pt idx="13">
                  <c:v>151.61832858781261</c:v>
                </c:pt>
                <c:pt idx="14">
                  <c:v>157.81165311451539</c:v>
                </c:pt>
                <c:pt idx="15">
                  <c:v>164.14996998883601</c:v>
                </c:pt>
                <c:pt idx="16">
                  <c:v>170.84825834635151</c:v>
                </c:pt>
                <c:pt idx="17">
                  <c:v>178.3432072852107</c:v>
                </c:pt>
                <c:pt idx="18">
                  <c:v>185.36783347029291</c:v>
                </c:pt>
                <c:pt idx="19">
                  <c:v>191.83072799387719</c:v>
                </c:pt>
                <c:pt idx="20">
                  <c:v>201.5308481322038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3B-4849-B51C-EE94ADECB588}"/>
            </c:ext>
          </c:extLst>
        </c:ser>
        <c:ser>
          <c:idx val="2"/>
          <c:order val="2"/>
          <c:tx>
            <c:strRef>
              <c:f>'ws_Drawdown_Constrained_(No_Pri'!$D$2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107.9409090271501</c:v>
                </c:pt>
                <c:pt idx="2">
                  <c:v>115.0303968416479</c:v>
                </c:pt>
                <c:pt idx="3">
                  <c:v>122.37563956568221</c:v>
                </c:pt>
                <c:pt idx="4">
                  <c:v>131.191673311908</c:v>
                </c:pt>
                <c:pt idx="5">
                  <c:v>140.8931397571464</c:v>
                </c:pt>
                <c:pt idx="6">
                  <c:v>150.76865486110549</c:v>
                </c:pt>
                <c:pt idx="7">
                  <c:v>161.26590111218641</c:v>
                </c:pt>
                <c:pt idx="8">
                  <c:v>171.9260152324012</c:v>
                </c:pt>
                <c:pt idx="9">
                  <c:v>183.11897882724941</c:v>
                </c:pt>
                <c:pt idx="10">
                  <c:v>194.73333091586409</c:v>
                </c:pt>
                <c:pt idx="11">
                  <c:v>206.60936131561911</c:v>
                </c:pt>
                <c:pt idx="12">
                  <c:v>218.8797943943093</c:v>
                </c:pt>
                <c:pt idx="13">
                  <c:v>232.3281184903756</c:v>
                </c:pt>
                <c:pt idx="14">
                  <c:v>247.06350015383569</c:v>
                </c:pt>
                <c:pt idx="15">
                  <c:v>260.81404184292489</c:v>
                </c:pt>
                <c:pt idx="16">
                  <c:v>276.33763606271401</c:v>
                </c:pt>
                <c:pt idx="17">
                  <c:v>292.87700323576968</c:v>
                </c:pt>
                <c:pt idx="18">
                  <c:v>311.38866165864277</c:v>
                </c:pt>
                <c:pt idx="19">
                  <c:v>330.39412101303429</c:v>
                </c:pt>
                <c:pt idx="20">
                  <c:v>350.35376172590691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3B-4849-B51C-EE94ADECB588}"/>
            </c:ext>
          </c:extLst>
        </c:ser>
        <c:ser>
          <c:idx val="3"/>
          <c:order val="3"/>
          <c:tx>
            <c:strRef>
              <c:f>'ws_Drawdown_Constrained_(No_Pri'!$E$2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117.7744080426036</c:v>
                </c:pt>
                <c:pt idx="2">
                  <c:v>130.29800394407289</c:v>
                </c:pt>
                <c:pt idx="3">
                  <c:v>142.60466944320669</c:v>
                </c:pt>
                <c:pt idx="4">
                  <c:v>157.2978464678657</c:v>
                </c:pt>
                <c:pt idx="5">
                  <c:v>173.15358685856339</c:v>
                </c:pt>
                <c:pt idx="6">
                  <c:v>189.15210273331971</c:v>
                </c:pt>
                <c:pt idx="7">
                  <c:v>207.1846576734757</c:v>
                </c:pt>
                <c:pt idx="8">
                  <c:v>226.22970845543179</c:v>
                </c:pt>
                <c:pt idx="9">
                  <c:v>246.81122294693549</c:v>
                </c:pt>
                <c:pt idx="10">
                  <c:v>267.6326789127869</c:v>
                </c:pt>
                <c:pt idx="11">
                  <c:v>289.52461858137889</c:v>
                </c:pt>
                <c:pt idx="12">
                  <c:v>315.74406999340732</c:v>
                </c:pt>
                <c:pt idx="13">
                  <c:v>342.39354828426951</c:v>
                </c:pt>
                <c:pt idx="14">
                  <c:v>370.41567466425761</c:v>
                </c:pt>
                <c:pt idx="15">
                  <c:v>401.70561967602328</c:v>
                </c:pt>
                <c:pt idx="16">
                  <c:v>433.9640832150223</c:v>
                </c:pt>
                <c:pt idx="17">
                  <c:v>470.37488533866048</c:v>
                </c:pt>
                <c:pt idx="18">
                  <c:v>507.59721848081989</c:v>
                </c:pt>
                <c:pt idx="19">
                  <c:v>547.04212268042738</c:v>
                </c:pt>
                <c:pt idx="20">
                  <c:v>585.77706573002342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3B-4849-B51C-EE94ADECB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'ws_Drawdown_Constrained_(No_Pri'!$F$2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84.56819316437192</c:v>
                </c:pt>
                <c:pt idx="2">
                  <c:v>83.999540215332175</c:v>
                </c:pt>
                <c:pt idx="3">
                  <c:v>83.325360853666041</c:v>
                </c:pt>
                <c:pt idx="4">
                  <c:v>82.073801522224599</c:v>
                </c:pt>
                <c:pt idx="5">
                  <c:v>81.978468868713719</c:v>
                </c:pt>
                <c:pt idx="6">
                  <c:v>82.310284115470324</c:v>
                </c:pt>
                <c:pt idx="7">
                  <c:v>80.304840699392599</c:v>
                </c:pt>
                <c:pt idx="8">
                  <c:v>80.432947996258576</c:v>
                </c:pt>
                <c:pt idx="9">
                  <c:v>79.024108453400359</c:v>
                </c:pt>
                <c:pt idx="10">
                  <c:v>78.915135067207146</c:v>
                </c:pt>
                <c:pt idx="11">
                  <c:v>79.00142284432259</c:v>
                </c:pt>
                <c:pt idx="12">
                  <c:v>79.065618887056488</c:v>
                </c:pt>
                <c:pt idx="13">
                  <c:v>78.840437172654475</c:v>
                </c:pt>
                <c:pt idx="14">
                  <c:v>79.309395085858128</c:v>
                </c:pt>
                <c:pt idx="15">
                  <c:v>79.475593335997758</c:v>
                </c:pt>
                <c:pt idx="16">
                  <c:v>80.585673370854465</c:v>
                </c:pt>
                <c:pt idx="17">
                  <c:v>81.407031403589755</c:v>
                </c:pt>
                <c:pt idx="18">
                  <c:v>81.777089212099966</c:v>
                </c:pt>
                <c:pt idx="19">
                  <c:v>82.979224171822153</c:v>
                </c:pt>
                <c:pt idx="20">
                  <c:v>84.223565675507629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25-7A43-A5FC-C0BAFB6A2729}"/>
            </c:ext>
          </c:extLst>
        </c:ser>
        <c:ser>
          <c:idx val="1"/>
          <c:order val="1"/>
          <c:tx>
            <c:strRef>
              <c:f>'ws_Drawdown_Constrained_(No_Pri'!$G$2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94.677545049015592</c:v>
                </c:pt>
                <c:pt idx="2">
                  <c:v>94.940388018735973</c:v>
                </c:pt>
                <c:pt idx="3">
                  <c:v>96.830485588572714</c:v>
                </c:pt>
                <c:pt idx="4">
                  <c:v>98.202438998950271</c:v>
                </c:pt>
                <c:pt idx="5">
                  <c:v>100.46627596566989</c:v>
                </c:pt>
                <c:pt idx="6">
                  <c:v>102.8652239595563</c:v>
                </c:pt>
                <c:pt idx="7">
                  <c:v>104.2908582989261</c:v>
                </c:pt>
                <c:pt idx="8">
                  <c:v>106.1688375244365</c:v>
                </c:pt>
                <c:pt idx="9">
                  <c:v>107.4016753544775</c:v>
                </c:pt>
                <c:pt idx="10">
                  <c:v>109.5690804813466</c:v>
                </c:pt>
                <c:pt idx="11">
                  <c:v>111.2825324194732</c:v>
                </c:pt>
                <c:pt idx="12">
                  <c:v>113.1018535510449</c:v>
                </c:pt>
                <c:pt idx="13">
                  <c:v>115.41973957783991</c:v>
                </c:pt>
                <c:pt idx="14">
                  <c:v>117.5705118253141</c:v>
                </c:pt>
                <c:pt idx="15">
                  <c:v>120.3841419867706</c:v>
                </c:pt>
                <c:pt idx="16">
                  <c:v>122.8479397411726</c:v>
                </c:pt>
                <c:pt idx="17">
                  <c:v>125.305287585011</c:v>
                </c:pt>
                <c:pt idx="18">
                  <c:v>127.9490129252805</c:v>
                </c:pt>
                <c:pt idx="19">
                  <c:v>130.2633501676556</c:v>
                </c:pt>
                <c:pt idx="20">
                  <c:v>133.60651127539259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25-7A43-A5FC-C0BAFB6A2729}"/>
            </c:ext>
          </c:extLst>
        </c:ser>
        <c:ser>
          <c:idx val="2"/>
          <c:order val="2"/>
          <c:tx>
            <c:strRef>
              <c:f>'ws_Drawdown_Constrained_(No_Pri'!$H$2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105.6237760752021</c:v>
                </c:pt>
                <c:pt idx="2">
                  <c:v>109.9621990755538</c:v>
                </c:pt>
                <c:pt idx="3">
                  <c:v>114.4286246528533</c:v>
                </c:pt>
                <c:pt idx="4">
                  <c:v>120.0073838707781</c:v>
                </c:pt>
                <c:pt idx="5">
                  <c:v>126.1508488541859</c:v>
                </c:pt>
                <c:pt idx="6">
                  <c:v>132.27829923456619</c:v>
                </c:pt>
                <c:pt idx="7">
                  <c:v>138.52450660241169</c:v>
                </c:pt>
                <c:pt idx="8">
                  <c:v>144.73545569896331</c:v>
                </c:pt>
                <c:pt idx="9">
                  <c:v>150.93399340178871</c:v>
                </c:pt>
                <c:pt idx="10">
                  <c:v>157.2816223819444</c:v>
                </c:pt>
                <c:pt idx="11">
                  <c:v>163.53238761185651</c:v>
                </c:pt>
                <c:pt idx="12">
                  <c:v>170.15956180091541</c:v>
                </c:pt>
                <c:pt idx="13">
                  <c:v>177.1831080386892</c:v>
                </c:pt>
                <c:pt idx="14">
                  <c:v>184.09870700860029</c:v>
                </c:pt>
                <c:pt idx="15">
                  <c:v>191.24756393740259</c:v>
                </c:pt>
                <c:pt idx="16">
                  <c:v>199.0464115107263</c:v>
                </c:pt>
                <c:pt idx="17">
                  <c:v>206.5407059059232</c:v>
                </c:pt>
                <c:pt idx="18">
                  <c:v>215.2909065808719</c:v>
                </c:pt>
                <c:pt idx="19">
                  <c:v>224.26941653671719</c:v>
                </c:pt>
                <c:pt idx="20">
                  <c:v>232.64064961793571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25-7A43-A5FC-C0BAFB6A2729}"/>
            </c:ext>
          </c:extLst>
        </c:ser>
        <c:ser>
          <c:idx val="3"/>
          <c:order val="3"/>
          <c:tx>
            <c:strRef>
              <c:f>'ws_Drawdown_Constrained_(No_Pri'!$I$2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115.399014375947</c:v>
                </c:pt>
                <c:pt idx="2">
                  <c:v>124.92839857459769</c:v>
                </c:pt>
                <c:pt idx="3">
                  <c:v>133.73844839056659</c:v>
                </c:pt>
                <c:pt idx="4">
                  <c:v>144.67536506385821</c:v>
                </c:pt>
                <c:pt idx="5">
                  <c:v>155.88431853858771</c:v>
                </c:pt>
                <c:pt idx="6">
                  <c:v>166.64490158411849</c:v>
                </c:pt>
                <c:pt idx="7">
                  <c:v>178.889534562926</c:v>
                </c:pt>
                <c:pt idx="8">
                  <c:v>191.57166959624499</c:v>
                </c:pt>
                <c:pt idx="9">
                  <c:v>204.97993047700481</c:v>
                </c:pt>
                <c:pt idx="10">
                  <c:v>217.60676690969839</c:v>
                </c:pt>
                <c:pt idx="11">
                  <c:v>231.05071751833361</c:v>
                </c:pt>
                <c:pt idx="12">
                  <c:v>246.34852696222021</c:v>
                </c:pt>
                <c:pt idx="13">
                  <c:v>261.18089451276938</c:v>
                </c:pt>
                <c:pt idx="14">
                  <c:v>278.54511731348771</c:v>
                </c:pt>
                <c:pt idx="15">
                  <c:v>295.00672045566142</c:v>
                </c:pt>
                <c:pt idx="16">
                  <c:v>311.89294158996643</c:v>
                </c:pt>
                <c:pt idx="17">
                  <c:v>330.98683940324543</c:v>
                </c:pt>
                <c:pt idx="18">
                  <c:v>350.34577390571349</c:v>
                </c:pt>
                <c:pt idx="19">
                  <c:v>368.66880189373762</c:v>
                </c:pt>
                <c:pt idx="20">
                  <c:v>389.78174604568437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25-7A43-A5FC-C0BAFB6A2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'ws_Drawdown_Constrained_(No_Pri'!$N$2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6-9847-A679-6C3BC4DDD106}"/>
            </c:ext>
          </c:extLst>
        </c:ser>
        <c:ser>
          <c:idx val="1"/>
          <c:order val="1"/>
          <c:tx>
            <c:strRef>
              <c:f>'ws_Drawdown_Constrained_(No_Pri'!$O$2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A6-9847-A679-6C3BC4DDD106}"/>
            </c:ext>
          </c:extLst>
        </c:ser>
        <c:ser>
          <c:idx val="2"/>
          <c:order val="2"/>
          <c:tx>
            <c:strRef>
              <c:f>'ws_Drawdown_Constrained_(No_Pri'!$P$2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A6-9847-A679-6C3BC4DDD106}"/>
            </c:ext>
          </c:extLst>
        </c:ser>
        <c:ser>
          <c:idx val="3"/>
          <c:order val="3"/>
          <c:tx>
            <c:strRef>
              <c:f>'ws_Drawdown_Constrained_(No_Pri'!$Q$2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'ws_Drawdown_Constrained_(No_Pri'!$A$3:$A$23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'ws_Drawdown_Constrained_(No_Pri'!$Q$3:$Q$23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A6-9847-A679-6C3BC4DDD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workbookViewId="0">
      <selection sqref="A1:D43"/>
    </sheetView>
  </sheetViews>
  <sheetFormatPr baseColWidth="10" defaultColWidth="8.83203125" defaultRowHeight="15" x14ac:dyDescent="0.2"/>
  <cols>
    <col min="1" max="1" width="32.1640625" customWidth="1"/>
    <col min="2" max="4" width="18" customWidth="1"/>
  </cols>
  <sheetData>
    <row r="1" spans="1:4" ht="17" x14ac:dyDescent="0.2">
      <c r="A1" s="42"/>
      <c r="B1" s="43"/>
      <c r="C1" s="44" t="s">
        <v>1</v>
      </c>
      <c r="D1" s="45"/>
    </row>
    <row r="2" spans="1:4" ht="37" customHeight="1" x14ac:dyDescent="0.2">
      <c r="A2" s="46"/>
      <c r="B2" s="41" t="s">
        <v>0</v>
      </c>
      <c r="C2" s="41" t="s">
        <v>101</v>
      </c>
      <c r="D2" s="47" t="s">
        <v>102</v>
      </c>
    </row>
    <row r="3" spans="1:4" ht="17" customHeight="1" x14ac:dyDescent="0.2">
      <c r="A3" s="48" t="s">
        <v>2</v>
      </c>
      <c r="B3" s="1">
        <v>0.38000000000000012</v>
      </c>
      <c r="C3" s="1">
        <v>0.21544722987144821</v>
      </c>
      <c r="D3" s="49">
        <v>0.22584630864247679</v>
      </c>
    </row>
    <row r="4" spans="1:4" ht="17" customHeight="1" x14ac:dyDescent="0.2">
      <c r="A4" s="50" t="s">
        <v>3</v>
      </c>
      <c r="B4" s="2">
        <v>20</v>
      </c>
      <c r="C4" s="2">
        <v>13.41238211680915</v>
      </c>
      <c r="D4" s="51">
        <v>13.8224192257924</v>
      </c>
    </row>
    <row r="5" spans="1:4" ht="17" customHeight="1" x14ac:dyDescent="0.2">
      <c r="A5" s="50" t="s">
        <v>4</v>
      </c>
      <c r="B5" s="2">
        <v>18</v>
      </c>
      <c r="C5" s="2" t="s">
        <v>100</v>
      </c>
      <c r="D5" s="51" t="s">
        <v>100</v>
      </c>
    </row>
    <row r="6" spans="1:4" ht="17" customHeight="1" x14ac:dyDescent="0.2">
      <c r="A6" s="50" t="s">
        <v>5</v>
      </c>
      <c r="B6" s="2" t="s">
        <v>100</v>
      </c>
      <c r="C6" s="2">
        <v>0.81823484436743199</v>
      </c>
      <c r="D6" s="51">
        <v>0.86812153410403858</v>
      </c>
    </row>
    <row r="7" spans="1:4" ht="17" customHeight="1" x14ac:dyDescent="0.2">
      <c r="A7" s="50" t="s">
        <v>6</v>
      </c>
      <c r="B7" s="2" t="s">
        <v>100</v>
      </c>
      <c r="C7" s="2">
        <v>7.3141059479616928</v>
      </c>
      <c r="D7" s="51">
        <v>7.8940897054176578</v>
      </c>
    </row>
    <row r="8" spans="1:4" ht="17" customHeight="1" x14ac:dyDescent="0.2">
      <c r="A8" s="48" t="s">
        <v>7</v>
      </c>
      <c r="B8" s="1">
        <v>0</v>
      </c>
      <c r="C8" s="1">
        <v>9.6037387922627906E-2</v>
      </c>
      <c r="D8" s="49">
        <v>0.1089281088426267</v>
      </c>
    </row>
    <row r="9" spans="1:4" ht="17" customHeight="1" x14ac:dyDescent="0.2">
      <c r="A9" s="50" t="s">
        <v>8</v>
      </c>
      <c r="B9" s="2" t="s">
        <v>100</v>
      </c>
      <c r="C9" s="2">
        <v>6.2031558511256009</v>
      </c>
      <c r="D9" s="51">
        <v>7.0950466801402143</v>
      </c>
    </row>
    <row r="10" spans="1:4" ht="17" customHeight="1" x14ac:dyDescent="0.2">
      <c r="A10" s="50" t="s">
        <v>9</v>
      </c>
      <c r="B10" s="2" t="s">
        <v>100</v>
      </c>
      <c r="C10" s="2">
        <v>3.40058294113719</v>
      </c>
      <c r="D10" s="51">
        <v>3.7977642041224509</v>
      </c>
    </row>
    <row r="11" spans="1:4" ht="17" customHeight="1" x14ac:dyDescent="0.2">
      <c r="A11" s="48" t="s">
        <v>10</v>
      </c>
      <c r="B11" s="1">
        <v>0.46000000000000008</v>
      </c>
      <c r="C11" s="1">
        <v>0.38968468492358449</v>
      </c>
      <c r="D11" s="49">
        <v>0.47567921769220561</v>
      </c>
    </row>
    <row r="12" spans="1:4" ht="17" customHeight="1" x14ac:dyDescent="0.2">
      <c r="A12" s="50" t="s">
        <v>11</v>
      </c>
      <c r="B12" s="2">
        <v>10</v>
      </c>
      <c r="C12" s="2" t="s">
        <v>100</v>
      </c>
      <c r="D12" s="51" t="s">
        <v>100</v>
      </c>
    </row>
    <row r="13" spans="1:4" ht="17" customHeight="1" x14ac:dyDescent="0.2">
      <c r="A13" s="52" t="s">
        <v>103</v>
      </c>
      <c r="B13" s="2">
        <f>SUM(B14:B16)</f>
        <v>11.000000000000002</v>
      </c>
      <c r="C13" s="2">
        <f t="shared" ref="C13:D13" si="0">SUM(C14:C16)</f>
        <v>16.527541123229206</v>
      </c>
      <c r="D13" s="51">
        <f t="shared" si="0"/>
        <v>19.791068092614022</v>
      </c>
    </row>
    <row r="14" spans="1:4" ht="17" hidden="1" customHeight="1" x14ac:dyDescent="0.2">
      <c r="A14" s="50" t="s">
        <v>12</v>
      </c>
      <c r="B14" s="2">
        <v>6.0000000000000009</v>
      </c>
      <c r="C14" s="2">
        <v>6.6110164492913288</v>
      </c>
      <c r="D14" s="51">
        <v>7.9164272370446236</v>
      </c>
    </row>
    <row r="15" spans="1:4" ht="17" hidden="1" customHeight="1" x14ac:dyDescent="0.2">
      <c r="A15" s="50" t="s">
        <v>13</v>
      </c>
      <c r="B15" s="2">
        <v>5.0000000000000009</v>
      </c>
      <c r="C15" s="2">
        <v>7.4373935054531062</v>
      </c>
      <c r="D15" s="51">
        <v>8.9059806416772229</v>
      </c>
    </row>
    <row r="16" spans="1:4" ht="17" hidden="1" customHeight="1" x14ac:dyDescent="0.2">
      <c r="A16" s="50" t="s">
        <v>14</v>
      </c>
      <c r="B16" s="2" t="s">
        <v>100</v>
      </c>
      <c r="C16" s="2">
        <v>2.479131168484769</v>
      </c>
      <c r="D16" s="51">
        <v>2.9686602138921749</v>
      </c>
    </row>
    <row r="17" spans="1:4" ht="17" customHeight="1" x14ac:dyDescent="0.2">
      <c r="A17" s="50" t="s">
        <v>15</v>
      </c>
      <c r="B17" s="2">
        <v>7.0000000000000018</v>
      </c>
      <c r="C17" s="2">
        <v>4.0870000113798284</v>
      </c>
      <c r="D17" s="51">
        <v>5.304588811565603</v>
      </c>
    </row>
    <row r="18" spans="1:4" ht="17" customHeight="1" x14ac:dyDescent="0.2">
      <c r="A18" s="50" t="s">
        <v>16</v>
      </c>
      <c r="B18" s="2" t="s">
        <v>100</v>
      </c>
      <c r="C18" s="2">
        <v>6.0758728741688399</v>
      </c>
      <c r="D18" s="51">
        <v>7.3379453084823423</v>
      </c>
    </row>
    <row r="19" spans="1:4" ht="17" customHeight="1" x14ac:dyDescent="0.2">
      <c r="A19" s="50" t="s">
        <v>17</v>
      </c>
      <c r="B19" s="2">
        <v>4.0000000000000009</v>
      </c>
      <c r="C19" s="2">
        <v>0.39850464598631458</v>
      </c>
      <c r="D19" s="51">
        <v>1.2575435775776489</v>
      </c>
    </row>
    <row r="20" spans="1:4" ht="17" customHeight="1" x14ac:dyDescent="0.2">
      <c r="A20" s="50" t="s">
        <v>18</v>
      </c>
      <c r="B20" s="2">
        <v>8.0000000000000018</v>
      </c>
      <c r="C20" s="2">
        <v>4.8698484784916856</v>
      </c>
      <c r="D20" s="51">
        <v>5.8575025131781819</v>
      </c>
    </row>
    <row r="21" spans="1:4" ht="17" customHeight="1" x14ac:dyDescent="0.2">
      <c r="A21" s="50" t="s">
        <v>19</v>
      </c>
      <c r="B21" s="2">
        <v>6.0000000000000009</v>
      </c>
      <c r="C21" s="2">
        <v>3.8042485959422732</v>
      </c>
      <c r="D21" s="51">
        <v>4.4829948349150017</v>
      </c>
    </row>
    <row r="22" spans="1:4" ht="17" customHeight="1" x14ac:dyDescent="0.2">
      <c r="A22" s="52" t="s">
        <v>104</v>
      </c>
      <c r="B22" s="2" t="s">
        <v>100</v>
      </c>
      <c r="C22" s="2">
        <f t="shared" ref="C22:D22" si="1">C23+C24</f>
        <v>3.205452762871142</v>
      </c>
      <c r="D22" s="51">
        <f t="shared" si="1"/>
        <v>3.5362786300407691</v>
      </c>
    </row>
    <row r="23" spans="1:4" ht="17" hidden="1" customHeight="1" x14ac:dyDescent="0.2">
      <c r="A23" s="50" t="s">
        <v>20</v>
      </c>
      <c r="B23" s="2" t="s">
        <v>100</v>
      </c>
      <c r="C23" s="2">
        <v>1.602726381429372</v>
      </c>
      <c r="D23" s="51">
        <v>1.7681393149950879</v>
      </c>
    </row>
    <row r="24" spans="1:4" ht="17" hidden="1" customHeight="1" x14ac:dyDescent="0.2">
      <c r="A24" s="50" t="s">
        <v>21</v>
      </c>
      <c r="B24" s="2" t="s">
        <v>100</v>
      </c>
      <c r="C24" s="2">
        <v>1.60272638144177</v>
      </c>
      <c r="D24" s="51">
        <v>1.768139315045681</v>
      </c>
    </row>
    <row r="25" spans="1:4" ht="17" customHeight="1" x14ac:dyDescent="0.2">
      <c r="A25" s="48" t="s">
        <v>22</v>
      </c>
      <c r="B25" s="1">
        <v>0.16</v>
      </c>
      <c r="C25" s="1">
        <v>0.14787813318318041</v>
      </c>
      <c r="D25" s="49">
        <v>0.18954636477347411</v>
      </c>
    </row>
    <row r="26" spans="1:4" ht="17" customHeight="1" x14ac:dyDescent="0.2">
      <c r="A26" s="50" t="s">
        <v>23</v>
      </c>
      <c r="B26" s="2">
        <v>16</v>
      </c>
      <c r="C26" s="2" t="s">
        <v>100</v>
      </c>
      <c r="D26" s="51" t="s">
        <v>100</v>
      </c>
    </row>
    <row r="27" spans="1:4" ht="17" customHeight="1" x14ac:dyDescent="0.2">
      <c r="A27" s="50" t="s">
        <v>24</v>
      </c>
      <c r="B27" s="2" t="s">
        <v>100</v>
      </c>
      <c r="C27" s="2">
        <v>5.0492378865524481</v>
      </c>
      <c r="D27" s="51">
        <v>7.3107554747686487</v>
      </c>
    </row>
    <row r="28" spans="1:4" ht="17" customHeight="1" x14ac:dyDescent="0.2">
      <c r="A28" s="50" t="s">
        <v>25</v>
      </c>
      <c r="B28" s="2" t="s">
        <v>100</v>
      </c>
      <c r="C28" s="2">
        <v>1.490772676541634</v>
      </c>
      <c r="D28" s="51">
        <v>3.1092429051356829</v>
      </c>
    </row>
    <row r="29" spans="1:4" ht="17" customHeight="1" x14ac:dyDescent="0.2">
      <c r="A29" s="50" t="s">
        <v>26</v>
      </c>
      <c r="B29" s="2" t="s">
        <v>100</v>
      </c>
      <c r="C29" s="2">
        <v>8.2478027549429367</v>
      </c>
      <c r="D29" s="51">
        <v>8.5346380966265425</v>
      </c>
    </row>
    <row r="30" spans="1:4" ht="17" customHeight="1" x14ac:dyDescent="0.2">
      <c r="A30" s="48" t="s">
        <v>27</v>
      </c>
      <c r="B30" s="1">
        <v>0</v>
      </c>
      <c r="C30" s="1">
        <v>6.0471351359206608E-2</v>
      </c>
      <c r="D30" s="49">
        <v>2.6229286460151981E-11</v>
      </c>
    </row>
    <row r="31" spans="1:4" ht="17" customHeight="1" x14ac:dyDescent="0.2">
      <c r="A31" s="50" t="s">
        <v>28</v>
      </c>
      <c r="B31" s="2" t="s">
        <v>100</v>
      </c>
      <c r="C31" s="2">
        <v>2.5695433386373621</v>
      </c>
      <c r="D31" s="51" t="s">
        <v>100</v>
      </c>
    </row>
    <row r="32" spans="1:4" ht="17" customHeight="1" x14ac:dyDescent="0.2">
      <c r="A32" s="50" t="s">
        <v>29</v>
      </c>
      <c r="B32" s="2" t="s">
        <v>100</v>
      </c>
      <c r="C32" s="2">
        <v>1.9894872340684939</v>
      </c>
      <c r="D32" s="51" t="s">
        <v>100</v>
      </c>
    </row>
    <row r="33" spans="1:4" ht="17" customHeight="1" x14ac:dyDescent="0.2">
      <c r="A33" s="50" t="s">
        <v>30</v>
      </c>
      <c r="B33" s="2" t="s">
        <v>100</v>
      </c>
      <c r="C33" s="2">
        <v>1.488104563214804</v>
      </c>
      <c r="D33" s="51" t="s">
        <v>100</v>
      </c>
    </row>
    <row r="34" spans="1:4" ht="17" customHeight="1" x14ac:dyDescent="0.2">
      <c r="A34" s="48" t="s">
        <v>31</v>
      </c>
      <c r="B34" s="1">
        <v>0</v>
      </c>
      <c r="C34" s="1">
        <v>9.0481212739959169E-2</v>
      </c>
      <c r="D34" s="49">
        <v>2.3036264179091469E-11</v>
      </c>
    </row>
    <row r="35" spans="1:4" ht="17" customHeight="1" x14ac:dyDescent="0.2">
      <c r="A35" s="50" t="s">
        <v>32</v>
      </c>
      <c r="B35" s="2" t="s">
        <v>100</v>
      </c>
      <c r="C35" s="2">
        <v>3.936276624083086</v>
      </c>
      <c r="D35" s="51" t="s">
        <v>100</v>
      </c>
    </row>
    <row r="36" spans="1:4" ht="17" customHeight="1" x14ac:dyDescent="0.2">
      <c r="A36" s="50" t="s">
        <v>33</v>
      </c>
      <c r="B36" s="2" t="s">
        <v>100</v>
      </c>
      <c r="C36" s="2">
        <v>3.8338834874308589</v>
      </c>
      <c r="D36" s="51" t="s">
        <v>100</v>
      </c>
    </row>
    <row r="37" spans="1:4" ht="17" customHeight="1" x14ac:dyDescent="0.2">
      <c r="A37" s="50" t="s">
        <v>34</v>
      </c>
      <c r="B37" s="2" t="s">
        <v>100</v>
      </c>
      <c r="C37" s="2">
        <v>1.277961162481972</v>
      </c>
      <c r="D37" s="51" t="s">
        <v>100</v>
      </c>
    </row>
    <row r="38" spans="1:4" ht="23" customHeight="1" x14ac:dyDescent="0.2">
      <c r="A38" s="53" t="s">
        <v>35</v>
      </c>
      <c r="B38" s="3">
        <v>1</v>
      </c>
      <c r="C38" s="3">
        <v>1</v>
      </c>
      <c r="D38" s="54">
        <v>1</v>
      </c>
    </row>
    <row r="39" spans="1:4" ht="3" customHeight="1" x14ac:dyDescent="0.2">
      <c r="A39" s="55"/>
      <c r="B39" s="4">
        <v>0</v>
      </c>
      <c r="C39" s="4">
        <v>0</v>
      </c>
      <c r="D39" s="56">
        <v>0</v>
      </c>
    </row>
    <row r="40" spans="1:4" ht="23" customHeight="1" x14ac:dyDescent="0.2">
      <c r="A40" s="57" t="s">
        <v>36</v>
      </c>
      <c r="B40" s="5">
        <v>5.3990265611727463E-2</v>
      </c>
      <c r="C40" s="5">
        <v>6.6916725964940929E-2</v>
      </c>
      <c r="D40" s="58">
        <v>6.2859594619928488E-2</v>
      </c>
    </row>
    <row r="41" spans="1:4" ht="23" customHeight="1" x14ac:dyDescent="0.2">
      <c r="A41" s="57" t="s">
        <v>37</v>
      </c>
      <c r="B41" s="6">
        <v>0.39333907606745733</v>
      </c>
      <c r="C41" s="6">
        <v>0.52312304590680836</v>
      </c>
      <c r="D41" s="59">
        <v>0.46878347951144189</v>
      </c>
    </row>
    <row r="42" spans="1:4" ht="3" customHeight="1" x14ac:dyDescent="0.2">
      <c r="A42" s="55"/>
      <c r="B42" s="4">
        <v>0</v>
      </c>
      <c r="C42" s="4">
        <v>0</v>
      </c>
      <c r="D42" s="56">
        <v>0</v>
      </c>
    </row>
    <row r="43" spans="1:4" ht="23" customHeight="1" x14ac:dyDescent="0.2">
      <c r="A43" s="60" t="s">
        <v>38</v>
      </c>
      <c r="B43" s="61">
        <v>7.3702989038281208E-2</v>
      </c>
      <c r="C43" s="61">
        <v>8.0127851932579874E-2</v>
      </c>
      <c r="D43" s="62">
        <v>8.0761366973480173E-2</v>
      </c>
    </row>
  </sheetData>
  <mergeCells count="1">
    <mergeCell ref="C1:D1"/>
  </mergeCells>
  <pageMargins left="0.75" right="0.75" top="1" bottom="1" header="0.5" footer="0.5"/>
  <ignoredErrors>
    <ignoredError sqref="C13:D1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" max="1" width="27.5" customWidth="1"/>
    <col min="2" max="7" width="8" customWidth="1"/>
  </cols>
  <sheetData>
    <row r="1" spans="1:7" ht="54" customHeight="1" x14ac:dyDescent="0.2">
      <c r="A1" s="63"/>
      <c r="B1" s="64" t="s">
        <v>0</v>
      </c>
      <c r="C1" s="65"/>
      <c r="D1" s="66" t="s">
        <v>106</v>
      </c>
      <c r="E1" s="65"/>
      <c r="F1" s="66" t="s">
        <v>107</v>
      </c>
      <c r="G1" s="67"/>
    </row>
    <row r="2" spans="1:7" ht="20" customHeight="1" x14ac:dyDescent="0.2">
      <c r="A2" s="68" t="s">
        <v>2</v>
      </c>
      <c r="B2" s="69">
        <v>0.38000000000000012</v>
      </c>
      <c r="C2" s="70"/>
      <c r="D2" s="69">
        <v>0.21544722987144821</v>
      </c>
      <c r="E2" s="70"/>
      <c r="F2" s="69">
        <v>0.22584630864247679</v>
      </c>
      <c r="G2" s="71"/>
    </row>
    <row r="3" spans="1:7" ht="16" customHeight="1" x14ac:dyDescent="0.2">
      <c r="A3" s="68" t="s">
        <v>7</v>
      </c>
      <c r="B3" s="69">
        <v>0</v>
      </c>
      <c r="C3" s="70"/>
      <c r="D3" s="69">
        <v>9.6037387922627906E-2</v>
      </c>
      <c r="E3" s="70"/>
      <c r="F3" s="69">
        <v>0.1089281088426267</v>
      </c>
      <c r="G3" s="71"/>
    </row>
    <row r="4" spans="1:7" ht="16" customHeight="1" x14ac:dyDescent="0.2">
      <c r="A4" s="68" t="s">
        <v>10</v>
      </c>
      <c r="B4" s="69">
        <v>0.46000000000000008</v>
      </c>
      <c r="C4" s="70"/>
      <c r="D4" s="69">
        <v>0.38968468492358449</v>
      </c>
      <c r="E4" s="70"/>
      <c r="F4" s="69">
        <v>0.47567921769220561</v>
      </c>
      <c r="G4" s="71"/>
    </row>
    <row r="5" spans="1:7" ht="16" customHeight="1" x14ac:dyDescent="0.2">
      <c r="A5" s="68" t="s">
        <v>22</v>
      </c>
      <c r="B5" s="69">
        <v>0.16</v>
      </c>
      <c r="C5" s="70"/>
      <c r="D5" s="69">
        <v>0.14787813318318041</v>
      </c>
      <c r="E5" s="70"/>
      <c r="F5" s="69">
        <v>0.18954636477347411</v>
      </c>
      <c r="G5" s="71"/>
    </row>
    <row r="6" spans="1:7" ht="16" customHeight="1" x14ac:dyDescent="0.2">
      <c r="A6" s="68" t="s">
        <v>27</v>
      </c>
      <c r="B6" s="69">
        <v>0</v>
      </c>
      <c r="C6" s="70"/>
      <c r="D6" s="69">
        <v>6.0471351359206608E-2</v>
      </c>
      <c r="E6" s="70"/>
      <c r="F6" s="69">
        <v>2.6229286460151981E-11</v>
      </c>
      <c r="G6" s="71"/>
    </row>
    <row r="7" spans="1:7" ht="16" customHeight="1" x14ac:dyDescent="0.2">
      <c r="A7" s="68" t="s">
        <v>31</v>
      </c>
      <c r="B7" s="69">
        <v>0</v>
      </c>
      <c r="C7" s="70"/>
      <c r="D7" s="69">
        <v>9.0481212739959169E-2</v>
      </c>
      <c r="E7" s="70"/>
      <c r="F7" s="69">
        <v>2.3036264179091469E-11</v>
      </c>
      <c r="G7" s="71"/>
    </row>
    <row r="8" spans="1:7" ht="16" customHeight="1" x14ac:dyDescent="0.2">
      <c r="A8" s="72" t="s">
        <v>36</v>
      </c>
      <c r="B8" s="73">
        <v>5.3990265611727463E-2</v>
      </c>
      <c r="C8" s="37"/>
      <c r="D8" s="73">
        <v>6.6916725964940929E-2</v>
      </c>
      <c r="E8" s="37"/>
      <c r="F8" s="73">
        <v>6.2859594619928488E-2</v>
      </c>
      <c r="G8" s="74"/>
    </row>
    <row r="9" spans="1:7" ht="16" customHeight="1" x14ac:dyDescent="0.2">
      <c r="A9" s="68" t="s">
        <v>37</v>
      </c>
      <c r="B9" s="75">
        <v>0.39333907606745733</v>
      </c>
      <c r="C9" s="70"/>
      <c r="D9" s="75">
        <v>0.52312304590680836</v>
      </c>
      <c r="E9" s="70"/>
      <c r="F9" s="75">
        <v>0.46878347951144189</v>
      </c>
      <c r="G9" s="71"/>
    </row>
    <row r="10" spans="1:7" ht="16" customHeight="1" x14ac:dyDescent="0.2">
      <c r="A10" s="68" t="s">
        <v>38</v>
      </c>
      <c r="B10" s="69">
        <v>7.3702989038281208E-2</v>
      </c>
      <c r="C10" s="70"/>
      <c r="D10" s="69">
        <v>8.0127851932579874E-2</v>
      </c>
      <c r="E10" s="70"/>
      <c r="F10" s="69">
        <v>8.0761366973480173E-2</v>
      </c>
      <c r="G10" s="71"/>
    </row>
    <row r="11" spans="1:7" ht="16" customHeight="1" x14ac:dyDescent="0.2">
      <c r="A11" s="76" t="s">
        <v>39</v>
      </c>
      <c r="B11" s="77"/>
      <c r="C11" s="77"/>
      <c r="D11" s="77"/>
      <c r="E11" s="77"/>
      <c r="F11" s="77"/>
      <c r="G11" s="78"/>
    </row>
    <row r="12" spans="1:7" ht="16" customHeight="1" x14ac:dyDescent="0.2">
      <c r="A12" s="79" t="s">
        <v>105</v>
      </c>
      <c r="B12" s="80" t="s">
        <v>40</v>
      </c>
      <c r="C12" s="81" t="s">
        <v>41</v>
      </c>
      <c r="D12" s="80" t="s">
        <v>40</v>
      </c>
      <c r="E12" s="81" t="s">
        <v>41</v>
      </c>
      <c r="F12" s="80" t="s">
        <v>40</v>
      </c>
      <c r="G12" s="82" t="s">
        <v>41</v>
      </c>
    </row>
    <row r="13" spans="1:7" ht="16" customHeight="1" x14ac:dyDescent="0.2">
      <c r="A13" s="83" t="s">
        <v>42</v>
      </c>
      <c r="B13" s="84">
        <v>-0.14483801254945641</v>
      </c>
      <c r="C13" s="85">
        <v>-0.27328000394130852</v>
      </c>
      <c r="D13" s="84">
        <v>-0.1780783670735486</v>
      </c>
      <c r="E13" s="85">
        <v>-0.30152778700841398</v>
      </c>
      <c r="F13" s="84">
        <v>-0.1919531589412968</v>
      </c>
      <c r="G13" s="86">
        <v>-0.31331863931407528</v>
      </c>
    </row>
    <row r="14" spans="1:7" ht="16" customHeight="1" x14ac:dyDescent="0.2">
      <c r="A14" s="83" t="s">
        <v>43</v>
      </c>
      <c r="B14" s="84">
        <v>0.14089278218308249</v>
      </c>
      <c r="C14" s="85">
        <v>-3.8581176310079401E-2</v>
      </c>
      <c r="D14" s="84">
        <v>9.5073288380806975E-2</v>
      </c>
      <c r="E14" s="85">
        <v>-7.719280092668801E-2</v>
      </c>
      <c r="F14" s="84">
        <v>0.11171971687604711</v>
      </c>
      <c r="G14" s="86">
        <v>-6.316502377491362E-2</v>
      </c>
    </row>
    <row r="15" spans="1:7" ht="16" customHeight="1" x14ac:dyDescent="0.2">
      <c r="A15" s="83" t="s">
        <v>44</v>
      </c>
      <c r="B15" s="84">
        <v>3.3694949225525413E-2</v>
      </c>
      <c r="C15" s="85">
        <v>-9.2473682099793786E-2</v>
      </c>
      <c r="D15" s="84">
        <v>5.6247219079904598E-2</v>
      </c>
      <c r="E15" s="85">
        <v>-7.2674051235223081E-2</v>
      </c>
      <c r="F15" s="84">
        <v>2.3365940521994592E-2</v>
      </c>
      <c r="G15" s="86">
        <v>-0.1015419737106773</v>
      </c>
    </row>
    <row r="16" spans="1:7" ht="16" customHeight="1" x14ac:dyDescent="0.2">
      <c r="A16" s="83" t="s">
        <v>45</v>
      </c>
      <c r="B16" s="84">
        <v>-9.2492094367075506E-2</v>
      </c>
      <c r="C16" s="85">
        <v>-9.4866958609828744E-2</v>
      </c>
      <c r="D16" s="84">
        <v>-9.5097208773772257E-2</v>
      </c>
      <c r="E16" s="85">
        <v>-9.7465255673101492E-2</v>
      </c>
      <c r="F16" s="84">
        <v>-0.1022575220678248</v>
      </c>
      <c r="G16" s="86">
        <v>-0.10460683108960681</v>
      </c>
    </row>
    <row r="17" spans="1:7" ht="16" customHeight="1" x14ac:dyDescent="0.2">
      <c r="A17" s="83" t="s">
        <v>46</v>
      </c>
      <c r="B17" s="84">
        <v>-1.800790865081359E-2</v>
      </c>
      <c r="C17" s="85">
        <v>-4.0952317120729331E-2</v>
      </c>
      <c r="D17" s="84">
        <v>-2.8953206612110871E-2</v>
      </c>
      <c r="E17" s="85">
        <v>-5.1641876375512208E-2</v>
      </c>
      <c r="F17" s="84">
        <v>-3.4904605725143527E-2</v>
      </c>
      <c r="G17" s="86">
        <v>-5.7454220058852812E-2</v>
      </c>
    </row>
    <row r="18" spans="1:7" ht="16" customHeight="1" x14ac:dyDescent="0.2">
      <c r="A18" s="83" t="s">
        <v>47</v>
      </c>
      <c r="B18" s="84">
        <v>-8.010668726471748E-2</v>
      </c>
      <c r="C18" s="85">
        <v>-8.1236174035639541E-2</v>
      </c>
      <c r="D18" s="84">
        <v>-8.7127959234794883E-2</v>
      </c>
      <c r="E18" s="85">
        <v>-8.8248824969238693E-2</v>
      </c>
      <c r="F18" s="84">
        <v>-8.7051407672454673E-2</v>
      </c>
      <c r="G18" s="86">
        <v>-8.8172367400382035E-2</v>
      </c>
    </row>
    <row r="19" spans="1:7" ht="16" customHeight="1" x14ac:dyDescent="0.2">
      <c r="A19" s="83" t="s">
        <v>48</v>
      </c>
      <c r="B19" s="84">
        <v>-0.19376490842818589</v>
      </c>
      <c r="C19" s="85">
        <v>-0.2374671350378057</v>
      </c>
      <c r="D19" s="84">
        <v>-0.13412370107476851</v>
      </c>
      <c r="E19" s="85">
        <v>-0.18105879807948461</v>
      </c>
      <c r="F19" s="84">
        <v>-0.1793520957386032</v>
      </c>
      <c r="G19" s="86">
        <v>-0.2238355733912831</v>
      </c>
    </row>
    <row r="20" spans="1:7" ht="16" customHeight="1" x14ac:dyDescent="0.2">
      <c r="A20" s="83" t="s">
        <v>49</v>
      </c>
      <c r="B20" s="84">
        <v>-0.27355460831394218</v>
      </c>
      <c r="C20" s="85">
        <v>-0.2855606159971591</v>
      </c>
      <c r="D20" s="84">
        <v>-0.29999999999912491</v>
      </c>
      <c r="E20" s="85">
        <v>-0.31156894306689831</v>
      </c>
      <c r="F20" s="84">
        <v>-0.29999999999513688</v>
      </c>
      <c r="G20" s="86">
        <v>-0.31156894306297622</v>
      </c>
    </row>
    <row r="21" spans="1:7" ht="16" customHeight="1" x14ac:dyDescent="0.2">
      <c r="A21" s="83" t="s">
        <v>50</v>
      </c>
      <c r="B21" s="84">
        <v>-9.2205775861361805E-2</v>
      </c>
      <c r="C21" s="87">
        <v>-8.8992249958941394E-2</v>
      </c>
      <c r="D21" s="84">
        <v>-0.109542734528894</v>
      </c>
      <c r="E21" s="87">
        <v>-0.10639058020636021</v>
      </c>
      <c r="F21" s="84">
        <v>-0.1062918390300782</v>
      </c>
      <c r="G21" s="86">
        <v>-0.1031281767725809</v>
      </c>
    </row>
    <row r="22" spans="1:7" ht="16" customHeight="1" x14ac:dyDescent="0.2">
      <c r="A22" s="79" t="s">
        <v>51</v>
      </c>
      <c r="B22" s="80"/>
      <c r="C22" s="80"/>
      <c r="D22" s="80"/>
      <c r="E22" s="80"/>
      <c r="F22" s="80"/>
      <c r="G22" s="82"/>
    </row>
    <row r="23" spans="1:7" ht="16" customHeight="1" x14ac:dyDescent="0.2">
      <c r="A23" s="83" t="s">
        <v>52</v>
      </c>
      <c r="B23" s="69">
        <v>5.3102767438950482E-2</v>
      </c>
      <c r="C23" s="69">
        <v>5.5106230134363672E-2</v>
      </c>
      <c r="D23" s="69">
        <v>6.1681263506907842E-2</v>
      </c>
      <c r="E23" s="69">
        <v>6.3666575661519009E-2</v>
      </c>
      <c r="F23" s="69">
        <v>6.0979902051410462E-2</v>
      </c>
      <c r="G23" s="88">
        <v>6.2966698159574008E-2</v>
      </c>
    </row>
    <row r="24" spans="1:7" ht="16" customHeight="1" x14ac:dyDescent="0.2">
      <c r="A24" s="83" t="s">
        <v>53</v>
      </c>
      <c r="B24" s="69">
        <v>0.17132123066237159</v>
      </c>
      <c r="C24" s="69">
        <v>0.19065281809377871</v>
      </c>
      <c r="D24" s="69">
        <v>0.1945707116368047</v>
      </c>
      <c r="E24" s="69">
        <v>0.2134778855440411</v>
      </c>
      <c r="F24" s="69">
        <v>0.18598930898882879</v>
      </c>
      <c r="G24" s="88">
        <v>0.20614267336480641</v>
      </c>
    </row>
    <row r="25" spans="1:7" ht="16" customHeight="1" x14ac:dyDescent="0.2">
      <c r="A25" s="83" t="s">
        <v>54</v>
      </c>
      <c r="B25" s="89">
        <v>0.19407783094955511</v>
      </c>
      <c r="C25" s="89">
        <v>0.24433009294119579</v>
      </c>
      <c r="D25" s="89">
        <v>0.19049268780526979</v>
      </c>
      <c r="E25" s="89">
        <v>0.24043197764272459</v>
      </c>
      <c r="F25" s="89">
        <v>0.19909515274856621</v>
      </c>
      <c r="G25" s="90">
        <v>0.2510444586634929</v>
      </c>
    </row>
    <row r="26" spans="1:7" ht="16" customHeight="1" x14ac:dyDescent="0.2">
      <c r="A26" s="79" t="s">
        <v>55</v>
      </c>
      <c r="B26" s="80"/>
      <c r="C26" s="80"/>
      <c r="D26" s="80"/>
      <c r="E26" s="80"/>
      <c r="F26" s="80"/>
      <c r="G26" s="82"/>
    </row>
    <row r="27" spans="1:7" ht="16" customHeight="1" x14ac:dyDescent="0.2">
      <c r="A27" s="83" t="s">
        <v>52</v>
      </c>
      <c r="B27" s="69">
        <v>7.4840608538578102E-2</v>
      </c>
      <c r="C27" s="69">
        <v>7.6798077907340279E-2</v>
      </c>
      <c r="D27" s="69">
        <v>8.5147520140493094E-2</v>
      </c>
      <c r="E27" s="69">
        <v>8.7083181954866862E-2</v>
      </c>
      <c r="F27" s="69">
        <v>8.3297845206554477E-2</v>
      </c>
      <c r="G27" s="88">
        <v>8.5237420597398361E-2</v>
      </c>
    </row>
    <row r="28" spans="1:7" ht="16" customHeight="1" x14ac:dyDescent="0.2">
      <c r="A28" s="83" t="s">
        <v>53</v>
      </c>
      <c r="B28" s="69">
        <v>0.2092701813090129</v>
      </c>
      <c r="C28" s="69">
        <v>0.2273215691058684</v>
      </c>
      <c r="D28" s="69">
        <v>0.2307849848348684</v>
      </c>
      <c r="E28" s="69">
        <v>0.2483557435476291</v>
      </c>
      <c r="F28" s="69">
        <v>0.22573627092082149</v>
      </c>
      <c r="G28" s="88">
        <v>0.24336831490659699</v>
      </c>
    </row>
    <row r="29" spans="1:7" ht="16" customHeight="1" x14ac:dyDescent="0.2">
      <c r="A29" s="83" t="s">
        <v>54</v>
      </c>
      <c r="B29" s="89">
        <v>0.24381044598060661</v>
      </c>
      <c r="C29" s="89">
        <v>0.29139845881200183</v>
      </c>
      <c r="D29" s="89">
        <v>0.2461012082805609</v>
      </c>
      <c r="E29" s="89">
        <v>0.29306064758322642</v>
      </c>
      <c r="F29" s="89">
        <v>0.25368678299216529</v>
      </c>
      <c r="G29" s="90">
        <v>0.30037542574094428</v>
      </c>
    </row>
    <row r="30" spans="1:7" ht="16" customHeight="1" x14ac:dyDescent="0.2">
      <c r="A30" s="79" t="s">
        <v>56</v>
      </c>
      <c r="B30" s="80"/>
      <c r="C30" s="80"/>
      <c r="D30" s="80"/>
      <c r="E30" s="80"/>
      <c r="F30" s="80"/>
      <c r="G30" s="82"/>
    </row>
    <row r="31" spans="1:7" ht="16" customHeight="1" x14ac:dyDescent="0.2">
      <c r="A31" s="83" t="s">
        <v>52</v>
      </c>
      <c r="B31" s="69">
        <v>0.34200000000000003</v>
      </c>
      <c r="C31" s="69">
        <v>0.38340000000000002</v>
      </c>
      <c r="D31" s="69">
        <v>0.32235000000000003</v>
      </c>
      <c r="E31" s="69">
        <v>0.35825000000000001</v>
      </c>
      <c r="F31" s="69">
        <v>0.33339999999999997</v>
      </c>
      <c r="G31" s="88">
        <v>0.36890000000000001</v>
      </c>
    </row>
    <row r="32" spans="1:7" ht="16" customHeight="1" x14ac:dyDescent="0.2">
      <c r="A32" s="83" t="s">
        <v>53</v>
      </c>
      <c r="B32" s="69">
        <v>0.18665000000000001</v>
      </c>
      <c r="C32" s="69">
        <v>0.2581</v>
      </c>
      <c r="D32" s="69">
        <v>0.1671</v>
      </c>
      <c r="E32" s="69">
        <v>0.22955</v>
      </c>
      <c r="F32" s="69">
        <v>0.18225</v>
      </c>
      <c r="G32" s="88">
        <v>0.2455</v>
      </c>
    </row>
    <row r="33" spans="1:7" ht="16" customHeight="1" x14ac:dyDescent="0.2">
      <c r="A33" s="91" t="s">
        <v>54</v>
      </c>
      <c r="B33" s="92">
        <v>0.1081</v>
      </c>
      <c r="C33" s="92">
        <v>0.19139999999999999</v>
      </c>
      <c r="D33" s="92">
        <v>9.0300000000000005E-2</v>
      </c>
      <c r="E33" s="92">
        <v>0.15795000000000001</v>
      </c>
      <c r="F33" s="92">
        <v>0.1028</v>
      </c>
      <c r="G33" s="93">
        <v>0.17635000000000001</v>
      </c>
    </row>
    <row r="34" spans="1:7" ht="16" customHeight="1" x14ac:dyDescent="0.2">
      <c r="A34" s="94" t="s">
        <v>57</v>
      </c>
      <c r="B34" s="77"/>
      <c r="C34" s="77"/>
      <c r="D34" s="77"/>
      <c r="E34" s="77"/>
      <c r="F34" s="77"/>
      <c r="G34" s="77"/>
    </row>
    <row r="35" spans="1:7" ht="16" customHeight="1" x14ac:dyDescent="0.2"/>
    <row r="36" spans="1:7" ht="20" customHeight="1" x14ac:dyDescent="0.2"/>
  </sheetData>
  <mergeCells count="57">
    <mergeCell ref="B33:C33"/>
    <mergeCell ref="D33:E33"/>
    <mergeCell ref="F33:G33"/>
    <mergeCell ref="B31:C31"/>
    <mergeCell ref="D31:E31"/>
    <mergeCell ref="F31:G31"/>
    <mergeCell ref="B32:C32"/>
    <mergeCell ref="D32:E32"/>
    <mergeCell ref="F32:G32"/>
    <mergeCell ref="B28:C28"/>
    <mergeCell ref="D28:E28"/>
    <mergeCell ref="F28:G28"/>
    <mergeCell ref="B29:C29"/>
    <mergeCell ref="D29:E29"/>
    <mergeCell ref="F29:G29"/>
    <mergeCell ref="B25:C25"/>
    <mergeCell ref="D25:E25"/>
    <mergeCell ref="F25:G25"/>
    <mergeCell ref="B27:C27"/>
    <mergeCell ref="D27:E27"/>
    <mergeCell ref="F27:G27"/>
    <mergeCell ref="B23:C23"/>
    <mergeCell ref="D23:E23"/>
    <mergeCell ref="F23:G23"/>
    <mergeCell ref="B24:C24"/>
    <mergeCell ref="D24:E24"/>
    <mergeCell ref="F24:G24"/>
    <mergeCell ref="B9:C9"/>
    <mergeCell ref="D9:E9"/>
    <mergeCell ref="F9:G9"/>
    <mergeCell ref="B10:C10"/>
    <mergeCell ref="D10:E10"/>
    <mergeCell ref="F10:G10"/>
    <mergeCell ref="B7:C7"/>
    <mergeCell ref="D7:E7"/>
    <mergeCell ref="F7:G7"/>
    <mergeCell ref="B8:C8"/>
    <mergeCell ref="D8:E8"/>
    <mergeCell ref="F8:G8"/>
    <mergeCell ref="B5:C5"/>
    <mergeCell ref="D5:E5"/>
    <mergeCell ref="F5:G5"/>
    <mergeCell ref="B6:C6"/>
    <mergeCell ref="D6:E6"/>
    <mergeCell ref="F6:G6"/>
    <mergeCell ref="B3:C3"/>
    <mergeCell ref="D3:E3"/>
    <mergeCell ref="F3:G3"/>
    <mergeCell ref="B4:C4"/>
    <mergeCell ref="D4:E4"/>
    <mergeCell ref="F4:G4"/>
    <mergeCell ref="B1:C1"/>
    <mergeCell ref="D1:E1"/>
    <mergeCell ref="F1:G1"/>
    <mergeCell ref="B2:C2"/>
    <mergeCell ref="D2:E2"/>
    <mergeCell ref="F2:G2"/>
  </mergeCells>
  <conditionalFormatting sqref="B13:G2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workbookViewId="0">
      <selection activeCell="F27" sqref="F27"/>
    </sheetView>
  </sheetViews>
  <sheetFormatPr baseColWidth="10" defaultColWidth="8.83203125" defaultRowHeight="15" x14ac:dyDescent="0.2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 x14ac:dyDescent="0.2">
      <c r="A1" s="7"/>
      <c r="B1" s="38" t="s">
        <v>58</v>
      </c>
      <c r="C1" s="39"/>
      <c r="D1" s="39"/>
      <c r="E1" s="39"/>
      <c r="F1" s="39"/>
      <c r="G1" s="39"/>
      <c r="H1" s="9"/>
      <c r="I1" s="38" t="s">
        <v>59</v>
      </c>
      <c r="J1" s="39"/>
    </row>
    <row r="2" spans="1:10" ht="49" customHeight="1" x14ac:dyDescent="0.2">
      <c r="A2" s="10"/>
      <c r="B2" s="40" t="s">
        <v>60</v>
      </c>
      <c r="C2" s="39"/>
      <c r="D2" s="39"/>
      <c r="E2" s="8" t="s">
        <v>38</v>
      </c>
      <c r="F2" s="8" t="s">
        <v>37</v>
      </c>
      <c r="G2" s="11" t="s">
        <v>61</v>
      </c>
      <c r="H2" s="8" t="s">
        <v>62</v>
      </c>
      <c r="I2" s="8" t="s">
        <v>63</v>
      </c>
      <c r="J2" s="8" t="s">
        <v>64</v>
      </c>
    </row>
    <row r="3" spans="1:10" ht="17" customHeight="1" x14ac:dyDescent="0.2">
      <c r="A3" s="12" t="s">
        <v>2</v>
      </c>
      <c r="B3" s="13"/>
      <c r="C3" s="13"/>
      <c r="D3" s="13"/>
      <c r="E3" s="13"/>
      <c r="F3" s="14"/>
      <c r="G3" s="13"/>
      <c r="H3" s="13"/>
      <c r="I3" s="13"/>
      <c r="J3" s="13"/>
    </row>
    <row r="4" spans="1:10" ht="17" customHeight="1" x14ac:dyDescent="0.2">
      <c r="A4" s="15" t="s">
        <v>65</v>
      </c>
      <c r="B4" s="16">
        <v>5.7327167405640464E-3</v>
      </c>
      <c r="C4" s="17">
        <v>1.08673517608701E-2</v>
      </c>
      <c r="D4" s="18">
        <v>1.6001986781176161E-2</v>
      </c>
      <c r="E4" s="17">
        <v>3.2110810353131201E-2</v>
      </c>
      <c r="F4" s="19">
        <v>0.33843280942956339</v>
      </c>
      <c r="G4" s="17">
        <v>3.5867351760870102E-2</v>
      </c>
      <c r="H4" s="20">
        <v>0</v>
      </c>
      <c r="I4" s="21">
        <v>26723</v>
      </c>
      <c r="J4" s="21">
        <v>45777</v>
      </c>
    </row>
    <row r="5" spans="1:10" ht="17" customHeight="1" x14ac:dyDescent="0.2">
      <c r="A5" s="15" t="s">
        <v>66</v>
      </c>
      <c r="B5" s="16">
        <v>4.383045164846216E-4</v>
      </c>
      <c r="C5" s="17">
        <v>3.090125303729937E-3</v>
      </c>
      <c r="D5" s="18">
        <v>5.7419460909752511E-3</v>
      </c>
      <c r="E5" s="17">
        <v>1.4730739161551419E-2</v>
      </c>
      <c r="F5" s="19">
        <v>0.20977394751482981</v>
      </c>
      <c r="G5" s="17">
        <v>2.8090125303729941E-2</v>
      </c>
      <c r="H5" s="20">
        <v>0</v>
      </c>
      <c r="I5" s="21">
        <v>33662</v>
      </c>
      <c r="J5" s="21">
        <v>45777</v>
      </c>
    </row>
    <row r="6" spans="1:10" ht="17" customHeight="1" x14ac:dyDescent="0.2">
      <c r="A6" s="15" t="s">
        <v>67</v>
      </c>
      <c r="B6" s="16">
        <v>-2.1149896547376069E-2</v>
      </c>
      <c r="C6" s="17">
        <v>1.9683612310258999E-2</v>
      </c>
      <c r="D6" s="18">
        <v>6.0517121167894067E-2</v>
      </c>
      <c r="E6" s="17">
        <v>4.6212231292721478E-2</v>
      </c>
      <c r="F6" s="19">
        <v>0.42593944848880749</v>
      </c>
      <c r="G6" s="17">
        <v>4.4683612310258997E-2</v>
      </c>
      <c r="H6" s="20">
        <v>0</v>
      </c>
      <c r="I6" s="21">
        <v>36585</v>
      </c>
      <c r="J6" s="21">
        <v>45777</v>
      </c>
    </row>
    <row r="7" spans="1:10" ht="17" customHeight="1" x14ac:dyDescent="0.2">
      <c r="A7" s="15" t="s">
        <v>68</v>
      </c>
      <c r="B7" s="16">
        <v>6.4340696993407213E-3</v>
      </c>
      <c r="C7" s="17">
        <v>1.994219801661444E-2</v>
      </c>
      <c r="D7" s="18">
        <v>3.3450326333888163E-2</v>
      </c>
      <c r="E7" s="17">
        <v>4.2238342638410448E-2</v>
      </c>
      <c r="F7" s="19">
        <v>0.47213495537297723</v>
      </c>
      <c r="G7" s="17">
        <v>4.4942198016614442E-2</v>
      </c>
      <c r="H7" s="20">
        <v>0</v>
      </c>
      <c r="I7" s="21">
        <v>26723</v>
      </c>
      <c r="J7" s="21">
        <v>45777</v>
      </c>
    </row>
    <row r="8" spans="1:10" ht="17" customHeight="1" x14ac:dyDescent="0.2">
      <c r="A8" s="22" t="s">
        <v>7</v>
      </c>
      <c r="B8" s="23"/>
      <c r="C8" s="24"/>
      <c r="D8" s="25"/>
      <c r="E8" s="24"/>
      <c r="F8" s="26"/>
      <c r="G8" s="24"/>
      <c r="H8" s="27"/>
      <c r="I8" s="28"/>
      <c r="J8" s="28"/>
    </row>
    <row r="9" spans="1:10" ht="17" customHeight="1" x14ac:dyDescent="0.2">
      <c r="A9" s="15" t="s">
        <v>69</v>
      </c>
      <c r="B9" s="16">
        <v>1.327514440503154E-2</v>
      </c>
      <c r="C9" s="17">
        <v>3.2957299522559658E-2</v>
      </c>
      <c r="D9" s="18">
        <v>5.2639454640087777E-2</v>
      </c>
      <c r="E9" s="17">
        <v>8.205840633533279E-2</v>
      </c>
      <c r="F9" s="19">
        <v>0.40163221532574261</v>
      </c>
      <c r="G9" s="17">
        <v>5.7957299522559659E-2</v>
      </c>
      <c r="H9" s="20">
        <v>0</v>
      </c>
      <c r="I9" s="21">
        <v>30559</v>
      </c>
      <c r="J9" s="21">
        <v>45777</v>
      </c>
    </row>
    <row r="10" spans="1:10" ht="17" customHeight="1" x14ac:dyDescent="0.2">
      <c r="A10" s="15" t="s">
        <v>70</v>
      </c>
      <c r="B10" s="16">
        <v>1.3082760297439501E-2</v>
      </c>
      <c r="C10" s="17">
        <v>4.711068434546873E-2</v>
      </c>
      <c r="D10" s="18">
        <v>8.1138608393497957E-2</v>
      </c>
      <c r="E10" s="17">
        <v>0.1220196208482812</v>
      </c>
      <c r="F10" s="19">
        <v>0.38609105665101201</v>
      </c>
      <c r="G10" s="17">
        <v>7.2110684345468731E-2</v>
      </c>
      <c r="H10" s="20">
        <v>0</v>
      </c>
      <c r="I10" s="21">
        <v>34365</v>
      </c>
      <c r="J10" s="21">
        <v>45107</v>
      </c>
    </row>
    <row r="11" spans="1:10" ht="17" customHeight="1" x14ac:dyDescent="0.2">
      <c r="A11" s="22" t="s">
        <v>10</v>
      </c>
      <c r="B11" s="23"/>
      <c r="C11" s="24"/>
      <c r="D11" s="25"/>
      <c r="E11" s="24"/>
      <c r="F11" s="26"/>
      <c r="G11" s="24"/>
      <c r="H11" s="27"/>
      <c r="I11" s="28"/>
      <c r="J11" s="28"/>
    </row>
    <row r="12" spans="1:10" ht="17" customHeight="1" x14ac:dyDescent="0.2">
      <c r="A12" s="15" t="s">
        <v>71</v>
      </c>
      <c r="B12" s="16">
        <v>2.1935921675440812E-2</v>
      </c>
      <c r="C12" s="17">
        <v>4.6797853363938761E-2</v>
      </c>
      <c r="D12" s="18">
        <v>7.1659785052436711E-2</v>
      </c>
      <c r="E12" s="17">
        <v>0.1469643018055917</v>
      </c>
      <c r="F12" s="19">
        <v>0.31843007307886378</v>
      </c>
      <c r="G12" s="17">
        <v>7.1797853363938763E-2</v>
      </c>
      <c r="H12" s="20">
        <v>0.7</v>
      </c>
      <c r="I12" s="21">
        <v>32171</v>
      </c>
      <c r="J12" s="21">
        <v>45777</v>
      </c>
    </row>
    <row r="13" spans="1:10" ht="17" customHeight="1" x14ac:dyDescent="0.2">
      <c r="A13" s="15" t="s">
        <v>72</v>
      </c>
      <c r="B13" s="16">
        <v>1.7176160239301099E-2</v>
      </c>
      <c r="C13" s="17">
        <v>4.424482346715447E-2</v>
      </c>
      <c r="D13" s="18">
        <v>7.1313486695007838E-2</v>
      </c>
      <c r="E13" s="17">
        <v>0.16928110917035849</v>
      </c>
      <c r="F13" s="19">
        <v>0.26136893646312331</v>
      </c>
      <c r="G13" s="17">
        <v>6.9244823467154465E-2</v>
      </c>
      <c r="H13" s="20">
        <v>0</v>
      </c>
      <c r="I13" s="21">
        <v>28886</v>
      </c>
      <c r="J13" s="21">
        <v>45777</v>
      </c>
    </row>
    <row r="14" spans="1:10" ht="17" customHeight="1" x14ac:dyDescent="0.2">
      <c r="A14" s="15" t="s">
        <v>73</v>
      </c>
      <c r="B14" s="16">
        <v>3.8328393380117107E-2</v>
      </c>
      <c r="C14" s="17">
        <v>6.1473144644885618E-2</v>
      </c>
      <c r="D14" s="18">
        <v>8.4617895909654142E-2</v>
      </c>
      <c r="E14" s="17">
        <v>0.14474187855499729</v>
      </c>
      <c r="F14" s="19">
        <v>0.42470876610550412</v>
      </c>
      <c r="G14" s="17">
        <v>8.6473144644885619E-2</v>
      </c>
      <c r="H14" s="20">
        <v>0</v>
      </c>
      <c r="I14" s="21">
        <v>28886</v>
      </c>
      <c r="J14" s="21">
        <v>45777</v>
      </c>
    </row>
    <row r="15" spans="1:10" ht="17" customHeight="1" x14ac:dyDescent="0.2">
      <c r="A15" s="15" t="s">
        <v>74</v>
      </c>
      <c r="B15" s="16">
        <v>3.9548088591888853E-2</v>
      </c>
      <c r="C15" s="17">
        <v>7.0287620802001793E-2</v>
      </c>
      <c r="D15" s="18">
        <v>0.10102715301211471</v>
      </c>
      <c r="E15" s="17">
        <v>0.19223786797684969</v>
      </c>
      <c r="F15" s="19">
        <v>0.36562838290771188</v>
      </c>
      <c r="G15" s="17">
        <v>9.5287620802001788E-2</v>
      </c>
      <c r="H15" s="20">
        <v>0</v>
      </c>
      <c r="I15" s="21">
        <v>28886</v>
      </c>
      <c r="J15" s="21">
        <v>45777</v>
      </c>
    </row>
    <row r="16" spans="1:10" ht="17" customHeight="1" x14ac:dyDescent="0.2">
      <c r="A16" s="15" t="s">
        <v>75</v>
      </c>
      <c r="B16" s="16">
        <v>2.1019364331575061E-2</v>
      </c>
      <c r="C16" s="17">
        <v>4.7103364879311882E-2</v>
      </c>
      <c r="D16" s="18">
        <v>7.3187365427048678E-2</v>
      </c>
      <c r="E16" s="17">
        <v>0.16312325832838301</v>
      </c>
      <c r="F16" s="19">
        <v>0.2887593428552549</v>
      </c>
      <c r="G16" s="17">
        <v>7.2103364879311876E-2</v>
      </c>
      <c r="H16" s="20">
        <v>0.7</v>
      </c>
      <c r="I16" s="21">
        <v>25626</v>
      </c>
      <c r="J16" s="21">
        <v>45777</v>
      </c>
    </row>
    <row r="17" spans="1:10" ht="17" customHeight="1" x14ac:dyDescent="0.2">
      <c r="A17" s="15" t="s">
        <v>76</v>
      </c>
      <c r="B17" s="16">
        <v>2.537093070079656E-2</v>
      </c>
      <c r="C17" s="17">
        <v>4.9088970154403527E-2</v>
      </c>
      <c r="D17" s="18">
        <v>7.2807009608010495E-2</v>
      </c>
      <c r="E17" s="17">
        <v>0.1483270892343698</v>
      </c>
      <c r="F17" s="19">
        <v>0.3309508088359952</v>
      </c>
      <c r="G17" s="17">
        <v>7.4088970154403522E-2</v>
      </c>
      <c r="H17" s="20">
        <v>0.7</v>
      </c>
      <c r="I17" s="21">
        <v>25598</v>
      </c>
      <c r="J17" s="21">
        <v>45777</v>
      </c>
    </row>
    <row r="18" spans="1:10" ht="17" customHeight="1" x14ac:dyDescent="0.2">
      <c r="A18" s="15" t="s">
        <v>77</v>
      </c>
      <c r="B18" s="16">
        <v>-1.5284258244867221E-3</v>
      </c>
      <c r="C18" s="17">
        <v>2.794593789750548E-2</v>
      </c>
      <c r="D18" s="18">
        <v>5.7420301619497682E-2</v>
      </c>
      <c r="E18" s="17">
        <v>0.18432579920737729</v>
      </c>
      <c r="F18" s="19">
        <v>0.1516116464308106</v>
      </c>
      <c r="G18" s="17">
        <v>5.2945937897505492E-2</v>
      </c>
      <c r="H18" s="20">
        <v>0.7</v>
      </c>
      <c r="I18" s="21">
        <v>25598</v>
      </c>
      <c r="J18" s="21">
        <v>45777</v>
      </c>
    </row>
    <row r="19" spans="1:10" ht="17" customHeight="1" x14ac:dyDescent="0.2">
      <c r="A19" s="15" t="s">
        <v>78</v>
      </c>
      <c r="B19" s="16">
        <v>2.752917685078872E-2</v>
      </c>
      <c r="C19" s="17">
        <v>5.6461831660523182E-2</v>
      </c>
      <c r="D19" s="18">
        <v>8.5394486470257644E-2</v>
      </c>
      <c r="E19" s="17">
        <v>0.17102723419765431</v>
      </c>
      <c r="F19" s="19">
        <v>0.33013357156481221</v>
      </c>
      <c r="G19" s="17">
        <v>8.1461831660523176E-2</v>
      </c>
      <c r="H19" s="20">
        <v>0.7</v>
      </c>
      <c r="I19" s="21">
        <v>25626</v>
      </c>
      <c r="J19" s="21">
        <v>45777</v>
      </c>
    </row>
    <row r="20" spans="1:10" ht="17" customHeight="1" x14ac:dyDescent="0.2">
      <c r="A20" s="15" t="s">
        <v>79</v>
      </c>
      <c r="B20" s="16">
        <v>3.5868022051295953E-2</v>
      </c>
      <c r="C20" s="17">
        <v>7.5245769473422777E-2</v>
      </c>
      <c r="D20" s="18">
        <v>0.1146235168955496</v>
      </c>
      <c r="E20" s="17">
        <v>0.23277045521153711</v>
      </c>
      <c r="F20" s="19">
        <v>0.32326168458553273</v>
      </c>
      <c r="G20" s="17">
        <v>0.1002457694734228</v>
      </c>
      <c r="H20" s="20">
        <v>0</v>
      </c>
      <c r="I20" s="21">
        <v>32171</v>
      </c>
      <c r="J20" s="21">
        <v>45777</v>
      </c>
    </row>
    <row r="21" spans="1:10" ht="17" customHeight="1" x14ac:dyDescent="0.2">
      <c r="A21" s="15" t="s">
        <v>80</v>
      </c>
      <c r="B21" s="16">
        <v>-1.2018142784793099E-2</v>
      </c>
      <c r="C21" s="17">
        <v>5.8342310196128892E-2</v>
      </c>
      <c r="D21" s="18">
        <v>0.1287027631770509</v>
      </c>
      <c r="E21" s="17">
        <v>0.1356219911958427</v>
      </c>
      <c r="F21" s="19">
        <v>0.43018325923176148</v>
      </c>
      <c r="G21" s="17">
        <v>8.3342310196128894E-2</v>
      </c>
      <c r="H21" s="20">
        <v>0.7</v>
      </c>
      <c r="I21" s="21">
        <v>32720</v>
      </c>
      <c r="J21" s="21">
        <v>44925</v>
      </c>
    </row>
    <row r="22" spans="1:10" ht="17" customHeight="1" x14ac:dyDescent="0.2">
      <c r="A22" s="15" t="s">
        <v>81</v>
      </c>
      <c r="B22" s="16">
        <v>1.6888386115265861E-2</v>
      </c>
      <c r="C22" s="17">
        <v>4.5625590064520903E-2</v>
      </c>
      <c r="D22" s="18">
        <v>7.4362794013775935E-2</v>
      </c>
      <c r="E22" s="17">
        <v>0.1405898501681038</v>
      </c>
      <c r="F22" s="19">
        <v>0.3245297580868477</v>
      </c>
      <c r="G22" s="17">
        <v>7.0625590064520904E-2</v>
      </c>
      <c r="H22" s="20">
        <v>0.7</v>
      </c>
      <c r="I22" s="21">
        <v>36189</v>
      </c>
      <c r="J22" s="21">
        <v>45777</v>
      </c>
    </row>
    <row r="23" spans="1:10" ht="17" customHeight="1" x14ac:dyDescent="0.2">
      <c r="A23" s="22" t="s">
        <v>22</v>
      </c>
      <c r="B23" s="23"/>
      <c r="C23" s="24"/>
      <c r="D23" s="25"/>
      <c r="E23" s="24"/>
      <c r="F23" s="26"/>
      <c r="G23" s="24"/>
      <c r="H23" s="27"/>
      <c r="I23" s="28"/>
      <c r="J23" s="28"/>
    </row>
    <row r="24" spans="1:10" ht="17" customHeight="1" x14ac:dyDescent="0.2">
      <c r="A24" s="15" t="s">
        <v>82</v>
      </c>
      <c r="B24" s="16">
        <v>5.3661960981587313E-3</v>
      </c>
      <c r="C24" s="17">
        <v>1.5035468559470929E-2</v>
      </c>
      <c r="D24" s="18">
        <v>2.4704741020783131E-2</v>
      </c>
      <c r="E24" s="17">
        <v>5.5490336347120132E-2</v>
      </c>
      <c r="F24" s="19">
        <v>0.27095652232879741</v>
      </c>
      <c r="G24" s="17">
        <v>4.0035468559470933E-2</v>
      </c>
      <c r="H24" s="20">
        <v>1</v>
      </c>
      <c r="I24" s="21">
        <v>32904</v>
      </c>
      <c r="J24" s="21">
        <v>45777</v>
      </c>
    </row>
    <row r="25" spans="1:10" ht="17" customHeight="1" x14ac:dyDescent="0.2">
      <c r="A25" s="15" t="s">
        <v>83</v>
      </c>
      <c r="B25" s="16">
        <v>7.8845227205770647E-3</v>
      </c>
      <c r="C25" s="17">
        <v>1.9381268325582329E-2</v>
      </c>
      <c r="D25" s="18">
        <v>3.0878013930587589E-2</v>
      </c>
      <c r="E25" s="17">
        <v>6.1838706545769943E-2</v>
      </c>
      <c r="F25" s="19">
        <v>0.31341645723519901</v>
      </c>
      <c r="G25" s="17">
        <v>4.4381268325582333E-2</v>
      </c>
      <c r="H25" s="20">
        <v>1</v>
      </c>
      <c r="I25" s="21">
        <v>34365</v>
      </c>
      <c r="J25" s="21">
        <v>45777</v>
      </c>
    </row>
    <row r="26" spans="1:10" ht="17" customHeight="1" x14ac:dyDescent="0.2">
      <c r="A26" s="15" t="s">
        <v>84</v>
      </c>
      <c r="B26" s="16">
        <v>4.352380054283532E-3</v>
      </c>
      <c r="C26" s="17">
        <v>2.0773446286426561E-2</v>
      </c>
      <c r="D26" s="18">
        <v>3.7194512518569589E-2</v>
      </c>
      <c r="E26" s="17">
        <v>8.8325647168886814E-2</v>
      </c>
      <c r="F26" s="19">
        <v>0.2351915548006776</v>
      </c>
      <c r="G26" s="17">
        <v>4.5773446286426558E-2</v>
      </c>
      <c r="H26" s="20">
        <v>1</v>
      </c>
      <c r="I26" s="21">
        <v>34365</v>
      </c>
      <c r="J26" s="21">
        <v>45777</v>
      </c>
    </row>
    <row r="27" spans="1:10" ht="17" customHeight="1" x14ac:dyDescent="0.2">
      <c r="A27" s="15" t="s">
        <v>85</v>
      </c>
      <c r="B27" s="16">
        <v>1.069289996815624E-2</v>
      </c>
      <c r="C27" s="17">
        <v>2.7968658495309971E-2</v>
      </c>
      <c r="D27" s="18">
        <v>4.5244417022463707E-2</v>
      </c>
      <c r="E27" s="17">
        <v>7.3138510600272974E-2</v>
      </c>
      <c r="F27" s="19">
        <v>0.38240672753330018</v>
      </c>
      <c r="G27" s="17">
        <v>5.2968658495309982E-2</v>
      </c>
      <c r="H27" s="20">
        <v>1</v>
      </c>
      <c r="I27" s="21">
        <v>38383</v>
      </c>
      <c r="J27" s="21">
        <v>45777</v>
      </c>
    </row>
    <row r="28" spans="1:10" ht="17" customHeight="1" x14ac:dyDescent="0.2">
      <c r="A28" s="22" t="s">
        <v>27</v>
      </c>
      <c r="B28" s="23"/>
      <c r="C28" s="24"/>
      <c r="D28" s="25"/>
      <c r="E28" s="24"/>
      <c r="F28" s="26"/>
      <c r="G28" s="24"/>
      <c r="H28" s="27"/>
      <c r="I28" s="28"/>
      <c r="J28" s="28"/>
    </row>
    <row r="29" spans="1:10" ht="17" customHeight="1" x14ac:dyDescent="0.2">
      <c r="A29" s="15" t="s">
        <v>86</v>
      </c>
      <c r="B29" s="16">
        <v>1.8093277361216731E-2</v>
      </c>
      <c r="C29" s="17">
        <v>6.5301867527006729E-2</v>
      </c>
      <c r="D29" s="18">
        <v>0.1125104576927967</v>
      </c>
      <c r="E29" s="17">
        <v>0.1377719846412887</v>
      </c>
      <c r="F29" s="19">
        <v>0.47398509716638371</v>
      </c>
      <c r="G29" s="17">
        <v>9.0301867527006724E-2</v>
      </c>
      <c r="H29" s="20">
        <v>0</v>
      </c>
      <c r="I29" s="21">
        <v>25598</v>
      </c>
      <c r="J29" s="21">
        <v>45777</v>
      </c>
    </row>
    <row r="30" spans="1:10" ht="17" customHeight="1" x14ac:dyDescent="0.2">
      <c r="A30" s="15" t="s">
        <v>87</v>
      </c>
      <c r="B30" s="16">
        <v>1.3496497215615419E-2</v>
      </c>
      <c r="C30" s="17">
        <v>6.7090635723618383E-2</v>
      </c>
      <c r="D30" s="18">
        <v>0.1206847742316214</v>
      </c>
      <c r="E30" s="17">
        <v>0.15640735725123131</v>
      </c>
      <c r="F30" s="19">
        <v>0.4289480808492479</v>
      </c>
      <c r="G30" s="17">
        <v>9.2090635723618391E-2</v>
      </c>
      <c r="H30" s="20">
        <v>0</v>
      </c>
      <c r="I30" s="21">
        <v>28886</v>
      </c>
      <c r="J30" s="21">
        <v>45777</v>
      </c>
    </row>
    <row r="31" spans="1:10" ht="17" customHeight="1" x14ac:dyDescent="0.2">
      <c r="A31" s="15" t="s">
        <v>88</v>
      </c>
      <c r="B31" s="16">
        <v>4.8618709169252214E-3</v>
      </c>
      <c r="C31" s="17">
        <v>6.2172068187196533E-2</v>
      </c>
      <c r="D31" s="18">
        <v>0.1194822654574678</v>
      </c>
      <c r="E31" s="17">
        <v>0.16725217996089919</v>
      </c>
      <c r="F31" s="19">
        <v>0.37172650426279252</v>
      </c>
      <c r="G31" s="17">
        <v>8.7172068187196528E-2</v>
      </c>
      <c r="H31" s="20">
        <v>0</v>
      </c>
      <c r="I31" s="21">
        <v>30680</v>
      </c>
      <c r="J31" s="21">
        <v>44925</v>
      </c>
    </row>
    <row r="32" spans="1:10" ht="17" customHeight="1" x14ac:dyDescent="0.2">
      <c r="A32" s="22" t="s">
        <v>31</v>
      </c>
      <c r="B32" s="23"/>
      <c r="C32" s="24"/>
      <c r="D32" s="25"/>
      <c r="E32" s="24"/>
      <c r="F32" s="26"/>
      <c r="G32" s="24"/>
      <c r="H32" s="27"/>
      <c r="I32" s="28"/>
      <c r="J32" s="28"/>
    </row>
    <row r="33" spans="1:10" ht="17" customHeight="1" x14ac:dyDescent="0.2">
      <c r="A33" s="15" t="s">
        <v>89</v>
      </c>
      <c r="B33" s="16">
        <v>2.0469028338070811E-2</v>
      </c>
      <c r="C33" s="17">
        <v>5.9395006840754223E-2</v>
      </c>
      <c r="D33" s="18">
        <v>9.8320985343437611E-2</v>
      </c>
      <c r="E33" s="17">
        <v>0.1136002853206385</v>
      </c>
      <c r="F33" s="19">
        <v>0.52284205689370356</v>
      </c>
      <c r="G33" s="17">
        <v>8.4395006840754211E-2</v>
      </c>
      <c r="H33" s="20">
        <v>0</v>
      </c>
      <c r="I33" s="21">
        <v>30589</v>
      </c>
      <c r="J33" s="21">
        <v>45777</v>
      </c>
    </row>
    <row r="34" spans="1:10" ht="17" customHeight="1" x14ac:dyDescent="0.2">
      <c r="A34" s="15" t="s">
        <v>90</v>
      </c>
      <c r="B34" s="16">
        <v>2.899500491554419E-2</v>
      </c>
      <c r="C34" s="17">
        <v>7.8592057555021813E-2</v>
      </c>
      <c r="D34" s="18">
        <v>0.12818911019449941</v>
      </c>
      <c r="E34" s="17">
        <v>0.14474239435031749</v>
      </c>
      <c r="F34" s="19">
        <v>0.54297884118737738</v>
      </c>
      <c r="G34" s="17">
        <v>0.10359205755502179</v>
      </c>
      <c r="H34" s="20">
        <v>0</v>
      </c>
      <c r="I34" s="21">
        <v>32720</v>
      </c>
      <c r="J34" s="21">
        <v>44925</v>
      </c>
    </row>
    <row r="35" spans="1:10" ht="17" customHeight="1" x14ac:dyDescent="0.2">
      <c r="A35" s="29" t="s">
        <v>91</v>
      </c>
      <c r="B35" s="30">
        <v>1.0324018166474019E-2</v>
      </c>
      <c r="C35" s="31">
        <v>6.0402182003979593E-2</v>
      </c>
      <c r="D35" s="32">
        <v>0.11048034584148519</v>
      </c>
      <c r="E35" s="31">
        <v>0.14614645332248091</v>
      </c>
      <c r="F35" s="33">
        <v>0.41329899310453039</v>
      </c>
      <c r="G35" s="31">
        <v>8.5402182003979588E-2</v>
      </c>
      <c r="H35" s="34">
        <v>0</v>
      </c>
      <c r="I35" s="35">
        <v>36189</v>
      </c>
      <c r="J35" s="35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6"/>
      <c r="B1" s="36" t="s">
        <v>92</v>
      </c>
      <c r="C1" s="36" t="s">
        <v>92</v>
      </c>
      <c r="D1" s="36" t="s">
        <v>92</v>
      </c>
      <c r="E1" s="36" t="s">
        <v>92</v>
      </c>
      <c r="F1" s="36" t="s">
        <v>93</v>
      </c>
      <c r="G1" s="36" t="s">
        <v>93</v>
      </c>
      <c r="H1" s="36" t="s">
        <v>93</v>
      </c>
      <c r="I1" s="36" t="s">
        <v>93</v>
      </c>
      <c r="J1" s="36" t="s">
        <v>94</v>
      </c>
      <c r="K1" s="36" t="s">
        <v>94</v>
      </c>
      <c r="L1" s="36" t="s">
        <v>94</v>
      </c>
      <c r="M1" s="36" t="s">
        <v>94</v>
      </c>
      <c r="N1" s="36" t="s">
        <v>95</v>
      </c>
      <c r="O1" s="36" t="s">
        <v>95</v>
      </c>
      <c r="P1" s="36" t="s">
        <v>95</v>
      </c>
      <c r="Q1" s="36" t="s">
        <v>95</v>
      </c>
    </row>
    <row r="2" spans="1:17" x14ac:dyDescent="0.2">
      <c r="A2" s="36"/>
      <c r="B2" s="36" t="s">
        <v>96</v>
      </c>
      <c r="C2" s="36" t="s">
        <v>97</v>
      </c>
      <c r="D2" s="36" t="s">
        <v>98</v>
      </c>
      <c r="E2" s="36" t="s">
        <v>99</v>
      </c>
      <c r="F2" s="36" t="s">
        <v>96</v>
      </c>
      <c r="G2" s="36" t="s">
        <v>97</v>
      </c>
      <c r="H2" s="36" t="s">
        <v>98</v>
      </c>
      <c r="I2" s="36" t="s">
        <v>99</v>
      </c>
      <c r="J2" s="36" t="s">
        <v>96</v>
      </c>
      <c r="K2" s="36" t="s">
        <v>97</v>
      </c>
      <c r="L2" s="36" t="s">
        <v>98</v>
      </c>
      <c r="M2" s="36" t="s">
        <v>99</v>
      </c>
      <c r="N2" s="36" t="s">
        <v>96</v>
      </c>
      <c r="O2" s="36" t="s">
        <v>97</v>
      </c>
      <c r="P2" s="36" t="s">
        <v>98</v>
      </c>
      <c r="Q2" s="36" t="s">
        <v>99</v>
      </c>
    </row>
    <row r="3" spans="1:17" x14ac:dyDescent="0.2">
      <c r="A3" s="36">
        <v>0</v>
      </c>
      <c r="B3" s="36">
        <v>100</v>
      </c>
      <c r="C3" s="36">
        <v>100</v>
      </c>
      <c r="D3" s="36">
        <v>100</v>
      </c>
      <c r="E3" s="36">
        <v>100</v>
      </c>
      <c r="F3" s="36">
        <v>100</v>
      </c>
      <c r="G3" s="36">
        <v>100</v>
      </c>
      <c r="H3" s="36">
        <v>100</v>
      </c>
      <c r="I3" s="36">
        <v>100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</row>
    <row r="4" spans="1:17" x14ac:dyDescent="0.2">
      <c r="A4" s="36">
        <v>1</v>
      </c>
      <c r="B4" s="36">
        <v>89.456903357182568</v>
      </c>
      <c r="C4" s="36">
        <v>97.025265613165288</v>
      </c>
      <c r="D4" s="36">
        <v>106.3967716051538</v>
      </c>
      <c r="E4" s="36">
        <v>115.1468750861214</v>
      </c>
      <c r="F4" s="36">
        <v>86.70380523586735</v>
      </c>
      <c r="G4" s="36">
        <v>94.656688850760474</v>
      </c>
      <c r="H4" s="36">
        <v>104.0428106961856</v>
      </c>
      <c r="I4" s="36">
        <v>112.7577902260052</v>
      </c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6">
        <v>0</v>
      </c>
      <c r="Q4" s="36">
        <v>0</v>
      </c>
    </row>
    <row r="5" spans="1:17" x14ac:dyDescent="0.2">
      <c r="A5" s="36">
        <v>2</v>
      </c>
      <c r="B5" s="36">
        <v>89.980738266643627</v>
      </c>
      <c r="C5" s="36">
        <v>99.192368947115298</v>
      </c>
      <c r="D5" s="36">
        <v>111.90510917957231</v>
      </c>
      <c r="E5" s="36">
        <v>125.37894161320349</v>
      </c>
      <c r="F5" s="36">
        <v>85.100894859473641</v>
      </c>
      <c r="G5" s="36">
        <v>94.400289959351397</v>
      </c>
      <c r="H5" s="36">
        <v>106.9281453903247</v>
      </c>
      <c r="I5" s="36">
        <v>120.0687988303105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</row>
    <row r="6" spans="1:17" x14ac:dyDescent="0.2">
      <c r="A6" s="36">
        <v>3</v>
      </c>
      <c r="B6" s="36">
        <v>90.8898661257616</v>
      </c>
      <c r="C6" s="36">
        <v>102.4088840698504</v>
      </c>
      <c r="D6" s="36">
        <v>117.8612498854892</v>
      </c>
      <c r="E6" s="36">
        <v>134.9170317398123</v>
      </c>
      <c r="F6" s="36">
        <v>84.218811499977932</v>
      </c>
      <c r="G6" s="36">
        <v>95.332301272175343</v>
      </c>
      <c r="H6" s="36">
        <v>110.172532673408</v>
      </c>
      <c r="I6" s="36">
        <v>126.4571433231085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</row>
    <row r="7" spans="1:17" x14ac:dyDescent="0.2">
      <c r="A7" s="36">
        <v>4</v>
      </c>
      <c r="B7" s="36">
        <v>90.42786853539711</v>
      </c>
      <c r="C7" s="36">
        <v>105.398121567084</v>
      </c>
      <c r="D7" s="36">
        <v>124.98892317916609</v>
      </c>
      <c r="E7" s="36">
        <v>147.082820183048</v>
      </c>
      <c r="F7" s="36">
        <v>82.13829188916705</v>
      </c>
      <c r="G7" s="36">
        <v>96.009494279172088</v>
      </c>
      <c r="H7" s="36">
        <v>114.3523511006908</v>
      </c>
      <c r="I7" s="36">
        <v>134.9815228122057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</row>
    <row r="8" spans="1:17" x14ac:dyDescent="0.2">
      <c r="A8" s="36">
        <v>5</v>
      </c>
      <c r="B8" s="36">
        <v>91.369198231432648</v>
      </c>
      <c r="C8" s="36">
        <v>109.1866393454906</v>
      </c>
      <c r="D8" s="36">
        <v>132.898534851976</v>
      </c>
      <c r="E8" s="36">
        <v>159.97581582226579</v>
      </c>
      <c r="F8" s="36">
        <v>81.549877876853301</v>
      </c>
      <c r="G8" s="36">
        <v>97.32633481900659</v>
      </c>
      <c r="H8" s="36">
        <v>118.94104161299239</v>
      </c>
      <c r="I8" s="36">
        <v>143.81494842674709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</row>
    <row r="9" spans="1:17" x14ac:dyDescent="0.2">
      <c r="A9" s="36">
        <v>6</v>
      </c>
      <c r="B9" s="36">
        <v>92.173075244339728</v>
      </c>
      <c r="C9" s="36">
        <v>113.09197920309791</v>
      </c>
      <c r="D9" s="36">
        <v>140.7688812629919</v>
      </c>
      <c r="E9" s="36">
        <v>172.9234416891949</v>
      </c>
      <c r="F9" s="36">
        <v>80.40280160608043</v>
      </c>
      <c r="G9" s="36">
        <v>98.598670542218926</v>
      </c>
      <c r="H9" s="36">
        <v>123.44725259105221</v>
      </c>
      <c r="I9" s="36">
        <v>152.12768802624149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</row>
    <row r="10" spans="1:17" x14ac:dyDescent="0.2">
      <c r="A10" s="36">
        <v>7</v>
      </c>
      <c r="B10" s="36">
        <v>91.064145706205579</v>
      </c>
      <c r="C10" s="36">
        <v>116.0626830575069</v>
      </c>
      <c r="D10" s="36">
        <v>149.36102878932289</v>
      </c>
      <c r="E10" s="36">
        <v>187.42408538105241</v>
      </c>
      <c r="F10" s="36">
        <v>78.25787929641443</v>
      </c>
      <c r="G10" s="36">
        <v>99.337505925042677</v>
      </c>
      <c r="H10" s="36">
        <v>128.2246174574569</v>
      </c>
      <c r="I10" s="36">
        <v>161.49801238406221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</row>
    <row r="11" spans="1:17" x14ac:dyDescent="0.2">
      <c r="A11" s="36">
        <v>8</v>
      </c>
      <c r="B11" s="36">
        <v>92.498179650755802</v>
      </c>
      <c r="C11" s="36">
        <v>119.33159211006409</v>
      </c>
      <c r="D11" s="36">
        <v>158.2136613573862</v>
      </c>
      <c r="E11" s="36">
        <v>202.8969653662061</v>
      </c>
      <c r="F11" s="36">
        <v>77.685825880984837</v>
      </c>
      <c r="G11" s="36">
        <v>100.2398836893494</v>
      </c>
      <c r="H11" s="36">
        <v>133.08611384272001</v>
      </c>
      <c r="I11" s="36">
        <v>171.48035918072711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</row>
    <row r="12" spans="1:17" x14ac:dyDescent="0.2">
      <c r="A12" s="36">
        <v>9</v>
      </c>
      <c r="B12" s="36">
        <v>91.512380784642389</v>
      </c>
      <c r="C12" s="36">
        <v>122.4295446271361</v>
      </c>
      <c r="D12" s="36">
        <v>166.8426238446261</v>
      </c>
      <c r="E12" s="36">
        <v>219.07229317005891</v>
      </c>
      <c r="F12" s="36">
        <v>76.198094733240652</v>
      </c>
      <c r="G12" s="36">
        <v>100.9225431869304</v>
      </c>
      <c r="H12" s="36">
        <v>137.65238528149089</v>
      </c>
      <c r="I12" s="36">
        <v>181.19234999553399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</row>
    <row r="13" spans="1:17" x14ac:dyDescent="0.2">
      <c r="A13" s="36">
        <v>10</v>
      </c>
      <c r="B13" s="36">
        <v>92.934747749398539</v>
      </c>
      <c r="C13" s="36">
        <v>126.25256184610031</v>
      </c>
      <c r="D13" s="36">
        <v>175.8287661816199</v>
      </c>
      <c r="E13" s="36">
        <v>235.5684906843498</v>
      </c>
      <c r="F13" s="36">
        <v>75.423080243046371</v>
      </c>
      <c r="G13" s="36">
        <v>101.92611202814849</v>
      </c>
      <c r="H13" s="36">
        <v>141.9303377299826</v>
      </c>
      <c r="I13" s="36">
        <v>191.00776799537371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</row>
    <row r="14" spans="1:17" x14ac:dyDescent="0.2">
      <c r="A14" s="36">
        <v>11</v>
      </c>
      <c r="B14" s="36">
        <v>93.814016252111855</v>
      </c>
      <c r="C14" s="36">
        <v>129.33699057122999</v>
      </c>
      <c r="D14" s="36">
        <v>185.18393079225339</v>
      </c>
      <c r="E14" s="36">
        <v>253.54931883777991</v>
      </c>
      <c r="F14" s="36">
        <v>75.678130435135131</v>
      </c>
      <c r="G14" s="36">
        <v>102.6938700582825</v>
      </c>
      <c r="H14" s="36">
        <v>146.89472652466119</v>
      </c>
      <c r="I14" s="36">
        <v>201.21541603913079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</row>
    <row r="15" spans="1:17" x14ac:dyDescent="0.2">
      <c r="A15" s="36">
        <v>12</v>
      </c>
      <c r="B15" s="36">
        <v>95.92752207205757</v>
      </c>
      <c r="C15" s="36">
        <v>133.53381482939361</v>
      </c>
      <c r="D15" s="36">
        <v>194.80417584260289</v>
      </c>
      <c r="E15" s="36">
        <v>273.48578434558391</v>
      </c>
      <c r="F15" s="36">
        <v>75.064350566601632</v>
      </c>
      <c r="G15" s="36">
        <v>103.8231447508433</v>
      </c>
      <c r="H15" s="36">
        <v>151.2647476460927</v>
      </c>
      <c r="I15" s="36">
        <v>212.8758606443985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</row>
    <row r="16" spans="1:17" x14ac:dyDescent="0.2">
      <c r="A16" s="36">
        <v>13</v>
      </c>
      <c r="B16" s="36">
        <v>97.112830179337351</v>
      </c>
      <c r="C16" s="36">
        <v>137.38246120196499</v>
      </c>
      <c r="D16" s="36">
        <v>204.20383875683149</v>
      </c>
      <c r="E16" s="36">
        <v>293.87272469413108</v>
      </c>
      <c r="F16" s="36">
        <v>74.024301538455532</v>
      </c>
      <c r="G16" s="36">
        <v>104.99812825737681</v>
      </c>
      <c r="H16" s="36">
        <v>156.01683448409241</v>
      </c>
      <c r="I16" s="36">
        <v>223.60113739748229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</row>
    <row r="17" spans="1:17" x14ac:dyDescent="0.2">
      <c r="A17" s="36">
        <v>14</v>
      </c>
      <c r="B17" s="36">
        <v>98.468382394765342</v>
      </c>
      <c r="C17" s="36">
        <v>142.37204958074079</v>
      </c>
      <c r="D17" s="36">
        <v>215.6296724950476</v>
      </c>
      <c r="E17" s="36">
        <v>314.9033622075309</v>
      </c>
      <c r="F17" s="36">
        <v>74.633923165407225</v>
      </c>
      <c r="G17" s="36">
        <v>106.68681910779129</v>
      </c>
      <c r="H17" s="36">
        <v>161.2031090108153</v>
      </c>
      <c r="I17" s="36">
        <v>235.23014222444101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</row>
    <row r="18" spans="1:17" x14ac:dyDescent="0.2">
      <c r="A18" s="36">
        <v>15</v>
      </c>
      <c r="B18" s="36">
        <v>99.308266105457449</v>
      </c>
      <c r="C18" s="36">
        <v>146.59654335179761</v>
      </c>
      <c r="D18" s="36">
        <v>226.1906998647797</v>
      </c>
      <c r="E18" s="36">
        <v>338.17804620613862</v>
      </c>
      <c r="F18" s="36">
        <v>74.182997099231969</v>
      </c>
      <c r="G18" s="36">
        <v>108.1823758828707</v>
      </c>
      <c r="H18" s="36">
        <v>165.70740200275449</v>
      </c>
      <c r="I18" s="36">
        <v>247.3015784953663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</row>
    <row r="19" spans="1:17" x14ac:dyDescent="0.2">
      <c r="A19" s="36">
        <v>16</v>
      </c>
      <c r="B19" s="36">
        <v>100.8967731299779</v>
      </c>
      <c r="C19" s="36">
        <v>151.4291687475654</v>
      </c>
      <c r="D19" s="36">
        <v>237.695043221585</v>
      </c>
      <c r="E19" s="36">
        <v>362.59622389555551</v>
      </c>
      <c r="F19" s="36">
        <v>73.312668878138098</v>
      </c>
      <c r="G19" s="36">
        <v>109.6351805549494</v>
      </c>
      <c r="H19" s="36">
        <v>170.96418675985419</v>
      </c>
      <c r="I19" s="36">
        <v>259.80425289121058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</row>
    <row r="20" spans="1:17" x14ac:dyDescent="0.2">
      <c r="A20" s="36">
        <v>17</v>
      </c>
      <c r="B20" s="36">
        <v>103.00293094916751</v>
      </c>
      <c r="C20" s="36">
        <v>156.48495492891101</v>
      </c>
      <c r="D20" s="36">
        <v>249.60345768630489</v>
      </c>
      <c r="E20" s="36">
        <v>390.14871332644481</v>
      </c>
      <c r="F20" s="36">
        <v>73.94485093469126</v>
      </c>
      <c r="G20" s="36">
        <v>110.85121285783841</v>
      </c>
      <c r="H20" s="36">
        <v>176.09562331023659</v>
      </c>
      <c r="I20" s="36">
        <v>272.99269968346641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</row>
    <row r="21" spans="1:17" x14ac:dyDescent="0.2">
      <c r="A21" s="36">
        <v>18</v>
      </c>
      <c r="B21" s="36">
        <v>105.1794933587548</v>
      </c>
      <c r="C21" s="36">
        <v>161.88677722153639</v>
      </c>
      <c r="D21" s="36">
        <v>263.31841545216491</v>
      </c>
      <c r="E21" s="36">
        <v>418.65926805038453</v>
      </c>
      <c r="F21" s="36">
        <v>74.576581864937339</v>
      </c>
      <c r="G21" s="36">
        <v>112.4313657577416</v>
      </c>
      <c r="H21" s="36">
        <v>181.90767396690319</v>
      </c>
      <c r="I21" s="36">
        <v>287.57515692195602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</row>
    <row r="22" spans="1:17" x14ac:dyDescent="0.2">
      <c r="A22" s="36">
        <v>19</v>
      </c>
      <c r="B22" s="36">
        <v>107.9186017702071</v>
      </c>
      <c r="C22" s="36">
        <v>167.6515969034825</v>
      </c>
      <c r="D22" s="36">
        <v>277.03201954530692</v>
      </c>
      <c r="E22" s="36">
        <v>445.76435801146158</v>
      </c>
      <c r="F22" s="36">
        <v>74.864305403667643</v>
      </c>
      <c r="G22" s="36">
        <v>113.57045695861591</v>
      </c>
      <c r="H22" s="36">
        <v>187.911553553403</v>
      </c>
      <c r="I22" s="36">
        <v>299.87145958742929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</row>
    <row r="23" spans="1:17" x14ac:dyDescent="0.2">
      <c r="A23" s="36">
        <v>20</v>
      </c>
      <c r="B23" s="36">
        <v>110.67117834453801</v>
      </c>
      <c r="C23" s="36">
        <v>173.23977525078459</v>
      </c>
      <c r="D23" s="36">
        <v>290.67048422949279</v>
      </c>
      <c r="E23" s="36">
        <v>475.19458292480039</v>
      </c>
      <c r="F23" s="36">
        <v>75.081858895213188</v>
      </c>
      <c r="G23" s="36">
        <v>115.6684166229964</v>
      </c>
      <c r="H23" s="36">
        <v>193.38003253472721</v>
      </c>
      <c r="I23" s="36">
        <v>313.2132588407361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6"/>
      <c r="B1" s="36" t="s">
        <v>92</v>
      </c>
      <c r="C1" s="36" t="s">
        <v>92</v>
      </c>
      <c r="D1" s="36" t="s">
        <v>92</v>
      </c>
      <c r="E1" s="36" t="s">
        <v>92</v>
      </c>
      <c r="F1" s="36" t="s">
        <v>93</v>
      </c>
      <c r="G1" s="36" t="s">
        <v>93</v>
      </c>
      <c r="H1" s="36" t="s">
        <v>93</v>
      </c>
      <c r="I1" s="36" t="s">
        <v>93</v>
      </c>
      <c r="J1" s="36" t="s">
        <v>94</v>
      </c>
      <c r="K1" s="36" t="s">
        <v>94</v>
      </c>
      <c r="L1" s="36" t="s">
        <v>94</v>
      </c>
      <c r="M1" s="36" t="s">
        <v>94</v>
      </c>
      <c r="N1" s="36" t="s">
        <v>95</v>
      </c>
      <c r="O1" s="36" t="s">
        <v>95</v>
      </c>
      <c r="P1" s="36" t="s">
        <v>95</v>
      </c>
      <c r="Q1" s="36" t="s">
        <v>95</v>
      </c>
    </row>
    <row r="2" spans="1:17" x14ac:dyDescent="0.2">
      <c r="A2" s="36"/>
      <c r="B2" s="36" t="s">
        <v>96</v>
      </c>
      <c r="C2" s="36" t="s">
        <v>97</v>
      </c>
      <c r="D2" s="36" t="s">
        <v>98</v>
      </c>
      <c r="E2" s="36" t="s">
        <v>99</v>
      </c>
      <c r="F2" s="36" t="s">
        <v>96</v>
      </c>
      <c r="G2" s="36" t="s">
        <v>97</v>
      </c>
      <c r="H2" s="36" t="s">
        <v>98</v>
      </c>
      <c r="I2" s="36" t="s">
        <v>99</v>
      </c>
      <c r="J2" s="36" t="s">
        <v>96</v>
      </c>
      <c r="K2" s="36" t="s">
        <v>97</v>
      </c>
      <c r="L2" s="36" t="s">
        <v>98</v>
      </c>
      <c r="M2" s="36" t="s">
        <v>99</v>
      </c>
      <c r="N2" s="36" t="s">
        <v>96</v>
      </c>
      <c r="O2" s="36" t="s">
        <v>97</v>
      </c>
      <c r="P2" s="36" t="s">
        <v>98</v>
      </c>
      <c r="Q2" s="36" t="s">
        <v>99</v>
      </c>
    </row>
    <row r="3" spans="1:17" x14ac:dyDescent="0.2">
      <c r="A3" s="36">
        <v>0</v>
      </c>
      <c r="B3" s="36">
        <v>100</v>
      </c>
      <c r="C3" s="36">
        <v>100</v>
      </c>
      <c r="D3" s="36">
        <v>100</v>
      </c>
      <c r="E3" s="36">
        <v>100</v>
      </c>
      <c r="F3" s="36">
        <v>100</v>
      </c>
      <c r="G3" s="36">
        <v>100</v>
      </c>
      <c r="H3" s="36">
        <v>100</v>
      </c>
      <c r="I3" s="36">
        <v>100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</row>
    <row r="4" spans="1:17" x14ac:dyDescent="0.2">
      <c r="A4" s="36">
        <v>1</v>
      </c>
      <c r="B4" s="36">
        <v>88.395825866687616</v>
      </c>
      <c r="C4" s="36">
        <v>98.183920179148217</v>
      </c>
      <c r="D4" s="36">
        <v>108.5654827291106</v>
      </c>
      <c r="E4" s="36">
        <v>118.70027912192241</v>
      </c>
      <c r="F4" s="36">
        <v>85.428216426504562</v>
      </c>
      <c r="G4" s="36">
        <v>95.75488197789295</v>
      </c>
      <c r="H4" s="36">
        <v>106.20391224793249</v>
      </c>
      <c r="I4" s="36">
        <v>116.3967976302704</v>
      </c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6">
        <v>0</v>
      </c>
      <c r="Q4" s="36">
        <v>0</v>
      </c>
    </row>
    <row r="5" spans="1:17" x14ac:dyDescent="0.2">
      <c r="A5" s="36">
        <v>2</v>
      </c>
      <c r="B5" s="36">
        <v>90.612222942703696</v>
      </c>
      <c r="C5" s="36">
        <v>101.6419372523609</v>
      </c>
      <c r="D5" s="36">
        <v>116.849047857608</v>
      </c>
      <c r="E5" s="36">
        <v>131.7153257616406</v>
      </c>
      <c r="F5" s="36">
        <v>85.302592042284843</v>
      </c>
      <c r="G5" s="36">
        <v>96.59768575780177</v>
      </c>
      <c r="H5" s="36">
        <v>111.6516638155625</v>
      </c>
      <c r="I5" s="36">
        <v>126.32695611170929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</row>
    <row r="6" spans="1:17" x14ac:dyDescent="0.2">
      <c r="A6" s="36">
        <v>3</v>
      </c>
      <c r="B6" s="36">
        <v>92.828179511684311</v>
      </c>
      <c r="C6" s="36">
        <v>107.00148787432521</v>
      </c>
      <c r="D6" s="36">
        <v>125.2590202544512</v>
      </c>
      <c r="E6" s="36">
        <v>144.91901183006371</v>
      </c>
      <c r="F6" s="36">
        <v>85.507992973020606</v>
      </c>
      <c r="G6" s="36">
        <v>99.469043630938742</v>
      </c>
      <c r="H6" s="36">
        <v>117.18949728768941</v>
      </c>
      <c r="I6" s="36">
        <v>136.1107021790877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</row>
    <row r="7" spans="1:17" x14ac:dyDescent="0.2">
      <c r="A7" s="36">
        <v>4</v>
      </c>
      <c r="B7" s="36">
        <v>93.657170812766068</v>
      </c>
      <c r="C7" s="36">
        <v>111.4440042293125</v>
      </c>
      <c r="D7" s="36">
        <v>135.00304876822321</v>
      </c>
      <c r="E7" s="36">
        <v>160.86234409344411</v>
      </c>
      <c r="F7" s="36">
        <v>84.868928251217127</v>
      </c>
      <c r="G7" s="36">
        <v>101.2406351563146</v>
      </c>
      <c r="H7" s="36">
        <v>123.6146823148963</v>
      </c>
      <c r="I7" s="36">
        <v>148.09836229204629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</row>
    <row r="8" spans="1:17" x14ac:dyDescent="0.2">
      <c r="A8" s="36">
        <v>5</v>
      </c>
      <c r="B8" s="36">
        <v>96.502666267248671</v>
      </c>
      <c r="C8" s="36">
        <v>117.2818603934694</v>
      </c>
      <c r="D8" s="36">
        <v>145.84162068794859</v>
      </c>
      <c r="E8" s="36">
        <v>178.04857106731569</v>
      </c>
      <c r="F8" s="36">
        <v>85.257343037205274</v>
      </c>
      <c r="G8" s="36">
        <v>104.29285870918309</v>
      </c>
      <c r="H8" s="36">
        <v>130.5539478096683</v>
      </c>
      <c r="I8" s="36">
        <v>160.35788662183799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</row>
    <row r="9" spans="1:17" x14ac:dyDescent="0.2">
      <c r="A9" s="36">
        <v>6</v>
      </c>
      <c r="B9" s="36">
        <v>99.065982854022408</v>
      </c>
      <c r="C9" s="36">
        <v>123.470098155475</v>
      </c>
      <c r="D9" s="36">
        <v>156.981125818957</v>
      </c>
      <c r="E9" s="36">
        <v>195.52019802063981</v>
      </c>
      <c r="F9" s="36">
        <v>86.226814440079181</v>
      </c>
      <c r="G9" s="36">
        <v>107.30252480480119</v>
      </c>
      <c r="H9" s="36">
        <v>137.59897556405181</v>
      </c>
      <c r="I9" s="36">
        <v>172.59745994001861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</row>
    <row r="10" spans="1:17" x14ac:dyDescent="0.2">
      <c r="A10" s="36">
        <v>7</v>
      </c>
      <c r="B10" s="36">
        <v>98.55697070877747</v>
      </c>
      <c r="C10" s="36">
        <v>128.30662524691411</v>
      </c>
      <c r="D10" s="36">
        <v>168.45594234543961</v>
      </c>
      <c r="E10" s="36">
        <v>215.41920702263559</v>
      </c>
      <c r="F10" s="36">
        <v>84.638840287565884</v>
      </c>
      <c r="G10" s="36">
        <v>109.5756374336509</v>
      </c>
      <c r="H10" s="36">
        <v>144.54174842968001</v>
      </c>
      <c r="I10" s="36">
        <v>186.00819178424561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</row>
    <row r="11" spans="1:17" x14ac:dyDescent="0.2">
      <c r="A11" s="36">
        <v>8</v>
      </c>
      <c r="B11" s="36">
        <v>100.6922474893705</v>
      </c>
      <c r="C11" s="36">
        <v>133.61079413170501</v>
      </c>
      <c r="D11" s="36">
        <v>180.58200563320261</v>
      </c>
      <c r="E11" s="36">
        <v>236.28041083580709</v>
      </c>
      <c r="F11" s="36">
        <v>84.433849353462804</v>
      </c>
      <c r="G11" s="36">
        <v>111.7581493851248</v>
      </c>
      <c r="H11" s="36">
        <v>151.9401651337985</v>
      </c>
      <c r="I11" s="36">
        <v>200.0721361710755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</row>
    <row r="12" spans="1:17" x14ac:dyDescent="0.2">
      <c r="A12" s="36">
        <v>9</v>
      </c>
      <c r="B12" s="36">
        <v>101.2909616592777</v>
      </c>
      <c r="C12" s="36">
        <v>138.54935419292659</v>
      </c>
      <c r="D12" s="36">
        <v>192.5524137728415</v>
      </c>
      <c r="E12" s="36">
        <v>258.44390395509771</v>
      </c>
      <c r="F12" s="36">
        <v>83.829293061340181</v>
      </c>
      <c r="G12" s="36">
        <v>113.4724669046678</v>
      </c>
      <c r="H12" s="36">
        <v>158.8462020998937</v>
      </c>
      <c r="I12" s="36">
        <v>215.32463265149761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</row>
    <row r="13" spans="1:17" x14ac:dyDescent="0.2">
      <c r="A13" s="36">
        <v>10</v>
      </c>
      <c r="B13" s="36">
        <v>103.3608721008021</v>
      </c>
      <c r="C13" s="36">
        <v>144.44916571909761</v>
      </c>
      <c r="D13" s="36">
        <v>205.5835469833784</v>
      </c>
      <c r="E13" s="36">
        <v>282.27792570269042</v>
      </c>
      <c r="F13" s="36">
        <v>83.846008636958857</v>
      </c>
      <c r="G13" s="36">
        <v>116.4226177573311</v>
      </c>
      <c r="H13" s="36">
        <v>166.01615649619299</v>
      </c>
      <c r="I13" s="36">
        <v>230.04786569108589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</row>
    <row r="14" spans="1:17" x14ac:dyDescent="0.2">
      <c r="A14" s="36">
        <v>11</v>
      </c>
      <c r="B14" s="36">
        <v>105.85523552577369</v>
      </c>
      <c r="C14" s="36">
        <v>150.59382300603451</v>
      </c>
      <c r="D14" s="36">
        <v>219.2749910252486</v>
      </c>
      <c r="E14" s="36">
        <v>306.9357482721939</v>
      </c>
      <c r="F14" s="36">
        <v>84.285129405715907</v>
      </c>
      <c r="G14" s="36">
        <v>118.9010833723608</v>
      </c>
      <c r="H14" s="36">
        <v>173.5213657383222</v>
      </c>
      <c r="I14" s="36">
        <v>244.98122161684969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</row>
    <row r="15" spans="1:17" x14ac:dyDescent="0.2">
      <c r="A15" s="36">
        <v>12</v>
      </c>
      <c r="B15" s="36">
        <v>109.4399230810687</v>
      </c>
      <c r="C15" s="36">
        <v>157.29187577906089</v>
      </c>
      <c r="D15" s="36">
        <v>232.76674308761901</v>
      </c>
      <c r="E15" s="36">
        <v>335.95393038136763</v>
      </c>
      <c r="F15" s="36">
        <v>84.993047231799608</v>
      </c>
      <c r="G15" s="36">
        <v>121.66529590440651</v>
      </c>
      <c r="H15" s="36">
        <v>180.9900308562984</v>
      </c>
      <c r="I15" s="36">
        <v>262.49414689484581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</row>
    <row r="16" spans="1:17" x14ac:dyDescent="0.2">
      <c r="A16" s="36">
        <v>13</v>
      </c>
      <c r="B16" s="36">
        <v>111.8431271478715</v>
      </c>
      <c r="C16" s="36">
        <v>163.50969957673931</v>
      </c>
      <c r="D16" s="36">
        <v>248.17850863618349</v>
      </c>
      <c r="E16" s="36">
        <v>363.71451865261378</v>
      </c>
      <c r="F16" s="36">
        <v>85.43516490458812</v>
      </c>
      <c r="G16" s="36">
        <v>124.2277350388336</v>
      </c>
      <c r="H16" s="36">
        <v>189.23265479970809</v>
      </c>
      <c r="I16" s="36">
        <v>278.48423724481393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</row>
    <row r="17" spans="1:17" x14ac:dyDescent="0.2">
      <c r="A17" s="36">
        <v>14</v>
      </c>
      <c r="B17" s="36">
        <v>114.64645581759009</v>
      </c>
      <c r="C17" s="36">
        <v>171.25536807257029</v>
      </c>
      <c r="D17" s="36">
        <v>264.69867170026282</v>
      </c>
      <c r="E17" s="36">
        <v>396.09048286721429</v>
      </c>
      <c r="F17" s="36">
        <v>86.388424069471952</v>
      </c>
      <c r="G17" s="36">
        <v>127.6362453253671</v>
      </c>
      <c r="H17" s="36">
        <v>197.6394358415161</v>
      </c>
      <c r="I17" s="36">
        <v>297.33566602053031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</row>
    <row r="18" spans="1:17" x14ac:dyDescent="0.2">
      <c r="A18" s="36">
        <v>15</v>
      </c>
      <c r="B18" s="36">
        <v>117.72898840789119</v>
      </c>
      <c r="C18" s="36">
        <v>178.57293815388721</v>
      </c>
      <c r="D18" s="36">
        <v>281.37234261690332</v>
      </c>
      <c r="E18" s="36">
        <v>431.13709961975297</v>
      </c>
      <c r="F18" s="36">
        <v>87.225905538620069</v>
      </c>
      <c r="G18" s="36">
        <v>130.57763041210799</v>
      </c>
      <c r="H18" s="36">
        <v>205.88751004065429</v>
      </c>
      <c r="I18" s="36">
        <v>317.37277114693438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</row>
    <row r="19" spans="1:17" x14ac:dyDescent="0.2">
      <c r="A19" s="36">
        <v>16</v>
      </c>
      <c r="B19" s="36">
        <v>120.0436767790813</v>
      </c>
      <c r="C19" s="36">
        <v>186.68614850971491</v>
      </c>
      <c r="D19" s="36">
        <v>298.81260473088298</v>
      </c>
      <c r="E19" s="36">
        <v>468.03625063402939</v>
      </c>
      <c r="F19" s="36">
        <v>87.368648561195968</v>
      </c>
      <c r="G19" s="36">
        <v>133.9905553729705</v>
      </c>
      <c r="H19" s="36">
        <v>215.06915534604801</v>
      </c>
      <c r="I19" s="36">
        <v>336.59136658593002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</row>
    <row r="20" spans="1:17" x14ac:dyDescent="0.2">
      <c r="A20" s="36">
        <v>17</v>
      </c>
      <c r="B20" s="36">
        <v>125.6004478222529</v>
      </c>
      <c r="C20" s="36">
        <v>195.51534993285739</v>
      </c>
      <c r="D20" s="36">
        <v>317.90691789111781</v>
      </c>
      <c r="E20" s="36">
        <v>508.11304292604638</v>
      </c>
      <c r="F20" s="36">
        <v>89.872115491059063</v>
      </c>
      <c r="G20" s="36">
        <v>137.18440939625361</v>
      </c>
      <c r="H20" s="36">
        <v>224.27440473099031</v>
      </c>
      <c r="I20" s="36">
        <v>358.21452301170382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</row>
    <row r="21" spans="1:17" x14ac:dyDescent="0.2">
      <c r="A21" s="36">
        <v>18</v>
      </c>
      <c r="B21" s="36">
        <v>130.83417242913779</v>
      </c>
      <c r="C21" s="36">
        <v>204.29710725313259</v>
      </c>
      <c r="D21" s="36">
        <v>339.60280874217159</v>
      </c>
      <c r="E21" s="36">
        <v>550.62944495106012</v>
      </c>
      <c r="F21" s="36">
        <v>91.445325719261803</v>
      </c>
      <c r="G21" s="36">
        <v>140.90878389561979</v>
      </c>
      <c r="H21" s="36">
        <v>234.74365079195869</v>
      </c>
      <c r="I21" s="36">
        <v>380.2363357688958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</row>
    <row r="22" spans="1:17" x14ac:dyDescent="0.2">
      <c r="A22" s="36">
        <v>19</v>
      </c>
      <c r="B22" s="36">
        <v>135.00670699582079</v>
      </c>
      <c r="C22" s="36">
        <v>213.12406098115389</v>
      </c>
      <c r="D22" s="36">
        <v>361.77461349839621</v>
      </c>
      <c r="E22" s="36">
        <v>594.67520300912952</v>
      </c>
      <c r="F22" s="36">
        <v>92.790861048562562</v>
      </c>
      <c r="G22" s="36">
        <v>144.04437341803671</v>
      </c>
      <c r="H22" s="36">
        <v>245.6351084778284</v>
      </c>
      <c r="I22" s="36">
        <v>401.55383834512247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</row>
    <row r="23" spans="1:17" x14ac:dyDescent="0.2">
      <c r="A23" s="36">
        <v>20</v>
      </c>
      <c r="B23" s="36">
        <v>139.68948804228219</v>
      </c>
      <c r="C23" s="36">
        <v>223.0761362291357</v>
      </c>
      <c r="D23" s="36">
        <v>385.93233443719851</v>
      </c>
      <c r="E23" s="36">
        <v>642.6390445670396</v>
      </c>
      <c r="F23" s="36">
        <v>94.700000762043288</v>
      </c>
      <c r="G23" s="36">
        <v>148.2876273945065</v>
      </c>
      <c r="H23" s="36">
        <v>256.99831751884602</v>
      </c>
      <c r="I23" s="36">
        <v>426.53877775542639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6"/>
      <c r="B1" s="36" t="s">
        <v>92</v>
      </c>
      <c r="C1" s="36" t="s">
        <v>92</v>
      </c>
      <c r="D1" s="36" t="s">
        <v>92</v>
      </c>
      <c r="E1" s="36" t="s">
        <v>92</v>
      </c>
      <c r="F1" s="36" t="s">
        <v>93</v>
      </c>
      <c r="G1" s="36" t="s">
        <v>93</v>
      </c>
      <c r="H1" s="36" t="s">
        <v>93</v>
      </c>
      <c r="I1" s="36" t="s">
        <v>93</v>
      </c>
      <c r="J1" s="36" t="s">
        <v>94</v>
      </c>
      <c r="K1" s="36" t="s">
        <v>94</v>
      </c>
      <c r="L1" s="36" t="s">
        <v>94</v>
      </c>
      <c r="M1" s="36" t="s">
        <v>94</v>
      </c>
      <c r="N1" s="36" t="s">
        <v>95</v>
      </c>
      <c r="O1" s="36" t="s">
        <v>95</v>
      </c>
      <c r="P1" s="36" t="s">
        <v>95</v>
      </c>
      <c r="Q1" s="36" t="s">
        <v>95</v>
      </c>
    </row>
    <row r="2" spans="1:17" x14ac:dyDescent="0.2">
      <c r="A2" s="36"/>
      <c r="B2" s="36" t="s">
        <v>96</v>
      </c>
      <c r="C2" s="36" t="s">
        <v>97</v>
      </c>
      <c r="D2" s="36" t="s">
        <v>98</v>
      </c>
      <c r="E2" s="36" t="s">
        <v>99</v>
      </c>
      <c r="F2" s="36" t="s">
        <v>96</v>
      </c>
      <c r="G2" s="36" t="s">
        <v>97</v>
      </c>
      <c r="H2" s="36" t="s">
        <v>98</v>
      </c>
      <c r="I2" s="36" t="s">
        <v>99</v>
      </c>
      <c r="J2" s="36" t="s">
        <v>96</v>
      </c>
      <c r="K2" s="36" t="s">
        <v>97</v>
      </c>
      <c r="L2" s="36" t="s">
        <v>98</v>
      </c>
      <c r="M2" s="36" t="s">
        <v>99</v>
      </c>
      <c r="N2" s="36" t="s">
        <v>96</v>
      </c>
      <c r="O2" s="36" t="s">
        <v>97</v>
      </c>
      <c r="P2" s="36" t="s">
        <v>98</v>
      </c>
      <c r="Q2" s="36" t="s">
        <v>99</v>
      </c>
    </row>
    <row r="3" spans="1:17" x14ac:dyDescent="0.2">
      <c r="A3" s="36">
        <v>0</v>
      </c>
      <c r="B3" s="36">
        <v>100</v>
      </c>
      <c r="C3" s="36">
        <v>100</v>
      </c>
      <c r="D3" s="36">
        <v>100</v>
      </c>
      <c r="E3" s="36">
        <v>100</v>
      </c>
      <c r="F3" s="36">
        <v>100</v>
      </c>
      <c r="G3" s="36">
        <v>100</v>
      </c>
      <c r="H3" s="36">
        <v>100</v>
      </c>
      <c r="I3" s="36">
        <v>100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</row>
    <row r="4" spans="1:17" x14ac:dyDescent="0.2">
      <c r="A4" s="36">
        <v>1</v>
      </c>
      <c r="B4" s="36">
        <v>87.49512432753464</v>
      </c>
      <c r="C4" s="36">
        <v>97.135930716830671</v>
      </c>
      <c r="D4" s="36">
        <v>107.9409090271501</v>
      </c>
      <c r="E4" s="36">
        <v>117.7744080426036</v>
      </c>
      <c r="F4" s="36">
        <v>84.56819316437192</v>
      </c>
      <c r="G4" s="36">
        <v>94.677545049015592</v>
      </c>
      <c r="H4" s="36">
        <v>105.6237760752021</v>
      </c>
      <c r="I4" s="36">
        <v>115.399014375947</v>
      </c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6">
        <v>0</v>
      </c>
      <c r="Q4" s="36">
        <v>0</v>
      </c>
    </row>
    <row r="5" spans="1:17" x14ac:dyDescent="0.2">
      <c r="A5" s="36">
        <v>2</v>
      </c>
      <c r="B5" s="36">
        <v>89.119002541369383</v>
      </c>
      <c r="C5" s="36">
        <v>99.818688166915479</v>
      </c>
      <c r="D5" s="36">
        <v>115.0303968416479</v>
      </c>
      <c r="E5" s="36">
        <v>130.29800394407289</v>
      </c>
      <c r="F5" s="36">
        <v>83.999540215332175</v>
      </c>
      <c r="G5" s="36">
        <v>94.940388018735973</v>
      </c>
      <c r="H5" s="36">
        <v>109.9621990755538</v>
      </c>
      <c r="I5" s="36">
        <v>124.92839857459769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</row>
    <row r="6" spans="1:17" x14ac:dyDescent="0.2">
      <c r="A6" s="36">
        <v>3</v>
      </c>
      <c r="B6" s="36">
        <v>90.405393906622237</v>
      </c>
      <c r="C6" s="36">
        <v>104.17077770053319</v>
      </c>
      <c r="D6" s="36">
        <v>122.37563956568221</v>
      </c>
      <c r="E6" s="36">
        <v>142.60466944320669</v>
      </c>
      <c r="F6" s="36">
        <v>83.325360853666041</v>
      </c>
      <c r="G6" s="36">
        <v>96.830485588572714</v>
      </c>
      <c r="H6" s="36">
        <v>114.4286246528533</v>
      </c>
      <c r="I6" s="36">
        <v>133.73844839056659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</row>
    <row r="7" spans="1:17" x14ac:dyDescent="0.2">
      <c r="A7" s="36">
        <v>4</v>
      </c>
      <c r="B7" s="36">
        <v>90.870771270808632</v>
      </c>
      <c r="C7" s="36">
        <v>108.1213044719981</v>
      </c>
      <c r="D7" s="36">
        <v>131.191673311908</v>
      </c>
      <c r="E7" s="36">
        <v>157.2978464678657</v>
      </c>
      <c r="F7" s="36">
        <v>82.073801522224599</v>
      </c>
      <c r="G7" s="36">
        <v>98.202438998950271</v>
      </c>
      <c r="H7" s="36">
        <v>120.0073838707781</v>
      </c>
      <c r="I7" s="36">
        <v>144.67536506385821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</row>
    <row r="8" spans="1:17" x14ac:dyDescent="0.2">
      <c r="A8" s="36">
        <v>5</v>
      </c>
      <c r="B8" s="36">
        <v>92.540092066853077</v>
      </c>
      <c r="C8" s="36">
        <v>112.8049096876624</v>
      </c>
      <c r="D8" s="36">
        <v>140.8931397571464</v>
      </c>
      <c r="E8" s="36">
        <v>173.15358685856339</v>
      </c>
      <c r="F8" s="36">
        <v>81.978468868713719</v>
      </c>
      <c r="G8" s="36">
        <v>100.46627596566989</v>
      </c>
      <c r="H8" s="36">
        <v>126.1508488541859</v>
      </c>
      <c r="I8" s="36">
        <v>155.88431853858771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</row>
    <row r="9" spans="1:17" x14ac:dyDescent="0.2">
      <c r="A9" s="36">
        <v>6</v>
      </c>
      <c r="B9" s="36">
        <v>94.434691854175981</v>
      </c>
      <c r="C9" s="36">
        <v>118.1241728905898</v>
      </c>
      <c r="D9" s="36">
        <v>150.76865486110549</v>
      </c>
      <c r="E9" s="36">
        <v>189.15210273331971</v>
      </c>
      <c r="F9" s="36">
        <v>82.310284115470324</v>
      </c>
      <c r="G9" s="36">
        <v>102.8652239595563</v>
      </c>
      <c r="H9" s="36">
        <v>132.27829923456619</v>
      </c>
      <c r="I9" s="36">
        <v>166.64490158411849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</row>
    <row r="10" spans="1:17" x14ac:dyDescent="0.2">
      <c r="A10" s="36">
        <v>7</v>
      </c>
      <c r="B10" s="36">
        <v>93.943054210129105</v>
      </c>
      <c r="C10" s="36">
        <v>121.9956166674274</v>
      </c>
      <c r="D10" s="36">
        <v>161.26590111218641</v>
      </c>
      <c r="E10" s="36">
        <v>207.1846576734757</v>
      </c>
      <c r="F10" s="36">
        <v>80.304840699392599</v>
      </c>
      <c r="G10" s="36">
        <v>104.2908582989261</v>
      </c>
      <c r="H10" s="36">
        <v>138.52450660241169</v>
      </c>
      <c r="I10" s="36">
        <v>178.889534562926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</row>
    <row r="11" spans="1:17" x14ac:dyDescent="0.2">
      <c r="A11" s="36">
        <v>8</v>
      </c>
      <c r="B11" s="36">
        <v>95.473582047998093</v>
      </c>
      <c r="C11" s="36">
        <v>126.7215172398876</v>
      </c>
      <c r="D11" s="36">
        <v>171.9260152324012</v>
      </c>
      <c r="E11" s="36">
        <v>226.22970845543179</v>
      </c>
      <c r="F11" s="36">
        <v>80.432947996258576</v>
      </c>
      <c r="G11" s="36">
        <v>106.1688375244365</v>
      </c>
      <c r="H11" s="36">
        <v>144.73545569896331</v>
      </c>
      <c r="I11" s="36">
        <v>191.57166959624499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</row>
    <row r="12" spans="1:17" x14ac:dyDescent="0.2">
      <c r="A12" s="36">
        <v>9</v>
      </c>
      <c r="B12" s="36">
        <v>95.670436531047713</v>
      </c>
      <c r="C12" s="36">
        <v>130.63024089099099</v>
      </c>
      <c r="D12" s="36">
        <v>183.11897882724941</v>
      </c>
      <c r="E12" s="36">
        <v>246.81122294693549</v>
      </c>
      <c r="F12" s="36">
        <v>79.024108453400359</v>
      </c>
      <c r="G12" s="36">
        <v>107.4016753544775</v>
      </c>
      <c r="H12" s="36">
        <v>150.93399340178871</v>
      </c>
      <c r="I12" s="36">
        <v>204.97993047700481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</row>
    <row r="13" spans="1:17" x14ac:dyDescent="0.2">
      <c r="A13" s="36">
        <v>10</v>
      </c>
      <c r="B13" s="36">
        <v>97.452788057914816</v>
      </c>
      <c r="C13" s="36">
        <v>136.1109742921663</v>
      </c>
      <c r="D13" s="36">
        <v>194.73333091586409</v>
      </c>
      <c r="E13" s="36">
        <v>267.6326789127869</v>
      </c>
      <c r="F13" s="36">
        <v>78.915135067207146</v>
      </c>
      <c r="G13" s="36">
        <v>109.5690804813466</v>
      </c>
      <c r="H13" s="36">
        <v>157.2816223819444</v>
      </c>
      <c r="I13" s="36">
        <v>217.60676690969839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</row>
    <row r="14" spans="1:17" x14ac:dyDescent="0.2">
      <c r="A14" s="36">
        <v>11</v>
      </c>
      <c r="B14" s="36">
        <v>99.107705283533335</v>
      </c>
      <c r="C14" s="36">
        <v>140.55888637987701</v>
      </c>
      <c r="D14" s="36">
        <v>206.60936131561911</v>
      </c>
      <c r="E14" s="36">
        <v>289.52461858137889</v>
      </c>
      <c r="F14" s="36">
        <v>79.00142284432259</v>
      </c>
      <c r="G14" s="36">
        <v>111.2825324194732</v>
      </c>
      <c r="H14" s="36">
        <v>163.53238761185651</v>
      </c>
      <c r="I14" s="36">
        <v>231.05071751833361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</row>
    <row r="15" spans="1:17" x14ac:dyDescent="0.2">
      <c r="A15" s="36">
        <v>12</v>
      </c>
      <c r="B15" s="36">
        <v>101.65882891662849</v>
      </c>
      <c r="C15" s="36">
        <v>145.9178655748141</v>
      </c>
      <c r="D15" s="36">
        <v>218.8797943943093</v>
      </c>
      <c r="E15" s="36">
        <v>315.74406999340732</v>
      </c>
      <c r="F15" s="36">
        <v>79.065618887056488</v>
      </c>
      <c r="G15" s="36">
        <v>113.1018535510449</v>
      </c>
      <c r="H15" s="36">
        <v>170.15956180091541</v>
      </c>
      <c r="I15" s="36">
        <v>246.34852696222021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</row>
    <row r="16" spans="1:17" x14ac:dyDescent="0.2">
      <c r="A16" s="36">
        <v>13</v>
      </c>
      <c r="B16" s="36">
        <v>103.1032294541358</v>
      </c>
      <c r="C16" s="36">
        <v>151.61832858781261</v>
      </c>
      <c r="D16" s="36">
        <v>232.3281184903756</v>
      </c>
      <c r="E16" s="36">
        <v>342.39354828426951</v>
      </c>
      <c r="F16" s="36">
        <v>78.840437172654475</v>
      </c>
      <c r="G16" s="36">
        <v>115.41973957783991</v>
      </c>
      <c r="H16" s="36">
        <v>177.1831080386892</v>
      </c>
      <c r="I16" s="36">
        <v>261.18089451276938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</row>
    <row r="17" spans="1:17" x14ac:dyDescent="0.2">
      <c r="A17" s="36">
        <v>14</v>
      </c>
      <c r="B17" s="36">
        <v>105.3190383760337</v>
      </c>
      <c r="C17" s="36">
        <v>157.81165311451539</v>
      </c>
      <c r="D17" s="36">
        <v>247.06350015383569</v>
      </c>
      <c r="E17" s="36">
        <v>370.41567466425761</v>
      </c>
      <c r="F17" s="36">
        <v>79.309395085858128</v>
      </c>
      <c r="G17" s="36">
        <v>117.5705118253141</v>
      </c>
      <c r="H17" s="36">
        <v>184.09870700860029</v>
      </c>
      <c r="I17" s="36">
        <v>278.54511731348771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</row>
    <row r="18" spans="1:17" x14ac:dyDescent="0.2">
      <c r="A18" s="36">
        <v>15</v>
      </c>
      <c r="B18" s="36">
        <v>107.08223361510331</v>
      </c>
      <c r="C18" s="36">
        <v>164.14996998883601</v>
      </c>
      <c r="D18" s="36">
        <v>260.81404184292489</v>
      </c>
      <c r="E18" s="36">
        <v>401.70561967602328</v>
      </c>
      <c r="F18" s="36">
        <v>79.475593335997758</v>
      </c>
      <c r="G18" s="36">
        <v>120.3841419867706</v>
      </c>
      <c r="H18" s="36">
        <v>191.24756393740259</v>
      </c>
      <c r="I18" s="36">
        <v>295.00672045566142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</row>
    <row r="19" spans="1:17" x14ac:dyDescent="0.2">
      <c r="A19" s="36">
        <v>16</v>
      </c>
      <c r="B19" s="36">
        <v>110.0811521275668</v>
      </c>
      <c r="C19" s="36">
        <v>170.84825834635151</v>
      </c>
      <c r="D19" s="36">
        <v>276.33763606271401</v>
      </c>
      <c r="E19" s="36">
        <v>433.9640832150223</v>
      </c>
      <c r="F19" s="36">
        <v>80.585673370854465</v>
      </c>
      <c r="G19" s="36">
        <v>122.8479397411726</v>
      </c>
      <c r="H19" s="36">
        <v>199.0464115107263</v>
      </c>
      <c r="I19" s="36">
        <v>311.89294158996643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</row>
    <row r="20" spans="1:17" x14ac:dyDescent="0.2">
      <c r="A20" s="36">
        <v>17</v>
      </c>
      <c r="B20" s="36">
        <v>114.00963781090501</v>
      </c>
      <c r="C20" s="36">
        <v>178.3432072852107</v>
      </c>
      <c r="D20" s="36">
        <v>292.87700323576968</v>
      </c>
      <c r="E20" s="36">
        <v>470.37488533866048</v>
      </c>
      <c r="F20" s="36">
        <v>81.407031403589755</v>
      </c>
      <c r="G20" s="36">
        <v>125.305287585011</v>
      </c>
      <c r="H20" s="36">
        <v>206.5407059059232</v>
      </c>
      <c r="I20" s="36">
        <v>330.98683940324543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</row>
    <row r="21" spans="1:17" x14ac:dyDescent="0.2">
      <c r="A21" s="36">
        <v>18</v>
      </c>
      <c r="B21" s="36">
        <v>117.3568433416513</v>
      </c>
      <c r="C21" s="36">
        <v>185.36783347029291</v>
      </c>
      <c r="D21" s="36">
        <v>311.38866165864277</v>
      </c>
      <c r="E21" s="36">
        <v>507.59721848081989</v>
      </c>
      <c r="F21" s="36">
        <v>81.777089212099966</v>
      </c>
      <c r="G21" s="36">
        <v>127.9490129252805</v>
      </c>
      <c r="H21" s="36">
        <v>215.2909065808719</v>
      </c>
      <c r="I21" s="36">
        <v>350.34577390571349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</row>
    <row r="22" spans="1:17" x14ac:dyDescent="0.2">
      <c r="A22" s="36">
        <v>19</v>
      </c>
      <c r="B22" s="36">
        <v>121.55744094922591</v>
      </c>
      <c r="C22" s="36">
        <v>191.83072799387719</v>
      </c>
      <c r="D22" s="36">
        <v>330.39412101303429</v>
      </c>
      <c r="E22" s="36">
        <v>547.04212268042738</v>
      </c>
      <c r="F22" s="36">
        <v>82.979224171822153</v>
      </c>
      <c r="G22" s="36">
        <v>130.2633501676556</v>
      </c>
      <c r="H22" s="36">
        <v>224.26941653671719</v>
      </c>
      <c r="I22" s="36">
        <v>368.66880189373762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</row>
    <row r="23" spans="1:17" x14ac:dyDescent="0.2">
      <c r="A23" s="36">
        <v>20</v>
      </c>
      <c r="B23" s="36">
        <v>124.58673623565269</v>
      </c>
      <c r="C23" s="36">
        <v>201.5308481322038</v>
      </c>
      <c r="D23" s="36">
        <v>350.35376172590691</v>
      </c>
      <c r="E23" s="36">
        <v>585.77706573002342</v>
      </c>
      <c r="F23" s="36">
        <v>84.223565675507629</v>
      </c>
      <c r="G23" s="36">
        <v>133.60651127539259</v>
      </c>
      <c r="H23" s="36">
        <v>232.64064961793571</v>
      </c>
      <c r="I23" s="36">
        <v>389.78174604568437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portfolios</vt:lpstr>
      <vt:lpstr>risk_dashboard</vt:lpstr>
      <vt:lpstr>assumptions</vt:lpstr>
      <vt:lpstr>ws_Current_Portfolio</vt:lpstr>
      <vt:lpstr>ws_Drawdown_Constrained</vt:lpstr>
      <vt:lpstr>ws_Drawdown_Constrained_(No_Pri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2025-07-06T21:01:03Z</dcterms:created>
  <dcterms:modified xsi:type="dcterms:W3CDTF">2025-07-07T08:37:31Z</dcterms:modified>
</cp:coreProperties>
</file>