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2. Optimizations/"/>
    </mc:Choice>
  </mc:AlternateContent>
  <xr:revisionPtr revIDLastSave="0" documentId="13_ncr:1_{DF7EC018-4517-4A47-9692-5F583C2D637A}" xr6:coauthVersionLast="47" xr6:coauthVersionMax="47" xr10:uidLastSave="{00000000-0000-0000-0000-000000000000}"/>
  <bookViews>
    <workbookView xWindow="0" yWindow="500" windowWidth="33600" windowHeight="1904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Return_Matched" sheetId="5" r:id="rId5"/>
    <sheet name="ws_Return_Matched_(No_Private_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22" i="1"/>
  <c r="C22" i="1"/>
  <c r="C13" i="1"/>
  <c r="D13" i="1"/>
  <c r="B13" i="1"/>
</calcChain>
</file>

<file path=xl/sharedStrings.xml><?xml version="1.0" encoding="utf-8"?>
<sst xmlns="http://schemas.openxmlformats.org/spreadsheetml/2006/main" count="250" uniqueCount="108">
  <si>
    <t>Current Portfolio</t>
  </si>
  <si>
    <t>Return Matched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</si>
  <si>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</si>
  <si>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</si>
  <si>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</si>
  <si>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</si>
  <si>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</si>
  <si>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</si>
  <si>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</si>
  <si>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</si>
  <si>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</si>
  <si>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</si>
  <si>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</si>
  <si>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</si>
  <si>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</si>
  <si>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</si>
  <si>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</si>
  <si>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</si>
  <si>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</si>
  <si>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</si>
  <si>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</si>
  <si>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</si>
  <si>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</si>
  <si>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</si>
  <si>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</si>
  <si>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</si>
  <si>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</si>
  <si>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</si>
  <si>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</si>
  <si>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</si>
  <si>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</si>
  <si>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</si>
  <si>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</si>
  <si>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</si>
  <si>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</si>
  <si>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</si>
  <si>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</si>
  <si>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</si>
  <si>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</si>
  <si>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</si>
  <si>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</si>
  <si>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</si>
  <si>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</si>
  <si>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</si>
  <si>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</si>
  <si>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</si>
  <si>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</si>
  <si>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</si>
  <si>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</si>
  <si>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</si>
  <si>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</si>
  <si>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</si>
  <si>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</si>
  <si>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</si>
  <si>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</si>
  <si>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</si>
  <si>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</si>
  <si>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</si>
  <si>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</si>
  <si>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</si>
  <si>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</si>
  <si>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</si>
  <si>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</si>
  <si>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</si>
  <si>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</si>
  <si>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</si>
  <si>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</si>
  <si>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</si>
  <si>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</si>
  <si>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</si>
  <si>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</si>
  <si>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</si>
  <si>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</si>
  <si>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</si>
  <si>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</si>
  <si>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</si>
  <si>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</si>
  <si>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</si>
  <si>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</si>
  <si>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</si>
  <si>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</si>
  <si>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</si>
  <si>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</si>
  <si>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</si>
  <si>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</si>
  <si>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</si>
  <si>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</si>
  <si>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</si>
  <si>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</si>
  <si>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</si>
  <si>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</si>
  <si>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</si>
  <si>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</si>
  <si>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</si>
  <si>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</si>
  <si>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</si>
  <si>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</si>
  <si>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</si>
  <si>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</si>
  <si>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</si>
  <si>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US Equity</t>
  </si>
  <si>
    <t>Income Equity</t>
  </si>
  <si>
    <t>Return Matched 
(No Private Assets)</t>
  </si>
  <si>
    <t>Unconstrained</t>
  </si>
  <si>
    <t>Private Asset Constrained</t>
  </si>
  <si>
    <t>Estimated Mean Return (with 2.5% RFR)</t>
  </si>
  <si>
    <t xml:space="preserve">  Financial Crisis </t>
  </si>
  <si>
    <t>Performance Over Stress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</si>
</sst>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name val="Calibri"/>
      <family val="2"/>
    </font>
    <font>
      <sz val="12.5"/>
      <color theme="1"/>
      <name val="Calibri"/>
      <family val="2"/>
    </font>
    <font>
      <sz val="11"/>
      <color rgb="FFFFFFFF"/>
      <name val="Aptos Narrow"/>
    </font>
    <font>
      <sz val="11"/>
      <name val="Aptos Narrow"/>
    </font>
    <font>
      <b/>
      <sz val="11"/>
      <color rgb="FF092539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dotted">
        <color auto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dotted">
        <color rgb="FFA9A9A9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dotted">
        <color rgb="FFA9A9A9"/>
      </top>
      <bottom/>
      <diagonal/>
    </border>
    <border>
      <left/>
      <right style="thin">
        <color theme="0"/>
      </right>
      <top style="dotted">
        <color rgb="FFA9A9A9"/>
      </top>
      <bottom/>
      <diagonal/>
    </border>
    <border>
      <left/>
      <right style="thin">
        <color theme="0"/>
      </right>
      <top/>
      <bottom style="dotted">
        <color rgb="FFA9A9A9"/>
      </bottom>
      <diagonal/>
    </border>
    <border>
      <left/>
      <right style="hair">
        <color rgb="FFA9A9A9"/>
      </right>
      <top style="dotted">
        <color rgb="FFA9A9A9"/>
      </top>
      <bottom/>
      <diagonal/>
    </border>
    <border>
      <left/>
      <right style="hair">
        <color rgb="FFA9A9A9"/>
      </right>
      <top/>
      <bottom/>
      <diagonal/>
    </border>
    <border>
      <left/>
      <right style="hair">
        <color rgb="FFA9A9A9"/>
      </right>
      <top/>
      <bottom style="dotted">
        <color rgb="FFA9A9A9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164" fontId="1" fillId="3" borderId="2" xfId="0" applyNumberFormat="1" applyFont="1" applyFill="1" applyBorder="1" applyAlignment="1">
      <alignment horizontal="right" vertical="center" indent="4"/>
    </xf>
    <xf numFmtId="165" fontId="1" fillId="2" borderId="2" xfId="0" applyNumberFormat="1" applyFont="1" applyFill="1" applyBorder="1" applyAlignment="1">
      <alignment horizontal="right" vertical="center" indent="4"/>
    </xf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center"/>
    </xf>
    <xf numFmtId="2" fontId="6" fillId="6" borderId="2" xfId="0" applyNumberFormat="1" applyFont="1" applyFill="1" applyBorder="1" applyAlignment="1">
      <alignment horizontal="center"/>
    </xf>
    <xf numFmtId="0" fontId="5" fillId="6" borderId="2" xfId="0" applyFont="1" applyFill="1" applyBorder="1"/>
    <xf numFmtId="164" fontId="7" fillId="6" borderId="2" xfId="0" applyNumberFormat="1" applyFont="1" applyFill="1" applyBorder="1" applyAlignment="1">
      <alignment horizontal="right"/>
    </xf>
    <xf numFmtId="164" fontId="5" fillId="6" borderId="2" xfId="0" applyNumberFormat="1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left"/>
    </xf>
    <xf numFmtId="2" fontId="5" fillId="6" borderId="2" xfId="0" applyNumberFormat="1" applyFont="1" applyFill="1" applyBorder="1" applyAlignment="1">
      <alignment horizontal="center"/>
    </xf>
    <xf numFmtId="9" fontId="5" fillId="6" borderId="2" xfId="0" applyNumberFormat="1" applyFont="1" applyFill="1" applyBorder="1" applyAlignment="1">
      <alignment horizontal="center"/>
    </xf>
    <xf numFmtId="17" fontId="5" fillId="6" borderId="2" xfId="0" applyNumberFormat="1" applyFont="1" applyFill="1" applyBorder="1" applyAlignment="1">
      <alignment horizontal="center"/>
    </xf>
    <xf numFmtId="0" fontId="6" fillId="6" borderId="6" xfId="0" applyFont="1" applyFill="1" applyBorder="1"/>
    <xf numFmtId="164" fontId="6" fillId="6" borderId="6" xfId="0" applyNumberFormat="1" applyFont="1" applyFill="1" applyBorder="1" applyAlignment="1">
      <alignment horizontal="right"/>
    </xf>
    <xf numFmtId="164" fontId="6" fillId="6" borderId="6" xfId="0" applyNumberFormat="1" applyFont="1" applyFill="1" applyBorder="1" applyAlignment="1">
      <alignment horizontal="center"/>
    </xf>
    <xf numFmtId="164" fontId="9" fillId="6" borderId="6" xfId="0" applyNumberFormat="1" applyFont="1" applyFill="1" applyBorder="1" applyAlignment="1">
      <alignment horizontal="left"/>
    </xf>
    <xf numFmtId="2" fontId="6" fillId="6" borderId="6" xfId="0" applyNumberFormat="1" applyFont="1" applyFill="1" applyBorder="1" applyAlignment="1">
      <alignment horizontal="center"/>
    </xf>
    <xf numFmtId="9" fontId="6" fillId="6" borderId="6" xfId="0" applyNumberFormat="1" applyFont="1" applyFill="1" applyBorder="1" applyAlignment="1">
      <alignment horizontal="center"/>
    </xf>
    <xf numFmtId="17" fontId="6" fillId="6" borderId="6" xfId="0" applyNumberFormat="1" applyFont="1" applyFill="1" applyBorder="1" applyAlignment="1">
      <alignment horizontal="center"/>
    </xf>
    <xf numFmtId="0" fontId="5" fillId="6" borderId="5" xfId="0" applyFont="1" applyFill="1" applyBorder="1"/>
    <xf numFmtId="164" fontId="7" fillId="6" borderId="5" xfId="0" applyNumberFormat="1" applyFont="1" applyFill="1" applyBorder="1" applyAlignment="1">
      <alignment horizontal="right"/>
    </xf>
    <xf numFmtId="164" fontId="5" fillId="6" borderId="5" xfId="0" applyNumberFormat="1" applyFont="1" applyFill="1" applyBorder="1" applyAlignment="1">
      <alignment horizontal="center"/>
    </xf>
    <xf numFmtId="164" fontId="8" fillId="6" borderId="5" xfId="0" applyNumberFormat="1" applyFont="1" applyFill="1" applyBorder="1" applyAlignment="1">
      <alignment horizontal="left"/>
    </xf>
    <xf numFmtId="2" fontId="5" fillId="6" borderId="5" xfId="0" applyNumberFormat="1" applyFont="1" applyFill="1" applyBorder="1" applyAlignment="1">
      <alignment horizontal="center"/>
    </xf>
    <xf numFmtId="9" fontId="5" fillId="6" borderId="5" xfId="0" applyNumberFormat="1" applyFont="1" applyFill="1" applyBorder="1" applyAlignment="1">
      <alignment horizontal="center"/>
    </xf>
    <xf numFmtId="17" fontId="5" fillId="6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0" borderId="7" xfId="0" applyBorder="1"/>
    <xf numFmtId="0" fontId="5" fillId="6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164" fontId="1" fillId="3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/>
    </xf>
    <xf numFmtId="165" fontId="1" fillId="2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 indent="1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right" indent="4"/>
    </xf>
    <xf numFmtId="0" fontId="2" fillId="2" borderId="14" xfId="0" applyFont="1" applyFill="1" applyBorder="1"/>
    <xf numFmtId="0" fontId="2" fillId="2" borderId="15" xfId="0" applyFont="1" applyFill="1" applyBorder="1"/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right" vertical="center" indent="4"/>
    </xf>
    <xf numFmtId="2" fontId="3" fillId="4" borderId="15" xfId="0" applyNumberFormat="1" applyFont="1" applyFill="1" applyBorder="1" applyAlignment="1">
      <alignment horizontal="right" vertical="center" indent="4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horizontal="right" vertical="center" indent="4"/>
    </xf>
    <xf numFmtId="164" fontId="3" fillId="4" borderId="20" xfId="0" applyNumberFormat="1" applyFont="1" applyFill="1" applyBorder="1" applyAlignment="1">
      <alignment horizontal="right" vertical="center" indent="4"/>
    </xf>
    <xf numFmtId="0" fontId="11" fillId="7" borderId="8" xfId="0" applyFont="1" applyFill="1" applyBorder="1" applyAlignment="1">
      <alignment vertical="center"/>
    </xf>
    <xf numFmtId="0" fontId="11" fillId="7" borderId="9" xfId="0" applyFont="1" applyFill="1" applyBorder="1" applyAlignment="1">
      <alignment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9" xfId="0" applyFont="1" applyBorder="1"/>
    <xf numFmtId="0" fontId="12" fillId="5" borderId="9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wrapText="1"/>
    </xf>
    <xf numFmtId="164" fontId="13" fillId="6" borderId="2" xfId="0" applyNumberFormat="1" applyFont="1" applyFill="1" applyBorder="1" applyAlignment="1">
      <alignment horizontal="center"/>
    </xf>
    <xf numFmtId="0" fontId="12" fillId="5" borderId="14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4" fillId="6" borderId="23" xfId="0" applyFont="1" applyFill="1" applyBorder="1"/>
    <xf numFmtId="0" fontId="13" fillId="6" borderId="4" xfId="0" applyFont="1" applyFill="1" applyBorder="1" applyAlignment="1">
      <alignment horizontal="center"/>
    </xf>
    <xf numFmtId="0" fontId="13" fillId="6" borderId="26" xfId="0" applyFont="1" applyFill="1" applyBorder="1" applyAlignment="1">
      <alignment horizontal="center"/>
    </xf>
    <xf numFmtId="0" fontId="13" fillId="6" borderId="24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left" indent="1"/>
    </xf>
    <xf numFmtId="164" fontId="13" fillId="6" borderId="2" xfId="0" applyNumberFormat="1" applyFont="1" applyFill="1" applyBorder="1" applyAlignment="1">
      <alignment horizontal="center"/>
    </xf>
    <xf numFmtId="164" fontId="13" fillId="6" borderId="27" xfId="0" applyNumberFormat="1" applyFont="1" applyFill="1" applyBorder="1" applyAlignment="1">
      <alignment horizontal="center"/>
    </xf>
    <xf numFmtId="164" fontId="13" fillId="6" borderId="15" xfId="0" applyNumberFormat="1" applyFont="1" applyFill="1" applyBorder="1" applyAlignment="1">
      <alignment horizontal="center"/>
    </xf>
    <xf numFmtId="164" fontId="13" fillId="6" borderId="28" xfId="0" applyNumberFormat="1" applyFont="1" applyFill="1" applyBorder="1" applyAlignment="1">
      <alignment horizontal="center"/>
    </xf>
    <xf numFmtId="164" fontId="13" fillId="6" borderId="15" xfId="0" applyNumberFormat="1" applyFont="1" applyFill="1" applyBorder="1" applyAlignment="1">
      <alignment horizontal="center"/>
    </xf>
    <xf numFmtId="164" fontId="13" fillId="6" borderId="21" xfId="0" applyNumberFormat="1" applyFont="1" applyFill="1" applyBorder="1" applyAlignment="1">
      <alignment horizontal="center"/>
    </xf>
    <xf numFmtId="164" fontId="13" fillId="6" borderId="25" xfId="0" applyNumberFormat="1" applyFont="1" applyFill="1" applyBorder="1" applyAlignment="1">
      <alignment horizontal="center"/>
    </xf>
    <xf numFmtId="0" fontId="13" fillId="6" borderId="29" xfId="0" applyFont="1" applyFill="1" applyBorder="1" applyAlignment="1">
      <alignment horizontal="left" indent="1"/>
    </xf>
    <xf numFmtId="164" fontId="13" fillId="6" borderId="7" xfId="0" applyNumberFormat="1" applyFont="1" applyFill="1" applyBorder="1" applyAlignment="1">
      <alignment horizontal="center"/>
    </xf>
    <xf numFmtId="164" fontId="13" fillId="6" borderId="30" xfId="0" applyNumberFormat="1" applyFont="1" applyFill="1" applyBorder="1" applyAlignment="1">
      <alignment horizontal="center"/>
    </xf>
    <xf numFmtId="0" fontId="13" fillId="6" borderId="14" xfId="0" applyFont="1" applyFill="1" applyBorder="1" applyAlignment="1">
      <alignment vertical="center"/>
    </xf>
    <xf numFmtId="164" fontId="13" fillId="6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3" fillId="6" borderId="23" xfId="0" applyFont="1" applyFill="1" applyBorder="1" applyAlignment="1">
      <alignment vertical="center"/>
    </xf>
    <xf numFmtId="164" fontId="13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2" fontId="1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F-5F4B-A697-69EFC60AB1E9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F-5F4B-A697-69EFC60AB1E9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F-5F4B-A697-69EFC60AB1E9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8F-5F4B-A697-69EFC60A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89.456903357182568</c:v>
                </c:pt>
                <c:pt idx="2">
                  <c:v>89.980738266643627</c:v>
                </c:pt>
                <c:pt idx="3">
                  <c:v>90.8898661257616</c:v>
                </c:pt>
                <c:pt idx="4">
                  <c:v>90.42786853539711</c:v>
                </c:pt>
                <c:pt idx="5">
                  <c:v>91.369198231432648</c:v>
                </c:pt>
                <c:pt idx="6">
                  <c:v>92.173075244339728</c:v>
                </c:pt>
                <c:pt idx="7">
                  <c:v>91.064145706205579</c:v>
                </c:pt>
                <c:pt idx="8">
                  <c:v>92.498179650755802</c:v>
                </c:pt>
                <c:pt idx="9">
                  <c:v>91.512380784642389</c:v>
                </c:pt>
                <c:pt idx="10">
                  <c:v>92.934747749398539</c:v>
                </c:pt>
                <c:pt idx="11">
                  <c:v>93.814016252111855</c:v>
                </c:pt>
                <c:pt idx="12">
                  <c:v>95.92752207205757</c:v>
                </c:pt>
                <c:pt idx="13">
                  <c:v>97.112830179337351</c:v>
                </c:pt>
                <c:pt idx="14">
                  <c:v>98.468382394765342</c:v>
                </c:pt>
                <c:pt idx="15">
                  <c:v>99.308266105457449</c:v>
                </c:pt>
                <c:pt idx="16">
                  <c:v>100.8967731299779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2-5F48-AA55-65C1100BF265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97.025265613165288</c:v>
                </c:pt>
                <c:pt idx="2">
                  <c:v>99.192368947115298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109.1866393454906</c:v>
                </c:pt>
                <c:pt idx="6">
                  <c:v>113.09197920309791</c:v>
                </c:pt>
                <c:pt idx="7">
                  <c:v>116.0626830575069</c:v>
                </c:pt>
                <c:pt idx="8">
                  <c:v>119.33159211006409</c:v>
                </c:pt>
                <c:pt idx="9">
                  <c:v>122.4295446271361</c:v>
                </c:pt>
                <c:pt idx="10">
                  <c:v>126.25256184610031</c:v>
                </c:pt>
                <c:pt idx="11">
                  <c:v>129.33699057122999</c:v>
                </c:pt>
                <c:pt idx="12">
                  <c:v>133.53381482939361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146.59654335179761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2-5F48-AA55-65C1100BF265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111.90510917957231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140.7688812629919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</c:v>
                </c:pt>
                <c:pt idx="10">
                  <c:v>175.8287661816199</c:v>
                </c:pt>
                <c:pt idx="11">
                  <c:v>185.18393079225339</c:v>
                </c:pt>
                <c:pt idx="12">
                  <c:v>194.80417584260289</c:v>
                </c:pt>
                <c:pt idx="13">
                  <c:v>204.20383875683149</c:v>
                </c:pt>
                <c:pt idx="14">
                  <c:v>215.6296724950476</c:v>
                </c:pt>
                <c:pt idx="15">
                  <c:v>226.1906998647797</c:v>
                </c:pt>
                <c:pt idx="16">
                  <c:v>237.695043221585</c:v>
                </c:pt>
                <c:pt idx="17">
                  <c:v>249.60345768630489</c:v>
                </c:pt>
                <c:pt idx="18">
                  <c:v>263.31841545216491</c:v>
                </c:pt>
                <c:pt idx="19">
                  <c:v>277.03201954530692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52-5F48-AA55-65C1100BF265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125.37894161320349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187.42408538105241</c:v>
                </c:pt>
                <c:pt idx="8">
                  <c:v>202.8969653662061</c:v>
                </c:pt>
                <c:pt idx="9">
                  <c:v>219.07229317005891</c:v>
                </c:pt>
                <c:pt idx="10">
                  <c:v>235.5684906843498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293.87272469413108</c:v>
                </c:pt>
                <c:pt idx="14">
                  <c:v>314.9033622075309</c:v>
                </c:pt>
                <c:pt idx="15">
                  <c:v>338.17804620613862</c:v>
                </c:pt>
                <c:pt idx="16">
                  <c:v>362.59622389555551</c:v>
                </c:pt>
                <c:pt idx="17">
                  <c:v>390.14871332644481</c:v>
                </c:pt>
                <c:pt idx="18">
                  <c:v>418.65926805038453</c:v>
                </c:pt>
                <c:pt idx="19">
                  <c:v>445.76435801146158</c:v>
                </c:pt>
                <c:pt idx="20">
                  <c:v>475.19458292480039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52-5F48-AA55-65C1100B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85.100894859473641</c:v>
                </c:pt>
                <c:pt idx="3">
                  <c:v>84.218811499977932</c:v>
                </c:pt>
                <c:pt idx="4">
                  <c:v>82.13829188916705</c:v>
                </c:pt>
                <c:pt idx="5">
                  <c:v>81.549877876853301</c:v>
                </c:pt>
                <c:pt idx="6">
                  <c:v>80.40280160608043</c:v>
                </c:pt>
                <c:pt idx="7">
                  <c:v>78.25787929641443</c:v>
                </c:pt>
                <c:pt idx="8">
                  <c:v>77.685825880984837</c:v>
                </c:pt>
                <c:pt idx="9">
                  <c:v>76.198094733240652</c:v>
                </c:pt>
                <c:pt idx="10">
                  <c:v>75.423080243046371</c:v>
                </c:pt>
                <c:pt idx="11">
                  <c:v>75.678130435135131</c:v>
                </c:pt>
                <c:pt idx="12">
                  <c:v>75.064350566601632</c:v>
                </c:pt>
                <c:pt idx="13">
                  <c:v>74.024301538455532</c:v>
                </c:pt>
                <c:pt idx="14">
                  <c:v>74.633923165407225</c:v>
                </c:pt>
                <c:pt idx="15">
                  <c:v>74.182997099231969</c:v>
                </c:pt>
                <c:pt idx="16">
                  <c:v>73.312668878138098</c:v>
                </c:pt>
                <c:pt idx="17">
                  <c:v>73.94485093469126</c:v>
                </c:pt>
                <c:pt idx="18">
                  <c:v>74.576581864937339</c:v>
                </c:pt>
                <c:pt idx="19">
                  <c:v>74.864305403667643</c:v>
                </c:pt>
                <c:pt idx="20">
                  <c:v>75.081858895213188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5-374F-A412-5D6FC43A61A1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95.332301272175343</c:v>
                </c:pt>
                <c:pt idx="4">
                  <c:v>96.009494279172088</c:v>
                </c:pt>
                <c:pt idx="5">
                  <c:v>97.32633481900659</c:v>
                </c:pt>
                <c:pt idx="6">
                  <c:v>98.598670542218926</c:v>
                </c:pt>
                <c:pt idx="7">
                  <c:v>99.337505925042677</c:v>
                </c:pt>
                <c:pt idx="8">
                  <c:v>100.2398836893494</c:v>
                </c:pt>
                <c:pt idx="9">
                  <c:v>100.9225431869304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104.99812825737681</c:v>
                </c:pt>
                <c:pt idx="14">
                  <c:v>106.68681910779129</c:v>
                </c:pt>
                <c:pt idx="15">
                  <c:v>108.1823758828707</c:v>
                </c:pt>
                <c:pt idx="16">
                  <c:v>109.6351805549494</c:v>
                </c:pt>
                <c:pt idx="17">
                  <c:v>110.85121285783841</c:v>
                </c:pt>
                <c:pt idx="18">
                  <c:v>112.4313657577416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5-374F-A412-5D6FC43A61A1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110.172532673408</c:v>
                </c:pt>
                <c:pt idx="4">
                  <c:v>114.3523511006908</c:v>
                </c:pt>
                <c:pt idx="5">
                  <c:v>118.94104161299239</c:v>
                </c:pt>
                <c:pt idx="6">
                  <c:v>123.44725259105221</c:v>
                </c:pt>
                <c:pt idx="7">
                  <c:v>128.2246174574569</c:v>
                </c:pt>
                <c:pt idx="8">
                  <c:v>133.08611384272001</c:v>
                </c:pt>
                <c:pt idx="9">
                  <c:v>137.65238528149089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151.2647476460927</c:v>
                </c:pt>
                <c:pt idx="13">
                  <c:v>156.01683448409241</c:v>
                </c:pt>
                <c:pt idx="14">
                  <c:v>161.2031090108153</c:v>
                </c:pt>
                <c:pt idx="15">
                  <c:v>165.70740200275449</c:v>
                </c:pt>
                <c:pt idx="16">
                  <c:v>170.96418675985419</c:v>
                </c:pt>
                <c:pt idx="17">
                  <c:v>176.09562331023659</c:v>
                </c:pt>
                <c:pt idx="18">
                  <c:v>181.90767396690319</c:v>
                </c:pt>
                <c:pt idx="19">
                  <c:v>187.911553553403</c:v>
                </c:pt>
                <c:pt idx="20">
                  <c:v>193.38003253472721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B5-374F-A412-5D6FC43A61A1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143.81494842674709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171.48035918072711</c:v>
                </c:pt>
                <c:pt idx="9">
                  <c:v>181.19234999553399</c:v>
                </c:pt>
                <c:pt idx="10">
                  <c:v>191.00776799537371</c:v>
                </c:pt>
                <c:pt idx="11">
                  <c:v>201.21541603913079</c:v>
                </c:pt>
                <c:pt idx="12">
                  <c:v>212.8758606443985</c:v>
                </c:pt>
                <c:pt idx="13">
                  <c:v>223.60113739748229</c:v>
                </c:pt>
                <c:pt idx="14">
                  <c:v>235.23014222444101</c:v>
                </c:pt>
                <c:pt idx="15">
                  <c:v>247.3015784953663</c:v>
                </c:pt>
                <c:pt idx="16">
                  <c:v>259.80425289121058</c:v>
                </c:pt>
                <c:pt idx="17">
                  <c:v>272.99269968346641</c:v>
                </c:pt>
                <c:pt idx="18">
                  <c:v>287.57515692195602</c:v>
                </c:pt>
                <c:pt idx="19">
                  <c:v>299.87145958742929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B5-374F-A412-5D6FC43A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2-344A-9445-609F3E3495DA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2-344A-9445-609F3E3495DA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52-344A-9445-609F3E3495DA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52-344A-9445-609F3E349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5-7E42-874C-2E1A6C04A080}"/>
            </c:ext>
          </c:extLst>
        </c:ser>
        <c:ser>
          <c:idx val="1"/>
          <c:order val="1"/>
          <c:tx>
            <c:strRef>
              <c:f>ws_Return_Matched!$K$2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5-7E42-874C-2E1A6C04A080}"/>
            </c:ext>
          </c:extLst>
        </c:ser>
        <c:ser>
          <c:idx val="2"/>
          <c:order val="2"/>
          <c:tx>
            <c:strRef>
              <c:f>ws_Return_Matched!$L$2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5-7E42-874C-2E1A6C04A080}"/>
            </c:ext>
          </c:extLst>
        </c:ser>
        <c:ser>
          <c:idx val="3"/>
          <c:order val="3"/>
          <c:tx>
            <c:strRef>
              <c:f>ws_Return_Matched!$M$2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5-7E42-874C-2E1A6C04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93.115136910420802</c:v>
                </c:pt>
                <c:pt idx="2">
                  <c:v>96.086170699140126</c:v>
                </c:pt>
                <c:pt idx="3">
                  <c:v>99.089741224958132</c:v>
                </c:pt>
                <c:pt idx="4">
                  <c:v>101.1367604108956</c:v>
                </c:pt>
                <c:pt idx="5">
                  <c:v>104.3075321731301</c:v>
                </c:pt>
                <c:pt idx="6">
                  <c:v>107.10934413228971</c:v>
                </c:pt>
                <c:pt idx="7">
                  <c:v>107.48311617810231</c:v>
                </c:pt>
                <c:pt idx="8">
                  <c:v>109.624044283098</c:v>
                </c:pt>
                <c:pt idx="9">
                  <c:v>110.6472084332393</c:v>
                </c:pt>
                <c:pt idx="10">
                  <c:v>113.3463056838831</c:v>
                </c:pt>
                <c:pt idx="11">
                  <c:v>115.6525808988337</c:v>
                </c:pt>
                <c:pt idx="12">
                  <c:v>118.40305868052791</c:v>
                </c:pt>
                <c:pt idx="13">
                  <c:v>121.49457540722361</c:v>
                </c:pt>
                <c:pt idx="14">
                  <c:v>123.476805158893</c:v>
                </c:pt>
                <c:pt idx="15">
                  <c:v>126.9658351624069</c:v>
                </c:pt>
                <c:pt idx="16">
                  <c:v>130.35449122761861</c:v>
                </c:pt>
                <c:pt idx="17">
                  <c:v>133.75073975531009</c:v>
                </c:pt>
                <c:pt idx="18">
                  <c:v>138.36747543262101</c:v>
                </c:pt>
                <c:pt idx="19">
                  <c:v>142.40106814306259</c:v>
                </c:pt>
                <c:pt idx="20">
                  <c:v>146.01514434253249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8-8E4D-A8EC-E0BFF8CA20FE}"/>
            </c:ext>
          </c:extLst>
        </c:ser>
        <c:ser>
          <c:idx val="1"/>
          <c:order val="1"/>
          <c:tx>
            <c:strRef>
              <c:f>ws_Return_Matched!$C$2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100.1619353961501</c:v>
                </c:pt>
                <c:pt idx="2">
                  <c:v>104.06688080486749</c:v>
                </c:pt>
                <c:pt idx="3">
                  <c:v>109.1894174839184</c:v>
                </c:pt>
                <c:pt idx="4">
                  <c:v>113.7595689341517</c:v>
                </c:pt>
                <c:pt idx="5">
                  <c:v>119.2059611527243</c:v>
                </c:pt>
                <c:pt idx="6">
                  <c:v>124.8331086190056</c:v>
                </c:pt>
                <c:pt idx="7">
                  <c:v>129.38232445454659</c:v>
                </c:pt>
                <c:pt idx="8">
                  <c:v>133.72024429297889</c:v>
                </c:pt>
                <c:pt idx="9">
                  <c:v>137.71842610317131</c:v>
                </c:pt>
                <c:pt idx="10">
                  <c:v>142.88153825413909</c:v>
                </c:pt>
                <c:pt idx="11">
                  <c:v>147.76558427060681</c:v>
                </c:pt>
                <c:pt idx="12">
                  <c:v>152.97414192596551</c:v>
                </c:pt>
                <c:pt idx="13">
                  <c:v>158.37779322145249</c:v>
                </c:pt>
                <c:pt idx="14">
                  <c:v>164.3499437823169</c:v>
                </c:pt>
                <c:pt idx="15">
                  <c:v>170.30400076903081</c:v>
                </c:pt>
                <c:pt idx="16">
                  <c:v>176.5218408218679</c:v>
                </c:pt>
                <c:pt idx="17">
                  <c:v>183.17829067966181</c:v>
                </c:pt>
                <c:pt idx="18">
                  <c:v>190.5325805837814</c:v>
                </c:pt>
                <c:pt idx="19">
                  <c:v>197.31775541011561</c:v>
                </c:pt>
                <c:pt idx="20">
                  <c:v>204.85443859158721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8-8E4D-A8EC-E0BFF8CA20FE}"/>
            </c:ext>
          </c:extLst>
        </c:ser>
        <c:ser>
          <c:idx val="2"/>
          <c:order val="2"/>
          <c:tx>
            <c:strRef>
              <c:f>ws_Return_Matched!$D$2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107.37746830356269</c:v>
                </c:pt>
                <c:pt idx="2">
                  <c:v>114.3506576795601</c:v>
                </c:pt>
                <c:pt idx="3">
                  <c:v>121.534997156874</c:v>
                </c:pt>
                <c:pt idx="4">
                  <c:v>129.59983694261101</c:v>
                </c:pt>
                <c:pt idx="5">
                  <c:v>138.3989154670551</c:v>
                </c:pt>
                <c:pt idx="6">
                  <c:v>147.4861186774788</c:v>
                </c:pt>
                <c:pt idx="7">
                  <c:v>156.35290176073849</c:v>
                </c:pt>
                <c:pt idx="8">
                  <c:v>165.4518065781659</c:v>
                </c:pt>
                <c:pt idx="9">
                  <c:v>174.51274533825799</c:v>
                </c:pt>
                <c:pt idx="10">
                  <c:v>184.00841924378429</c:v>
                </c:pt>
                <c:pt idx="11">
                  <c:v>193.88730289656101</c:v>
                </c:pt>
                <c:pt idx="12">
                  <c:v>203.73194608622961</c:v>
                </c:pt>
                <c:pt idx="13">
                  <c:v>214.2892888151348</c:v>
                </c:pt>
                <c:pt idx="14">
                  <c:v>225.71848906168569</c:v>
                </c:pt>
                <c:pt idx="15">
                  <c:v>237.2378154116513</c:v>
                </c:pt>
                <c:pt idx="16">
                  <c:v>249.3626038839549</c:v>
                </c:pt>
                <c:pt idx="17">
                  <c:v>262.19454269340349</c:v>
                </c:pt>
                <c:pt idx="18">
                  <c:v>275.7513926575059</c:v>
                </c:pt>
                <c:pt idx="19">
                  <c:v>290.23160869046762</c:v>
                </c:pt>
                <c:pt idx="20">
                  <c:v>305.91922710902389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8-8E4D-A8EC-E0BFF8CA20FE}"/>
            </c:ext>
          </c:extLst>
        </c:ser>
        <c:ser>
          <c:idx val="3"/>
          <c:order val="3"/>
          <c:tx>
            <c:strRef>
              <c:f>ws_Return_Matched!$E$2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114.13697859261541</c:v>
                </c:pt>
                <c:pt idx="2">
                  <c:v>124.2437403976504</c:v>
                </c:pt>
                <c:pt idx="3">
                  <c:v>134.42693744084011</c:v>
                </c:pt>
                <c:pt idx="4">
                  <c:v>146.26771884404189</c:v>
                </c:pt>
                <c:pt idx="5">
                  <c:v>159.0465705515</c:v>
                </c:pt>
                <c:pt idx="6">
                  <c:v>171.9673095654336</c:v>
                </c:pt>
                <c:pt idx="7">
                  <c:v>185.78592430492239</c:v>
                </c:pt>
                <c:pt idx="8">
                  <c:v>200.30931930841189</c:v>
                </c:pt>
                <c:pt idx="9">
                  <c:v>215.11362172468429</c:v>
                </c:pt>
                <c:pt idx="10">
                  <c:v>231.15857442896589</c:v>
                </c:pt>
                <c:pt idx="11">
                  <c:v>248.03530960764471</c:v>
                </c:pt>
                <c:pt idx="12">
                  <c:v>266.16243970650532</c:v>
                </c:pt>
                <c:pt idx="13">
                  <c:v>285.17163590193621</c:v>
                </c:pt>
                <c:pt idx="14">
                  <c:v>305.95818346597918</c:v>
                </c:pt>
                <c:pt idx="15">
                  <c:v>327.1939251468329</c:v>
                </c:pt>
                <c:pt idx="16">
                  <c:v>350.55509886294237</c:v>
                </c:pt>
                <c:pt idx="17">
                  <c:v>374.8101918557694</c:v>
                </c:pt>
                <c:pt idx="18">
                  <c:v>401.03299362487309</c:v>
                </c:pt>
                <c:pt idx="19">
                  <c:v>427.04371897351427</c:v>
                </c:pt>
                <c:pt idx="20">
                  <c:v>455.78370292632218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8-8E4D-A8EC-E0BFF8CA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89.995995515850908</c:v>
                </c:pt>
                <c:pt idx="2">
                  <c:v>90.552393978461168</c:v>
                </c:pt>
                <c:pt idx="3">
                  <c:v>91.292066474811051</c:v>
                </c:pt>
                <c:pt idx="4">
                  <c:v>91.389814406317043</c:v>
                </c:pt>
                <c:pt idx="5">
                  <c:v>92.238387522467065</c:v>
                </c:pt>
                <c:pt idx="6">
                  <c:v>93.030886590389059</c:v>
                </c:pt>
                <c:pt idx="7">
                  <c:v>91.957740184311618</c:v>
                </c:pt>
                <c:pt idx="8">
                  <c:v>92.064780868807119</c:v>
                </c:pt>
                <c:pt idx="9">
                  <c:v>91.72046724986474</c:v>
                </c:pt>
                <c:pt idx="10">
                  <c:v>91.138266030570236</c:v>
                </c:pt>
                <c:pt idx="11">
                  <c:v>91.279519267698603</c:v>
                </c:pt>
                <c:pt idx="12">
                  <c:v>92.039786985306705</c:v>
                </c:pt>
                <c:pt idx="13">
                  <c:v>92.630099418114341</c:v>
                </c:pt>
                <c:pt idx="14">
                  <c:v>93.016476824033788</c:v>
                </c:pt>
                <c:pt idx="15">
                  <c:v>93.501897110482261</c:v>
                </c:pt>
                <c:pt idx="16">
                  <c:v>94.350052330691184</c:v>
                </c:pt>
                <c:pt idx="17">
                  <c:v>95.260856705581915</c:v>
                </c:pt>
                <c:pt idx="18">
                  <c:v>95.552722275906191</c:v>
                </c:pt>
                <c:pt idx="19">
                  <c:v>96.895767004239659</c:v>
                </c:pt>
                <c:pt idx="20">
                  <c:v>97.748055880166291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C-784C-9EDF-39585E0D24FF}"/>
            </c:ext>
          </c:extLst>
        </c:ser>
        <c:ser>
          <c:idx val="1"/>
          <c:order val="1"/>
          <c:tx>
            <c:strRef>
              <c:f>ws_Return_Matched!$G$2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97.676153308122039</c:v>
                </c:pt>
                <c:pt idx="2">
                  <c:v>98.83113356279307</c:v>
                </c:pt>
                <c:pt idx="3">
                  <c:v>101.4285977332181</c:v>
                </c:pt>
                <c:pt idx="4">
                  <c:v>103.3127404861612</c:v>
                </c:pt>
                <c:pt idx="5">
                  <c:v>106.0241007420837</c:v>
                </c:pt>
                <c:pt idx="6">
                  <c:v>108.5395920602153</c:v>
                </c:pt>
                <c:pt idx="7">
                  <c:v>110.25434118718699</c:v>
                </c:pt>
                <c:pt idx="8">
                  <c:v>111.8831823707845</c:v>
                </c:pt>
                <c:pt idx="9">
                  <c:v>112.9976853523584</c:v>
                </c:pt>
                <c:pt idx="10">
                  <c:v>114.9151192644578</c:v>
                </c:pt>
                <c:pt idx="11">
                  <c:v>116.5652562130128</c:v>
                </c:pt>
                <c:pt idx="12">
                  <c:v>118.5391810983643</c:v>
                </c:pt>
                <c:pt idx="13">
                  <c:v>120.2018874248146</c:v>
                </c:pt>
                <c:pt idx="14">
                  <c:v>122.50292018407779</c:v>
                </c:pt>
                <c:pt idx="15">
                  <c:v>124.51844449561941</c:v>
                </c:pt>
                <c:pt idx="16">
                  <c:v>126.6563314151488</c:v>
                </c:pt>
                <c:pt idx="17">
                  <c:v>128.57783840643651</c:v>
                </c:pt>
                <c:pt idx="18">
                  <c:v>131.04516325376011</c:v>
                </c:pt>
                <c:pt idx="19">
                  <c:v>133.16510527222329</c:v>
                </c:pt>
                <c:pt idx="20">
                  <c:v>136.35926052907229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C-784C-9EDF-39585E0D24FF}"/>
            </c:ext>
          </c:extLst>
        </c:ser>
        <c:ser>
          <c:idx val="2"/>
          <c:order val="2"/>
          <c:tx>
            <c:strRef>
              <c:f>ws_Return_Matched!$H$2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105.0300665755282</c:v>
                </c:pt>
                <c:pt idx="2">
                  <c:v>109.29236227297</c:v>
                </c:pt>
                <c:pt idx="3">
                  <c:v>113.6490261362765</c:v>
                </c:pt>
                <c:pt idx="4">
                  <c:v>118.6161336145399</c:v>
                </c:pt>
                <c:pt idx="5">
                  <c:v>123.91418332644849</c:v>
                </c:pt>
                <c:pt idx="6">
                  <c:v>129.27473896432781</c:v>
                </c:pt>
                <c:pt idx="7">
                  <c:v>134.4219045797031</c:v>
                </c:pt>
                <c:pt idx="8">
                  <c:v>139.3882525395519</c:v>
                </c:pt>
                <c:pt idx="9">
                  <c:v>144.12348447524221</c:v>
                </c:pt>
                <c:pt idx="10">
                  <c:v>148.76831276431929</c:v>
                </c:pt>
                <c:pt idx="11">
                  <c:v>153.43283709334369</c:v>
                </c:pt>
                <c:pt idx="12">
                  <c:v>158.26465110229961</c:v>
                </c:pt>
                <c:pt idx="13">
                  <c:v>163.4617600488842</c:v>
                </c:pt>
                <c:pt idx="14">
                  <c:v>168.60041083283909</c:v>
                </c:pt>
                <c:pt idx="15">
                  <c:v>173.83560802417369</c:v>
                </c:pt>
                <c:pt idx="16">
                  <c:v>179.4075591171754</c:v>
                </c:pt>
                <c:pt idx="17">
                  <c:v>185.07256510070789</c:v>
                </c:pt>
                <c:pt idx="18">
                  <c:v>191.21324295074319</c:v>
                </c:pt>
                <c:pt idx="19">
                  <c:v>197.36120014901451</c:v>
                </c:pt>
                <c:pt idx="20">
                  <c:v>203.69632211639529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C-784C-9EDF-39585E0D24FF}"/>
            </c:ext>
          </c:extLst>
        </c:ser>
        <c:ser>
          <c:idx val="3"/>
          <c:order val="3"/>
          <c:tx>
            <c:strRef>
              <c:f>ws_Return_Matched!$I$2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111.9430208385549</c:v>
                </c:pt>
                <c:pt idx="2">
                  <c:v>119.2078486874349</c:v>
                </c:pt>
                <c:pt idx="3">
                  <c:v>126.2423230922173</c:v>
                </c:pt>
                <c:pt idx="4">
                  <c:v>134.61964085481591</c:v>
                </c:pt>
                <c:pt idx="5">
                  <c:v>143.35958788546051</c:v>
                </c:pt>
                <c:pt idx="6">
                  <c:v>151.81404643913041</c:v>
                </c:pt>
                <c:pt idx="7">
                  <c:v>160.75551752303511</c:v>
                </c:pt>
                <c:pt idx="8">
                  <c:v>169.70578520657949</c:v>
                </c:pt>
                <c:pt idx="9">
                  <c:v>179.06222062620441</c:v>
                </c:pt>
                <c:pt idx="10">
                  <c:v>188.27009550156879</c:v>
                </c:pt>
                <c:pt idx="11">
                  <c:v>197.57299186521499</c:v>
                </c:pt>
                <c:pt idx="12">
                  <c:v>207.9820035116924</c:v>
                </c:pt>
                <c:pt idx="13">
                  <c:v>218.34759144645841</c:v>
                </c:pt>
                <c:pt idx="14">
                  <c:v>229.3279839545024</c:v>
                </c:pt>
                <c:pt idx="15">
                  <c:v>240.26501210067769</c:v>
                </c:pt>
                <c:pt idx="16">
                  <c:v>252.1635225575094</c:v>
                </c:pt>
                <c:pt idx="17">
                  <c:v>263.54008492794372</c:v>
                </c:pt>
                <c:pt idx="18">
                  <c:v>276.40868736525152</c:v>
                </c:pt>
                <c:pt idx="19">
                  <c:v>288.09703977925687</c:v>
                </c:pt>
                <c:pt idx="20">
                  <c:v>300.33440778249462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3C-784C-9EDF-39585E0D2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2-B642-A430-73D0502151C2}"/>
            </c:ext>
          </c:extLst>
        </c:ser>
        <c:ser>
          <c:idx val="1"/>
          <c:order val="1"/>
          <c:tx>
            <c:strRef>
              <c:f>ws_Return_Matched!$O$2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F2-B642-A430-73D0502151C2}"/>
            </c:ext>
          </c:extLst>
        </c:ser>
        <c:ser>
          <c:idx val="2"/>
          <c:order val="2"/>
          <c:tx>
            <c:strRef>
              <c:f>ws_Return_Matched!$P$2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F2-B642-A430-73D0502151C2}"/>
            </c:ext>
          </c:extLst>
        </c:ser>
        <c:ser>
          <c:idx val="3"/>
          <c:order val="3"/>
          <c:tx>
            <c:strRef>
              <c:f>ws_Return_Matched!$Q$2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F2-B642-A430-73D050215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'ws_Return_Matched_(No_Private_A'!$J$2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9-0E43-8D6B-B352E1BD746E}"/>
            </c:ext>
          </c:extLst>
        </c:ser>
        <c:ser>
          <c:idx val="1"/>
          <c:order val="1"/>
          <c:tx>
            <c:strRef>
              <c:f>'ws_Return_Matched_(No_Private_A'!$K$2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9-0E43-8D6B-B352E1BD746E}"/>
            </c:ext>
          </c:extLst>
        </c:ser>
        <c:ser>
          <c:idx val="2"/>
          <c:order val="2"/>
          <c:tx>
            <c:strRef>
              <c:f>'ws_Return_Matched_(No_Private_A'!$L$2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9-0E43-8D6B-B352E1BD746E}"/>
            </c:ext>
          </c:extLst>
        </c:ser>
        <c:ser>
          <c:idx val="3"/>
          <c:order val="3"/>
          <c:tx>
            <c:strRef>
              <c:f>'ws_Return_Matched_(No_Private_A'!$M$2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99-0E43-8D6B-B352E1BD7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'ws_Return_Matched_(No_Private_A'!$B$2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92.320784944677925</c:v>
                </c:pt>
                <c:pt idx="2">
                  <c:v>95.41042114842277</c:v>
                </c:pt>
                <c:pt idx="3">
                  <c:v>98.548820614657444</c:v>
                </c:pt>
                <c:pt idx="4">
                  <c:v>100.8096386683533</c:v>
                </c:pt>
                <c:pt idx="5">
                  <c:v>104.37173032053251</c:v>
                </c:pt>
                <c:pt idx="6">
                  <c:v>107.20116985570191</c:v>
                </c:pt>
                <c:pt idx="7">
                  <c:v>108.083354668361</c:v>
                </c:pt>
                <c:pt idx="8">
                  <c:v>110.7354998645626</c:v>
                </c:pt>
                <c:pt idx="9">
                  <c:v>111.83978957531281</c:v>
                </c:pt>
                <c:pt idx="10">
                  <c:v>114.31782189949369</c:v>
                </c:pt>
                <c:pt idx="11">
                  <c:v>116.87548610820311</c:v>
                </c:pt>
                <c:pt idx="12">
                  <c:v>119.72589063560569</c:v>
                </c:pt>
                <c:pt idx="13">
                  <c:v>122.6811933006795</c:v>
                </c:pt>
                <c:pt idx="14">
                  <c:v>125.62587589978639</c:v>
                </c:pt>
                <c:pt idx="15">
                  <c:v>128.80866606423879</c:v>
                </c:pt>
                <c:pt idx="16">
                  <c:v>132.40941717009491</c:v>
                </c:pt>
                <c:pt idx="17">
                  <c:v>136.38536207791361</c:v>
                </c:pt>
                <c:pt idx="18">
                  <c:v>140.02234019053211</c:v>
                </c:pt>
                <c:pt idx="19">
                  <c:v>145.19818433262651</c:v>
                </c:pt>
                <c:pt idx="20">
                  <c:v>148.19553160359121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5-024C-90A1-7547221B6CF2}"/>
            </c:ext>
          </c:extLst>
        </c:ser>
        <c:ser>
          <c:idx val="1"/>
          <c:order val="1"/>
          <c:tx>
            <c:strRef>
              <c:f>'ws_Return_Matched_(No_Private_A'!$C$2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100.00427483719039</c:v>
                </c:pt>
                <c:pt idx="2">
                  <c:v>103.95836228979429</c:v>
                </c:pt>
                <c:pt idx="3">
                  <c:v>109.1624837297483</c:v>
                </c:pt>
                <c:pt idx="4">
                  <c:v>113.91892093918329</c:v>
                </c:pt>
                <c:pt idx="5">
                  <c:v>119.5725312905851</c:v>
                </c:pt>
                <c:pt idx="6">
                  <c:v>125.2536356445228</c:v>
                </c:pt>
                <c:pt idx="7">
                  <c:v>129.91084882207761</c:v>
                </c:pt>
                <c:pt idx="8">
                  <c:v>134.5498459166057</c:v>
                </c:pt>
                <c:pt idx="9">
                  <c:v>139.0485691242321</c:v>
                </c:pt>
                <c:pt idx="10">
                  <c:v>144.24110037013611</c:v>
                </c:pt>
                <c:pt idx="11">
                  <c:v>149.22949555178869</c:v>
                </c:pt>
                <c:pt idx="12">
                  <c:v>154.53994319695701</c:v>
                </c:pt>
                <c:pt idx="13">
                  <c:v>160.20928838358239</c:v>
                </c:pt>
                <c:pt idx="14">
                  <c:v>166.38017457751869</c:v>
                </c:pt>
                <c:pt idx="15">
                  <c:v>172.6832570068116</c:v>
                </c:pt>
                <c:pt idx="16">
                  <c:v>179.03279162870999</c:v>
                </c:pt>
                <c:pt idx="17">
                  <c:v>186.04387791387629</c:v>
                </c:pt>
                <c:pt idx="18">
                  <c:v>193.16006267765471</c:v>
                </c:pt>
                <c:pt idx="19">
                  <c:v>200.62746094381711</c:v>
                </c:pt>
                <c:pt idx="20">
                  <c:v>208.3517239264159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5-024C-90A1-7547221B6CF2}"/>
            </c:ext>
          </c:extLst>
        </c:ser>
        <c:ser>
          <c:idx val="2"/>
          <c:order val="2"/>
          <c:tx>
            <c:strRef>
              <c:f>'ws_Return_Matched_(No_Private_A'!$D$2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107.71752090342891</c:v>
                </c:pt>
                <c:pt idx="2">
                  <c:v>114.8845239211137</c:v>
                </c:pt>
                <c:pt idx="3">
                  <c:v>122.2291199270274</c:v>
                </c:pt>
                <c:pt idx="4">
                  <c:v>130.50860716455409</c:v>
                </c:pt>
                <c:pt idx="5">
                  <c:v>139.50860976368381</c:v>
                </c:pt>
                <c:pt idx="6">
                  <c:v>148.80210791792149</c:v>
                </c:pt>
                <c:pt idx="7">
                  <c:v>157.94510179635699</c:v>
                </c:pt>
                <c:pt idx="8">
                  <c:v>167.1186620957676</c:v>
                </c:pt>
                <c:pt idx="9">
                  <c:v>176.57153645390389</c:v>
                </c:pt>
                <c:pt idx="10">
                  <c:v>186.3328545019088</c:v>
                </c:pt>
                <c:pt idx="11">
                  <c:v>196.33217124570331</c:v>
                </c:pt>
                <c:pt idx="12">
                  <c:v>206.3577687920301</c:v>
                </c:pt>
                <c:pt idx="13">
                  <c:v>217.3801190847787</c:v>
                </c:pt>
                <c:pt idx="14">
                  <c:v>228.9616308922356</c:v>
                </c:pt>
                <c:pt idx="15">
                  <c:v>240.7206564617818</c:v>
                </c:pt>
                <c:pt idx="16">
                  <c:v>253.4603003751719</c:v>
                </c:pt>
                <c:pt idx="17">
                  <c:v>266.65246742164152</c:v>
                </c:pt>
                <c:pt idx="18">
                  <c:v>280.9000795859854</c:v>
                </c:pt>
                <c:pt idx="19">
                  <c:v>296.19295722242839</c:v>
                </c:pt>
                <c:pt idx="20">
                  <c:v>311.8472126016855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5-024C-90A1-7547221B6CF2}"/>
            </c:ext>
          </c:extLst>
        </c:ser>
        <c:ser>
          <c:idx val="3"/>
          <c:order val="3"/>
          <c:tx>
            <c:strRef>
              <c:f>'ws_Return_Matched_(No_Private_A'!$E$2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114.52539431765869</c:v>
                </c:pt>
                <c:pt idx="2">
                  <c:v>125.1432102325943</c:v>
                </c:pt>
                <c:pt idx="3">
                  <c:v>135.7707828618544</c:v>
                </c:pt>
                <c:pt idx="4">
                  <c:v>147.97691974335291</c:v>
                </c:pt>
                <c:pt idx="5">
                  <c:v>161.00424540360541</c:v>
                </c:pt>
                <c:pt idx="6">
                  <c:v>174.3811652295303</c:v>
                </c:pt>
                <c:pt idx="7">
                  <c:v>188.46103340652209</c:v>
                </c:pt>
                <c:pt idx="8">
                  <c:v>202.80022170833109</c:v>
                </c:pt>
                <c:pt idx="9">
                  <c:v>218.27872212264489</c:v>
                </c:pt>
                <c:pt idx="10">
                  <c:v>234.1274015605654</c:v>
                </c:pt>
                <c:pt idx="11">
                  <c:v>251.50692342878571</c:v>
                </c:pt>
                <c:pt idx="12">
                  <c:v>269.64299589898951</c:v>
                </c:pt>
                <c:pt idx="13">
                  <c:v>289.65273846895599</c:v>
                </c:pt>
                <c:pt idx="14">
                  <c:v>311.23507233841821</c:v>
                </c:pt>
                <c:pt idx="15">
                  <c:v>333.19141059073672</c:v>
                </c:pt>
                <c:pt idx="16">
                  <c:v>356.36420488895698</c:v>
                </c:pt>
                <c:pt idx="17">
                  <c:v>381.32127430957951</c:v>
                </c:pt>
                <c:pt idx="18">
                  <c:v>408.3517413768613</c:v>
                </c:pt>
                <c:pt idx="19">
                  <c:v>434.62325105044692</c:v>
                </c:pt>
                <c:pt idx="20">
                  <c:v>464.47414491339418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65-024C-90A1-7547221B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'ws_Return_Matched_(No_Private_A'!$F$2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89.206328982729246</c:v>
                </c:pt>
                <c:pt idx="2">
                  <c:v>89.929667470539655</c:v>
                </c:pt>
                <c:pt idx="3">
                  <c:v>90.679629545780841</c:v>
                </c:pt>
                <c:pt idx="4">
                  <c:v>90.940008233295202</c:v>
                </c:pt>
                <c:pt idx="5">
                  <c:v>91.924532950874507</c:v>
                </c:pt>
                <c:pt idx="6">
                  <c:v>92.574797338032354</c:v>
                </c:pt>
                <c:pt idx="7">
                  <c:v>91.858446942116998</c:v>
                </c:pt>
                <c:pt idx="8">
                  <c:v>92.495818067316051</c:v>
                </c:pt>
                <c:pt idx="9">
                  <c:v>91.936319998586711</c:v>
                </c:pt>
                <c:pt idx="10">
                  <c:v>92.133397963342233</c:v>
                </c:pt>
                <c:pt idx="11">
                  <c:v>91.902029032917795</c:v>
                </c:pt>
                <c:pt idx="12">
                  <c:v>92.513544591480951</c:v>
                </c:pt>
                <c:pt idx="13">
                  <c:v>93.157944575863979</c:v>
                </c:pt>
                <c:pt idx="14">
                  <c:v>93.31390965465711</c:v>
                </c:pt>
                <c:pt idx="15">
                  <c:v>94.471339410589664</c:v>
                </c:pt>
                <c:pt idx="16">
                  <c:v>95.623726487842134</c:v>
                </c:pt>
                <c:pt idx="17">
                  <c:v>95.639942844912184</c:v>
                </c:pt>
                <c:pt idx="18">
                  <c:v>96.721768667974786</c:v>
                </c:pt>
                <c:pt idx="19">
                  <c:v>98.115785685999455</c:v>
                </c:pt>
                <c:pt idx="20">
                  <c:v>98.869256194337041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9-5544-87E5-C7EB30875BF4}"/>
            </c:ext>
          </c:extLst>
        </c:ser>
        <c:ser>
          <c:idx val="1"/>
          <c:order val="1"/>
          <c:tx>
            <c:strRef>
              <c:f>'ws_Return_Matched_(No_Private_A'!$G$2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97.475901122777444</c:v>
                </c:pt>
                <c:pt idx="2">
                  <c:v>98.722932542973595</c:v>
                </c:pt>
                <c:pt idx="3">
                  <c:v>101.47257465755661</c:v>
                </c:pt>
                <c:pt idx="4">
                  <c:v>103.4413730659374</c:v>
                </c:pt>
                <c:pt idx="5">
                  <c:v>106.254165369086</c:v>
                </c:pt>
                <c:pt idx="6">
                  <c:v>108.8583992987877</c:v>
                </c:pt>
                <c:pt idx="7">
                  <c:v>110.7440854214957</c:v>
                </c:pt>
                <c:pt idx="8">
                  <c:v>112.51213960725831</c:v>
                </c:pt>
                <c:pt idx="9">
                  <c:v>113.8430793039101</c:v>
                </c:pt>
                <c:pt idx="10">
                  <c:v>115.9441364457403</c:v>
                </c:pt>
                <c:pt idx="11">
                  <c:v>117.6886869350184</c:v>
                </c:pt>
                <c:pt idx="12">
                  <c:v>119.7459429429184</c:v>
                </c:pt>
                <c:pt idx="13">
                  <c:v>121.64621873727231</c:v>
                </c:pt>
                <c:pt idx="14">
                  <c:v>123.9103596909831</c:v>
                </c:pt>
                <c:pt idx="15">
                  <c:v>126.0771670333025</c:v>
                </c:pt>
                <c:pt idx="16">
                  <c:v>128.20253641360341</c:v>
                </c:pt>
                <c:pt idx="17">
                  <c:v>130.42483832870931</c:v>
                </c:pt>
                <c:pt idx="18">
                  <c:v>132.82431111341731</c:v>
                </c:pt>
                <c:pt idx="19">
                  <c:v>134.86990639310079</c:v>
                </c:pt>
                <c:pt idx="20">
                  <c:v>138.1362220205572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9-5544-87E5-C7EB30875BF4}"/>
            </c:ext>
          </c:extLst>
        </c:ser>
        <c:ser>
          <c:idx val="2"/>
          <c:order val="2"/>
          <c:tx>
            <c:strRef>
              <c:f>'ws_Return_Matched_(No_Private_A'!$H$2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105.3516601645548</c:v>
                </c:pt>
                <c:pt idx="2">
                  <c:v>109.80237033332889</c:v>
                </c:pt>
                <c:pt idx="3">
                  <c:v>114.3067925828516</c:v>
                </c:pt>
                <c:pt idx="4">
                  <c:v>119.4699206184528</c:v>
                </c:pt>
                <c:pt idx="5">
                  <c:v>124.9891407789068</c:v>
                </c:pt>
                <c:pt idx="6">
                  <c:v>130.66079291375391</c:v>
                </c:pt>
                <c:pt idx="7">
                  <c:v>135.68015583961159</c:v>
                </c:pt>
                <c:pt idx="8">
                  <c:v>140.72661379514409</c:v>
                </c:pt>
                <c:pt idx="9">
                  <c:v>145.74080514878179</c:v>
                </c:pt>
                <c:pt idx="10">
                  <c:v>150.53084102746959</c:v>
                </c:pt>
                <c:pt idx="11">
                  <c:v>155.59187956731489</c:v>
                </c:pt>
                <c:pt idx="12">
                  <c:v>160.62239956146439</c:v>
                </c:pt>
                <c:pt idx="13">
                  <c:v>165.93302480435469</c:v>
                </c:pt>
                <c:pt idx="14">
                  <c:v>171.19456410882071</c:v>
                </c:pt>
                <c:pt idx="15">
                  <c:v>176.63143563513151</c:v>
                </c:pt>
                <c:pt idx="16">
                  <c:v>182.43552145340459</c:v>
                </c:pt>
                <c:pt idx="17">
                  <c:v>188.4067382649404</c:v>
                </c:pt>
                <c:pt idx="18">
                  <c:v>194.84824107959179</c:v>
                </c:pt>
                <c:pt idx="19">
                  <c:v>201.2380490939716</c:v>
                </c:pt>
                <c:pt idx="20">
                  <c:v>207.57950778849801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19-5544-87E5-C7EB30875BF4}"/>
            </c:ext>
          </c:extLst>
        </c:ser>
        <c:ser>
          <c:idx val="3"/>
          <c:order val="3"/>
          <c:tx>
            <c:strRef>
              <c:f>'ws_Return_Matched_(No_Private_A'!$I$2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112.27751000551829</c:v>
                </c:pt>
                <c:pt idx="2">
                  <c:v>120.04203671497061</c:v>
                </c:pt>
                <c:pt idx="3">
                  <c:v>127.4446723643115</c:v>
                </c:pt>
                <c:pt idx="4">
                  <c:v>136.17749445576359</c:v>
                </c:pt>
                <c:pt idx="5">
                  <c:v>145.17161078165131</c:v>
                </c:pt>
                <c:pt idx="6">
                  <c:v>153.87903115509371</c:v>
                </c:pt>
                <c:pt idx="7">
                  <c:v>163.10749270278649</c:v>
                </c:pt>
                <c:pt idx="8">
                  <c:v>172.1071078041565</c:v>
                </c:pt>
                <c:pt idx="9">
                  <c:v>181.68011830244771</c:v>
                </c:pt>
                <c:pt idx="10">
                  <c:v>191.16328565715929</c:v>
                </c:pt>
                <c:pt idx="11">
                  <c:v>200.88322128090471</c:v>
                </c:pt>
                <c:pt idx="12">
                  <c:v>211.21079288000709</c:v>
                </c:pt>
                <c:pt idx="13">
                  <c:v>222.09890399095829</c:v>
                </c:pt>
                <c:pt idx="14">
                  <c:v>233.51323302549261</c:v>
                </c:pt>
                <c:pt idx="15">
                  <c:v>244.72973335017579</c:v>
                </c:pt>
                <c:pt idx="16">
                  <c:v>256.05843094712668</c:v>
                </c:pt>
                <c:pt idx="17">
                  <c:v>268.90917445149307</c:v>
                </c:pt>
                <c:pt idx="18">
                  <c:v>281.90539248790839</c:v>
                </c:pt>
                <c:pt idx="19">
                  <c:v>293.69758626692652</c:v>
                </c:pt>
                <c:pt idx="20">
                  <c:v>307.01479298687639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19-5544-87E5-C7EB30875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'ws_Return_Matched_(No_Private_A'!$N$2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3-C349-8D08-828A74F58984}"/>
            </c:ext>
          </c:extLst>
        </c:ser>
        <c:ser>
          <c:idx val="1"/>
          <c:order val="1"/>
          <c:tx>
            <c:strRef>
              <c:f>'ws_Return_Matched_(No_Private_A'!$O$2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3-C349-8D08-828A74F58984}"/>
            </c:ext>
          </c:extLst>
        </c:ser>
        <c:ser>
          <c:idx val="2"/>
          <c:order val="2"/>
          <c:tx>
            <c:strRef>
              <c:f>'ws_Return_Matched_(No_Private_A'!$P$2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3-C349-8D08-828A74F58984}"/>
            </c:ext>
          </c:extLst>
        </c:ser>
        <c:ser>
          <c:idx val="3"/>
          <c:order val="3"/>
          <c:tx>
            <c:strRef>
              <c:f>'ws_Return_Matched_(No_Private_A'!$Q$2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'ws_Return_Matched_(No_Private_A'!$A$3:$A$23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'ws_Return_Matched_(No_Private_A'!$Q$3:$Q$23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43-C349-8D08-828A74F58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D2" sqref="A1:D2"/>
    </sheetView>
  </sheetViews>
  <sheetFormatPr baseColWidth="10" defaultColWidth="8.83203125" defaultRowHeight="15" x14ac:dyDescent="0.2"/>
  <cols>
    <col min="1" max="1" width="37.6640625" customWidth="1"/>
    <col min="2" max="4" width="18" customWidth="1"/>
  </cols>
  <sheetData>
    <row r="1" spans="1:4" s="64" customFormat="1" ht="23" customHeight="1" x14ac:dyDescent="0.2">
      <c r="A1" s="60"/>
      <c r="B1" s="61"/>
      <c r="C1" s="62" t="s">
        <v>1</v>
      </c>
      <c r="D1" s="63"/>
    </row>
    <row r="2" spans="1:4" ht="38" customHeight="1" x14ac:dyDescent="0.2">
      <c r="A2" s="43"/>
      <c r="B2" s="42" t="s">
        <v>0</v>
      </c>
      <c r="C2" s="42" t="s">
        <v>103</v>
      </c>
      <c r="D2" s="44" t="s">
        <v>104</v>
      </c>
    </row>
    <row r="3" spans="1:4" ht="17" customHeight="1" x14ac:dyDescent="0.2">
      <c r="A3" s="45" t="s">
        <v>2</v>
      </c>
      <c r="B3" s="1">
        <v>0.38000000000000012</v>
      </c>
      <c r="C3" s="1">
        <v>0.45911337468936569</v>
      </c>
      <c r="D3" s="46">
        <v>0.44063252829159599</v>
      </c>
    </row>
    <row r="4" spans="1:4" ht="17" customHeight="1" x14ac:dyDescent="0.2">
      <c r="A4" s="47" t="s">
        <v>3</v>
      </c>
      <c r="B4" s="2">
        <v>20</v>
      </c>
      <c r="C4" s="2">
        <v>19.262794912931909</v>
      </c>
      <c r="D4" s="48">
        <v>30.06347833381529</v>
      </c>
    </row>
    <row r="5" spans="1:4" ht="17" customHeight="1" x14ac:dyDescent="0.2">
      <c r="A5" s="47" t="s">
        <v>4</v>
      </c>
      <c r="B5" s="2">
        <v>18</v>
      </c>
      <c r="C5" s="2">
        <v>21.0198041879835</v>
      </c>
      <c r="D5" s="48">
        <v>5.0178450130566974</v>
      </c>
    </row>
    <row r="6" spans="1:4" ht="17" customHeight="1" x14ac:dyDescent="0.2">
      <c r="A6" s="47" t="s">
        <v>5</v>
      </c>
      <c r="B6" s="2" t="s">
        <v>99</v>
      </c>
      <c r="C6" s="2">
        <v>0.54887970230445615</v>
      </c>
      <c r="D6" s="48">
        <v>0.90172074804014657</v>
      </c>
    </row>
    <row r="7" spans="1:4" ht="17" customHeight="1" x14ac:dyDescent="0.2">
      <c r="A7" s="47" t="s">
        <v>6</v>
      </c>
      <c r="B7" s="2" t="s">
        <v>99</v>
      </c>
      <c r="C7" s="2">
        <v>5.07985866571671</v>
      </c>
      <c r="D7" s="48">
        <v>8.0802087342474689</v>
      </c>
    </row>
    <row r="8" spans="1:4" ht="17" customHeight="1" x14ac:dyDescent="0.2">
      <c r="A8" s="45" t="s">
        <v>7</v>
      </c>
      <c r="B8" s="1">
        <v>0</v>
      </c>
      <c r="C8" s="1">
        <v>5.8239282606336762E-2</v>
      </c>
      <c r="D8" s="46">
        <v>8.2975176327718336E-2</v>
      </c>
    </row>
    <row r="9" spans="1:4" ht="17" customHeight="1" x14ac:dyDescent="0.2">
      <c r="A9" s="47" t="s">
        <v>8</v>
      </c>
      <c r="B9" s="2" t="s">
        <v>99</v>
      </c>
      <c r="C9" s="2">
        <v>3.94113574643904</v>
      </c>
      <c r="D9" s="48">
        <v>5.6144662308281257</v>
      </c>
    </row>
    <row r="10" spans="1:4" ht="17" customHeight="1" x14ac:dyDescent="0.2">
      <c r="A10" s="47" t="s">
        <v>9</v>
      </c>
      <c r="B10" s="2" t="s">
        <v>99</v>
      </c>
      <c r="C10" s="2">
        <v>1.882792514194636</v>
      </c>
      <c r="D10" s="48">
        <v>2.6830514019437079</v>
      </c>
    </row>
    <row r="11" spans="1:4" ht="17" customHeight="1" x14ac:dyDescent="0.2">
      <c r="A11" s="45" t="s">
        <v>10</v>
      </c>
      <c r="B11" s="1">
        <v>0.46000000000000008</v>
      </c>
      <c r="C11" s="1">
        <v>0.26197536370463542</v>
      </c>
      <c r="D11" s="46">
        <v>0.30182271782833769</v>
      </c>
    </row>
    <row r="12" spans="1:4" ht="17" customHeight="1" x14ac:dyDescent="0.2">
      <c r="A12" s="47" t="s">
        <v>11</v>
      </c>
      <c r="B12" s="2">
        <v>10</v>
      </c>
      <c r="C12" s="2" t="s">
        <v>99</v>
      </c>
      <c r="D12" s="48" t="s">
        <v>99</v>
      </c>
    </row>
    <row r="13" spans="1:4" ht="17" customHeight="1" x14ac:dyDescent="0.2">
      <c r="A13" s="49" t="s">
        <v>100</v>
      </c>
      <c r="B13" s="2">
        <f>SUM(B14:B16)</f>
        <v>11.000000000000002</v>
      </c>
      <c r="C13" s="2">
        <f t="shared" ref="C13:D13" si="0">SUM(C14:C16)</f>
        <v>10.459560801211632</v>
      </c>
      <c r="D13" s="48">
        <f t="shared" si="0"/>
        <v>12.692217627572861</v>
      </c>
    </row>
    <row r="14" spans="1:4" ht="17" hidden="1" customHeight="1" x14ac:dyDescent="0.2">
      <c r="A14" s="47" t="s">
        <v>12</v>
      </c>
      <c r="B14" s="2">
        <v>6.0000000000000009</v>
      </c>
      <c r="C14" s="2">
        <v>4.1838243204845504</v>
      </c>
      <c r="D14" s="48">
        <v>5.0768870510281703</v>
      </c>
    </row>
    <row r="15" spans="1:4" ht="17" hidden="1" customHeight="1" x14ac:dyDescent="0.2">
      <c r="A15" s="47" t="s">
        <v>13</v>
      </c>
      <c r="B15" s="2">
        <v>5.0000000000000009</v>
      </c>
      <c r="C15" s="2">
        <v>4.7068023605452041</v>
      </c>
      <c r="D15" s="48">
        <v>5.7114979324076049</v>
      </c>
    </row>
    <row r="16" spans="1:4" ht="17" hidden="1" customHeight="1" x14ac:dyDescent="0.2">
      <c r="A16" s="47" t="s">
        <v>14</v>
      </c>
      <c r="B16" s="2" t="s">
        <v>99</v>
      </c>
      <c r="C16" s="2">
        <v>1.5689341201818769</v>
      </c>
      <c r="D16" s="48">
        <v>1.9038326441370841</v>
      </c>
    </row>
    <row r="17" spans="1:4" ht="17" customHeight="1" x14ac:dyDescent="0.2">
      <c r="A17" s="47" t="s">
        <v>15</v>
      </c>
      <c r="B17" s="2">
        <v>7.0000000000000018</v>
      </c>
      <c r="C17" s="2">
        <v>3.1973748646935038</v>
      </c>
      <c r="D17" s="48">
        <v>3.201108060133083</v>
      </c>
    </row>
    <row r="18" spans="1:4" ht="17" customHeight="1" x14ac:dyDescent="0.2">
      <c r="A18" s="47" t="s">
        <v>16</v>
      </c>
      <c r="B18" s="2" t="s">
        <v>99</v>
      </c>
      <c r="C18" s="2">
        <v>4.0330195287844619</v>
      </c>
      <c r="D18" s="48">
        <v>4.7636357114675238</v>
      </c>
    </row>
    <row r="19" spans="1:4" ht="17" customHeight="1" x14ac:dyDescent="0.2">
      <c r="A19" s="47" t="s">
        <v>17</v>
      </c>
      <c r="B19" s="2">
        <v>4.0000000000000009</v>
      </c>
      <c r="C19" s="2">
        <v>1.4838673535241129</v>
      </c>
      <c r="D19" s="48">
        <v>0.48985987657184799</v>
      </c>
    </row>
    <row r="20" spans="1:4" ht="17" customHeight="1" x14ac:dyDescent="0.2">
      <c r="A20" s="47" t="s">
        <v>18</v>
      </c>
      <c r="B20" s="2">
        <v>8.0000000000000018</v>
      </c>
      <c r="C20" s="2">
        <v>3.1163693353337552</v>
      </c>
      <c r="D20" s="48">
        <v>3.6920245174207742</v>
      </c>
    </row>
    <row r="21" spans="1:4" ht="17" customHeight="1" x14ac:dyDescent="0.2">
      <c r="A21" s="47" t="s">
        <v>19</v>
      </c>
      <c r="B21" s="2">
        <v>6.0000000000000009</v>
      </c>
      <c r="C21" s="2">
        <v>2.2413053069739082</v>
      </c>
      <c r="D21" s="48">
        <v>2.761656726236065</v>
      </c>
    </row>
    <row r="22" spans="1:4" ht="17" customHeight="1" x14ac:dyDescent="0.2">
      <c r="A22" s="49" t="s">
        <v>101</v>
      </c>
      <c r="B22" s="2" t="s">
        <v>99</v>
      </c>
      <c r="C22" s="2">
        <f>SUM(C23:C24)</f>
        <v>1.6660391798731773</v>
      </c>
      <c r="D22" s="48">
        <f>SUM(D23:D24)</f>
        <v>2.5817692625636068</v>
      </c>
    </row>
    <row r="23" spans="1:4" ht="17" hidden="1" customHeight="1" x14ac:dyDescent="0.2">
      <c r="A23" s="47" t="s">
        <v>20</v>
      </c>
      <c r="B23" s="2" t="s">
        <v>99</v>
      </c>
      <c r="C23" s="2">
        <v>0.83301958993415826</v>
      </c>
      <c r="D23" s="48">
        <v>1.2908846312608051</v>
      </c>
    </row>
    <row r="24" spans="1:4" ht="17" hidden="1" customHeight="1" x14ac:dyDescent="0.2">
      <c r="A24" s="47" t="s">
        <v>21</v>
      </c>
      <c r="B24" s="2" t="s">
        <v>99</v>
      </c>
      <c r="C24" s="2">
        <v>0.83301958993901914</v>
      </c>
      <c r="D24" s="48">
        <v>1.290884631302802</v>
      </c>
    </row>
    <row r="25" spans="1:4" ht="17" customHeight="1" x14ac:dyDescent="0.2">
      <c r="A25" s="45" t="s">
        <v>22</v>
      </c>
      <c r="B25" s="1">
        <v>0.16</v>
      </c>
      <c r="C25" s="1">
        <v>0.1471691034145198</v>
      </c>
      <c r="D25" s="46">
        <v>0.17456957750194271</v>
      </c>
    </row>
    <row r="26" spans="1:4" ht="17" customHeight="1" x14ac:dyDescent="0.2">
      <c r="A26" s="47" t="s">
        <v>23</v>
      </c>
      <c r="B26" s="2">
        <v>16</v>
      </c>
      <c r="C26" s="2" t="s">
        <v>99</v>
      </c>
      <c r="D26" s="48">
        <v>8.5410343371623665E-10</v>
      </c>
    </row>
    <row r="27" spans="1:4" ht="17" customHeight="1" x14ac:dyDescent="0.2">
      <c r="A27" s="47" t="s">
        <v>24</v>
      </c>
      <c r="B27" s="2" t="s">
        <v>99</v>
      </c>
      <c r="C27" s="2">
        <v>6.8001985152230144</v>
      </c>
      <c r="D27" s="48">
        <v>7.2919202805371564</v>
      </c>
    </row>
    <row r="28" spans="1:4" ht="17" customHeight="1" x14ac:dyDescent="0.2">
      <c r="A28" s="47" t="s">
        <v>25</v>
      </c>
      <c r="B28" s="2" t="s">
        <v>99</v>
      </c>
      <c r="C28" s="2">
        <v>3.5651903025708251</v>
      </c>
      <c r="D28" s="48">
        <v>2.4287157259756058</v>
      </c>
    </row>
    <row r="29" spans="1:4" ht="17" customHeight="1" x14ac:dyDescent="0.2">
      <c r="A29" s="47" t="s">
        <v>26</v>
      </c>
      <c r="B29" s="2" t="s">
        <v>99</v>
      </c>
      <c r="C29" s="2">
        <v>4.3515215235928784</v>
      </c>
      <c r="D29" s="48">
        <v>7.7363217428274043</v>
      </c>
    </row>
    <row r="30" spans="1:4" ht="17" customHeight="1" x14ac:dyDescent="0.2">
      <c r="A30" s="45" t="s">
        <v>27</v>
      </c>
      <c r="B30" s="1">
        <v>0</v>
      </c>
      <c r="C30" s="1">
        <v>3.3095679898271467E-2</v>
      </c>
      <c r="D30" s="46">
        <v>2.6693798821134962E-11</v>
      </c>
    </row>
    <row r="31" spans="1:4" ht="17" customHeight="1" x14ac:dyDescent="0.2">
      <c r="A31" s="47" t="s">
        <v>28</v>
      </c>
      <c r="B31" s="2" t="s">
        <v>99</v>
      </c>
      <c r="C31" s="2">
        <v>1.354957888218739</v>
      </c>
      <c r="D31" s="48" t="s">
        <v>99</v>
      </c>
    </row>
    <row r="32" spans="1:4" ht="17" customHeight="1" x14ac:dyDescent="0.2">
      <c r="A32" s="47" t="s">
        <v>29</v>
      </c>
      <c r="B32" s="2" t="s">
        <v>99</v>
      </c>
      <c r="C32" s="2">
        <v>1.0798017749402431</v>
      </c>
      <c r="D32" s="48" t="s">
        <v>99</v>
      </c>
    </row>
    <row r="33" spans="1:4" ht="17" customHeight="1" x14ac:dyDescent="0.2">
      <c r="A33" s="47" t="s">
        <v>30</v>
      </c>
      <c r="B33" s="2" t="s">
        <v>99</v>
      </c>
      <c r="C33" s="2">
        <v>0.87480832666816577</v>
      </c>
      <c r="D33" s="48" t="s">
        <v>99</v>
      </c>
    </row>
    <row r="34" spans="1:4" ht="17" customHeight="1" x14ac:dyDescent="0.2">
      <c r="A34" s="45" t="s">
        <v>31</v>
      </c>
      <c r="B34" s="1">
        <v>0</v>
      </c>
      <c r="C34" s="1">
        <v>4.0407195686884147E-2</v>
      </c>
      <c r="D34" s="46">
        <v>2.3700117005928231E-11</v>
      </c>
    </row>
    <row r="35" spans="1:4" ht="17" customHeight="1" x14ac:dyDescent="0.2">
      <c r="A35" s="47" t="s">
        <v>32</v>
      </c>
      <c r="B35" s="2" t="s">
        <v>99</v>
      </c>
      <c r="C35" s="2">
        <v>1.8152036412206449</v>
      </c>
      <c r="D35" s="48" t="s">
        <v>99</v>
      </c>
    </row>
    <row r="36" spans="1:4" ht="17" customHeight="1" x14ac:dyDescent="0.2">
      <c r="A36" s="47" t="s">
        <v>33</v>
      </c>
      <c r="B36" s="2" t="s">
        <v>99</v>
      </c>
      <c r="C36" s="2">
        <v>1.6691369455996239</v>
      </c>
      <c r="D36" s="48" t="s">
        <v>99</v>
      </c>
    </row>
    <row r="37" spans="1:4" ht="17" customHeight="1" x14ac:dyDescent="0.2">
      <c r="A37" s="47" t="s">
        <v>34</v>
      </c>
      <c r="B37" s="2" t="s">
        <v>99</v>
      </c>
      <c r="C37" s="2">
        <v>0.55637898186814561</v>
      </c>
      <c r="D37" s="48" t="s">
        <v>99</v>
      </c>
    </row>
    <row r="38" spans="1:4" ht="23" customHeight="1" x14ac:dyDescent="0.2">
      <c r="A38" s="50" t="s">
        <v>35</v>
      </c>
      <c r="B38" s="3">
        <v>1</v>
      </c>
      <c r="C38" s="3">
        <v>1</v>
      </c>
      <c r="D38" s="51">
        <v>1</v>
      </c>
    </row>
    <row r="39" spans="1:4" ht="3" customHeight="1" x14ac:dyDescent="0.2">
      <c r="A39" s="52"/>
      <c r="B39" s="4">
        <v>0</v>
      </c>
      <c r="C39" s="4">
        <v>0</v>
      </c>
      <c r="D39" s="53">
        <v>0</v>
      </c>
    </row>
    <row r="40" spans="1:4" ht="23" customHeight="1" x14ac:dyDescent="0.2">
      <c r="A40" s="54" t="s">
        <v>105</v>
      </c>
      <c r="B40" s="5">
        <v>5.3990265611727463E-2</v>
      </c>
      <c r="C40" s="5">
        <v>5.3646072394300998E-2</v>
      </c>
      <c r="D40" s="55">
        <v>5.3990265611733673E-2</v>
      </c>
    </row>
    <row r="41" spans="1:4" ht="23" customHeight="1" x14ac:dyDescent="0.2">
      <c r="A41" s="54" t="s">
        <v>37</v>
      </c>
      <c r="B41" s="6">
        <v>0.39333907606745733</v>
      </c>
      <c r="C41" s="6">
        <f>(C40-0.025)/C43</f>
        <v>0.5291322174583144</v>
      </c>
      <c r="D41" s="56">
        <v>0.5260708284431731</v>
      </c>
    </row>
    <row r="42" spans="1:4" ht="3" customHeight="1" x14ac:dyDescent="0.2">
      <c r="A42" s="52"/>
      <c r="B42" s="4">
        <v>0</v>
      </c>
      <c r="C42" s="4">
        <v>0</v>
      </c>
      <c r="D42" s="53">
        <v>0</v>
      </c>
    </row>
    <row r="43" spans="1:4" ht="23" customHeight="1" x14ac:dyDescent="0.2">
      <c r="A43" s="57" t="s">
        <v>38</v>
      </c>
      <c r="B43" s="58">
        <v>7.3702989038281208E-2</v>
      </c>
      <c r="C43" s="58">
        <v>5.4137834456390407E-2</v>
      </c>
      <c r="D43" s="59">
        <v>5.5107152961752247E-2</v>
      </c>
    </row>
  </sheetData>
  <mergeCells count="1">
    <mergeCell ref="C1:D1"/>
  </mergeCells>
  <pageMargins left="0.75" right="0.75" top="1" bottom="1" header="0.5" footer="0.5"/>
  <ignoredErrors>
    <ignoredError sqref="C13:D13 C22:E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28.83203125" customWidth="1"/>
    <col min="2" max="7" width="8.6640625" customWidth="1"/>
  </cols>
  <sheetData>
    <row r="1" spans="1:7" ht="47" customHeight="1" x14ac:dyDescent="0.2">
      <c r="A1" s="65"/>
      <c r="B1" s="66" t="s">
        <v>0</v>
      </c>
      <c r="C1" s="67"/>
      <c r="D1" s="66" t="s">
        <v>1</v>
      </c>
      <c r="E1" s="67"/>
      <c r="F1" s="68" t="s">
        <v>102</v>
      </c>
      <c r="G1" s="69"/>
    </row>
    <row r="2" spans="1:7" s="64" customFormat="1" ht="20" customHeight="1" x14ac:dyDescent="0.2">
      <c r="A2" s="89" t="s">
        <v>2</v>
      </c>
      <c r="B2" s="90">
        <v>0.38000000000000012</v>
      </c>
      <c r="C2" s="91"/>
      <c r="D2" s="90">
        <v>0.45911337468936569</v>
      </c>
      <c r="E2" s="91"/>
      <c r="F2" s="90">
        <v>0.44063252829159599</v>
      </c>
      <c r="G2" s="92"/>
    </row>
    <row r="3" spans="1:7" s="64" customFormat="1" ht="16" customHeight="1" x14ac:dyDescent="0.2">
      <c r="A3" s="89" t="s">
        <v>7</v>
      </c>
      <c r="B3" s="90">
        <v>0</v>
      </c>
      <c r="C3" s="91"/>
      <c r="D3" s="90">
        <v>5.8239282606336762E-2</v>
      </c>
      <c r="E3" s="91"/>
      <c r="F3" s="90">
        <v>8.2975176327718336E-2</v>
      </c>
      <c r="G3" s="92"/>
    </row>
    <row r="4" spans="1:7" s="64" customFormat="1" ht="16" customHeight="1" x14ac:dyDescent="0.2">
      <c r="A4" s="89" t="s">
        <v>10</v>
      </c>
      <c r="B4" s="90">
        <v>0.46000000000000008</v>
      </c>
      <c r="C4" s="91"/>
      <c r="D4" s="90">
        <v>0.26197536370463542</v>
      </c>
      <c r="E4" s="91"/>
      <c r="F4" s="90">
        <v>0.30182271782833769</v>
      </c>
      <c r="G4" s="92"/>
    </row>
    <row r="5" spans="1:7" s="64" customFormat="1" ht="16" customHeight="1" x14ac:dyDescent="0.2">
      <c r="A5" s="89" t="s">
        <v>22</v>
      </c>
      <c r="B5" s="90">
        <v>0.16</v>
      </c>
      <c r="C5" s="91"/>
      <c r="D5" s="90">
        <v>0.1471691034145198</v>
      </c>
      <c r="E5" s="91"/>
      <c r="F5" s="90">
        <v>0.17456957750194271</v>
      </c>
      <c r="G5" s="92"/>
    </row>
    <row r="6" spans="1:7" s="64" customFormat="1" ht="16" customHeight="1" x14ac:dyDescent="0.2">
      <c r="A6" s="89" t="s">
        <v>27</v>
      </c>
      <c r="B6" s="90">
        <v>0</v>
      </c>
      <c r="C6" s="91"/>
      <c r="D6" s="90">
        <v>3.3095679898271467E-2</v>
      </c>
      <c r="E6" s="91"/>
      <c r="F6" s="90">
        <v>2.6693798821134962E-11</v>
      </c>
      <c r="G6" s="92"/>
    </row>
    <row r="7" spans="1:7" s="64" customFormat="1" ht="16" customHeight="1" x14ac:dyDescent="0.2">
      <c r="A7" s="89" t="s">
        <v>31</v>
      </c>
      <c r="B7" s="90">
        <v>0</v>
      </c>
      <c r="C7" s="91"/>
      <c r="D7" s="90">
        <v>4.0407195686884147E-2</v>
      </c>
      <c r="E7" s="91"/>
      <c r="F7" s="90">
        <v>2.3700117005928231E-11</v>
      </c>
      <c r="G7" s="92"/>
    </row>
    <row r="8" spans="1:7" s="64" customFormat="1" ht="16" customHeight="1" x14ac:dyDescent="0.2">
      <c r="A8" s="93" t="s">
        <v>36</v>
      </c>
      <c r="B8" s="94">
        <v>5.3990265611727463E-2</v>
      </c>
      <c r="C8" s="95"/>
      <c r="D8" s="94">
        <v>5.3999999999999999E-2</v>
      </c>
      <c r="E8" s="95"/>
      <c r="F8" s="94">
        <v>5.3990265611733673E-2</v>
      </c>
      <c r="G8" s="96"/>
    </row>
    <row r="9" spans="1:7" s="64" customFormat="1" ht="16" customHeight="1" x14ac:dyDescent="0.2">
      <c r="A9" s="89" t="s">
        <v>37</v>
      </c>
      <c r="B9" s="97">
        <v>0.39333907606745733</v>
      </c>
      <c r="C9" s="91"/>
      <c r="D9" s="97">
        <v>0.53</v>
      </c>
      <c r="E9" s="91"/>
      <c r="F9" s="97">
        <v>0.5260708284431731</v>
      </c>
      <c r="G9" s="92"/>
    </row>
    <row r="10" spans="1:7" s="64" customFormat="1" ht="16" customHeight="1" x14ac:dyDescent="0.2">
      <c r="A10" s="89" t="s">
        <v>38</v>
      </c>
      <c r="B10" s="90">
        <v>7.3702989038281208E-2</v>
      </c>
      <c r="C10" s="91"/>
      <c r="D10" s="90">
        <v>5.4137834456390407E-2</v>
      </c>
      <c r="E10" s="91"/>
      <c r="F10" s="90">
        <v>5.5107152961752247E-2</v>
      </c>
      <c r="G10" s="92"/>
    </row>
    <row r="11" spans="1:7" ht="16" customHeight="1" x14ac:dyDescent="0.2">
      <c r="A11" s="71" t="s">
        <v>39</v>
      </c>
      <c r="B11" s="72"/>
      <c r="C11" s="72"/>
      <c r="D11" s="72"/>
      <c r="E11" s="72"/>
      <c r="F11" s="72"/>
      <c r="G11" s="73"/>
    </row>
    <row r="12" spans="1:7" ht="16" customHeight="1" x14ac:dyDescent="0.2">
      <c r="A12" s="74" t="s">
        <v>107</v>
      </c>
      <c r="B12" s="75" t="s">
        <v>40</v>
      </c>
      <c r="C12" s="76" t="s">
        <v>41</v>
      </c>
      <c r="D12" s="75" t="s">
        <v>40</v>
      </c>
      <c r="E12" s="76" t="s">
        <v>41</v>
      </c>
      <c r="F12" s="75" t="s">
        <v>40</v>
      </c>
      <c r="G12" s="77" t="s">
        <v>41</v>
      </c>
    </row>
    <row r="13" spans="1:7" ht="16" customHeight="1" x14ac:dyDescent="0.2">
      <c r="A13" s="78" t="s">
        <v>42</v>
      </c>
      <c r="B13" s="79">
        <v>-0.14483801254945641</v>
      </c>
      <c r="C13" s="80">
        <v>-0.27328000394130852</v>
      </c>
      <c r="D13" s="79">
        <v>-9.2214654820061748E-2</v>
      </c>
      <c r="E13" s="80">
        <v>-0.22856046906615421</v>
      </c>
      <c r="F13" s="79">
        <v>-0.1117050347708121</v>
      </c>
      <c r="G13" s="81">
        <v>-0.24512347005175489</v>
      </c>
    </row>
    <row r="14" spans="1:7" ht="16" customHeight="1" x14ac:dyDescent="0.2">
      <c r="A14" s="78" t="s">
        <v>43</v>
      </c>
      <c r="B14" s="79">
        <v>0.14089278218308249</v>
      </c>
      <c r="C14" s="80">
        <v>-3.8581176310079401E-2</v>
      </c>
      <c r="D14" s="79">
        <v>0.10230754027626961</v>
      </c>
      <c r="E14" s="80">
        <v>-7.1096569925643616E-2</v>
      </c>
      <c r="F14" s="79">
        <v>8.9593478665130011E-2</v>
      </c>
      <c r="G14" s="81">
        <v>-8.181058122398277E-2</v>
      </c>
    </row>
    <row r="15" spans="1:7" ht="16" customHeight="1" x14ac:dyDescent="0.2">
      <c r="A15" s="78" t="s">
        <v>44</v>
      </c>
      <c r="B15" s="79">
        <v>3.3694949225525413E-2</v>
      </c>
      <c r="C15" s="80">
        <v>-9.2473682099793786E-2</v>
      </c>
      <c r="D15" s="79">
        <v>0.1157069112123896</v>
      </c>
      <c r="E15" s="80">
        <v>-2.047176901946535E-2</v>
      </c>
      <c r="F15" s="79">
        <v>9.9802805327525057E-2</v>
      </c>
      <c r="G15" s="81">
        <v>-3.4434683962602519E-2</v>
      </c>
    </row>
    <row r="16" spans="1:7" ht="16" customHeight="1" x14ac:dyDescent="0.2">
      <c r="A16" s="78" t="s">
        <v>45</v>
      </c>
      <c r="B16" s="79">
        <v>-9.2492094367075506E-2</v>
      </c>
      <c r="C16" s="80">
        <v>-9.4866958609828744E-2</v>
      </c>
      <c r="D16" s="79">
        <v>-5.9771965709303987E-2</v>
      </c>
      <c r="E16" s="80">
        <v>-6.2232455502077573E-2</v>
      </c>
      <c r="F16" s="79">
        <v>-5.9085234241646689E-2</v>
      </c>
      <c r="G16" s="81">
        <v>-6.1547521147147337E-2</v>
      </c>
    </row>
    <row r="17" spans="1:7" ht="16" customHeight="1" x14ac:dyDescent="0.2">
      <c r="A17" s="78" t="s">
        <v>46</v>
      </c>
      <c r="B17" s="79">
        <v>-1.800790865081359E-2</v>
      </c>
      <c r="C17" s="80">
        <v>-4.0952317120729331E-2</v>
      </c>
      <c r="D17" s="79">
        <v>-1.655080935102449E-2</v>
      </c>
      <c r="E17" s="80">
        <v>-3.9529263188321617E-2</v>
      </c>
      <c r="F17" s="79">
        <v>-2.8813436021712598E-2</v>
      </c>
      <c r="G17" s="81">
        <v>-5.1505371548195573E-2</v>
      </c>
    </row>
    <row r="18" spans="1:7" ht="16" customHeight="1" x14ac:dyDescent="0.2">
      <c r="A18" s="78" t="s">
        <v>47</v>
      </c>
      <c r="B18" s="79">
        <v>-8.010668726471748E-2</v>
      </c>
      <c r="C18" s="80">
        <v>-8.1236174035639541E-2</v>
      </c>
      <c r="D18" s="79">
        <v>-5.4624901422153697E-2</v>
      </c>
      <c r="E18" s="80">
        <v>-5.5785675886561803E-2</v>
      </c>
      <c r="F18" s="79">
        <v>-5.322603405531634E-2</v>
      </c>
      <c r="G18" s="81">
        <v>-5.4388526112583491E-2</v>
      </c>
    </row>
    <row r="19" spans="1:7" ht="16" customHeight="1" x14ac:dyDescent="0.2">
      <c r="A19" s="78" t="s">
        <v>48</v>
      </c>
      <c r="B19" s="79">
        <v>-0.19376490842818589</v>
      </c>
      <c r="C19" s="80">
        <v>-0.2374671350378057</v>
      </c>
      <c r="D19" s="79">
        <v>-6.5711669946816098E-2</v>
      </c>
      <c r="E19" s="80">
        <v>-0.11635506260677279</v>
      </c>
      <c r="F19" s="79">
        <v>-7.2272845306435629E-2</v>
      </c>
      <c r="G19" s="81">
        <v>-0.1225605873932666</v>
      </c>
    </row>
    <row r="20" spans="1:7" ht="16" customHeight="1" x14ac:dyDescent="0.2">
      <c r="A20" s="78" t="s">
        <v>106</v>
      </c>
      <c r="B20" s="79">
        <v>-0.27355460831394218</v>
      </c>
      <c r="C20" s="80">
        <v>-0.2855606159971591</v>
      </c>
      <c r="D20" s="79">
        <v>-0.19568970256633539</v>
      </c>
      <c r="E20" s="80">
        <v>-0.20898258833751029</v>
      </c>
      <c r="F20" s="79">
        <v>-0.1901483743898279</v>
      </c>
      <c r="G20" s="81">
        <v>-0.20353284203270811</v>
      </c>
    </row>
    <row r="21" spans="1:7" ht="16" customHeight="1" x14ac:dyDescent="0.2">
      <c r="A21" s="78" t="s">
        <v>49</v>
      </c>
      <c r="B21" s="79">
        <v>-9.2205775861361805E-2</v>
      </c>
      <c r="C21" s="82">
        <v>-8.8992249958941394E-2</v>
      </c>
      <c r="D21" s="79">
        <v>-6.9412895699466182E-2</v>
      </c>
      <c r="E21" s="82">
        <v>-6.6118684649637549E-2</v>
      </c>
      <c r="F21" s="79">
        <v>-6.5577921440090892E-2</v>
      </c>
      <c r="G21" s="81">
        <v>-6.2270134858726567E-2</v>
      </c>
    </row>
    <row r="22" spans="1:7" ht="16" customHeight="1" x14ac:dyDescent="0.2">
      <c r="A22" s="74" t="s">
        <v>50</v>
      </c>
      <c r="B22" s="75"/>
      <c r="C22" s="75"/>
      <c r="D22" s="75"/>
      <c r="E22" s="75"/>
      <c r="F22" s="75"/>
      <c r="G22" s="77"/>
    </row>
    <row r="23" spans="1:7" ht="16" customHeight="1" x14ac:dyDescent="0.2">
      <c r="A23" s="78" t="s">
        <v>51</v>
      </c>
      <c r="B23" s="70">
        <v>5.3102767438950482E-2</v>
      </c>
      <c r="C23" s="70"/>
      <c r="D23" s="70">
        <v>4.0535282811447908E-2</v>
      </c>
      <c r="E23" s="70">
        <v>4.2565336023508982E-2</v>
      </c>
      <c r="F23" s="70">
        <v>4.1510676113795442E-2</v>
      </c>
      <c r="G23" s="83">
        <v>4.3538665570649122E-2</v>
      </c>
    </row>
    <row r="24" spans="1:7" ht="16" customHeight="1" x14ac:dyDescent="0.2">
      <c r="A24" s="78" t="s">
        <v>52</v>
      </c>
      <c r="B24" s="70">
        <v>0.17132123066237159</v>
      </c>
      <c r="C24" s="70"/>
      <c r="D24" s="70">
        <v>0.11669745875560419</v>
      </c>
      <c r="E24" s="70">
        <v>0.13911484659525469</v>
      </c>
      <c r="F24" s="70">
        <v>0.1096240765794388</v>
      </c>
      <c r="G24" s="83">
        <v>0.13134625747263551</v>
      </c>
    </row>
    <row r="25" spans="1:7" ht="16" customHeight="1" x14ac:dyDescent="0.2">
      <c r="A25" s="78" t="s">
        <v>53</v>
      </c>
      <c r="B25" s="84">
        <v>0.19407783094955511</v>
      </c>
      <c r="C25" s="84"/>
      <c r="D25" s="84">
        <v>0.1029550629573501</v>
      </c>
      <c r="E25" s="84">
        <v>0.16077265437134999</v>
      </c>
      <c r="F25" s="84">
        <v>0.100217512448636</v>
      </c>
      <c r="G25" s="85">
        <v>0.15860705454131999</v>
      </c>
    </row>
    <row r="26" spans="1:7" ht="16" customHeight="1" x14ac:dyDescent="0.2">
      <c r="A26" s="74" t="s">
        <v>54</v>
      </c>
      <c r="B26" s="75"/>
      <c r="C26" s="75"/>
      <c r="D26" s="75"/>
      <c r="E26" s="75"/>
      <c r="F26" s="75"/>
      <c r="G26" s="77"/>
    </row>
    <row r="27" spans="1:7" ht="16" customHeight="1" x14ac:dyDescent="0.2">
      <c r="A27" s="78" t="s">
        <v>51</v>
      </c>
      <c r="B27" s="70">
        <v>7.4840608538578102E-2</v>
      </c>
      <c r="C27" s="70">
        <v>7.6798077907340279E-2</v>
      </c>
      <c r="D27" s="70">
        <v>5.4452569202380292E-2</v>
      </c>
      <c r="E27" s="70">
        <v>5.6453175962232323E-2</v>
      </c>
      <c r="F27" s="70">
        <v>5.369270330096465E-2</v>
      </c>
      <c r="G27" s="83">
        <v>5.5694917799158812E-2</v>
      </c>
    </row>
    <row r="28" spans="1:7" ht="16" customHeight="1" x14ac:dyDescent="0.2">
      <c r="A28" s="78" t="s">
        <v>52</v>
      </c>
      <c r="B28" s="70">
        <v>0.2092701813090129</v>
      </c>
      <c r="C28" s="70">
        <v>0.2273215691058684</v>
      </c>
      <c r="D28" s="70">
        <v>0.14490332063887029</v>
      </c>
      <c r="E28" s="70">
        <v>0.16439362444704189</v>
      </c>
      <c r="F28" s="70">
        <v>0.1382613754222187</v>
      </c>
      <c r="G28" s="83">
        <v>0.1579245378581601</v>
      </c>
    </row>
    <row r="29" spans="1:7" ht="16" customHeight="1" x14ac:dyDescent="0.2">
      <c r="A29" s="78" t="s">
        <v>53</v>
      </c>
      <c r="B29" s="84">
        <v>0.24381044598060661</v>
      </c>
      <c r="C29" s="84">
        <v>0.29139845881200183</v>
      </c>
      <c r="D29" s="84">
        <v>0.147025756058346</v>
      </c>
      <c r="E29" s="84">
        <v>0.200569915210246</v>
      </c>
      <c r="F29" s="84">
        <v>0.1425894541645778</v>
      </c>
      <c r="G29" s="85">
        <v>0.19663369888513119</v>
      </c>
    </row>
    <row r="30" spans="1:7" ht="16" customHeight="1" x14ac:dyDescent="0.2">
      <c r="A30" s="74" t="s">
        <v>55</v>
      </c>
      <c r="B30" s="75"/>
      <c r="C30" s="75"/>
      <c r="D30" s="75"/>
      <c r="E30" s="75"/>
      <c r="F30" s="75"/>
      <c r="G30" s="77"/>
    </row>
    <row r="31" spans="1:7" ht="16" customHeight="1" x14ac:dyDescent="0.2">
      <c r="A31" s="78" t="s">
        <v>51</v>
      </c>
      <c r="B31" s="70">
        <v>0.34200000000000003</v>
      </c>
      <c r="C31" s="70">
        <v>0.38340000000000002</v>
      </c>
      <c r="D31" s="70">
        <v>0.29635</v>
      </c>
      <c r="E31" s="70">
        <v>0.34820000000000001</v>
      </c>
      <c r="F31" s="70">
        <v>0.29894999999999999</v>
      </c>
      <c r="G31" s="83">
        <v>0.34970000000000001</v>
      </c>
    </row>
    <row r="32" spans="1:7" ht="16" customHeight="1" x14ac:dyDescent="0.2">
      <c r="A32" s="78" t="s">
        <v>52</v>
      </c>
      <c r="B32" s="70">
        <v>0.18665000000000001</v>
      </c>
      <c r="C32" s="70">
        <v>0.2581</v>
      </c>
      <c r="D32" s="70">
        <v>0.12395</v>
      </c>
      <c r="E32" s="70">
        <v>0.20215</v>
      </c>
      <c r="F32" s="70">
        <v>0.12864999999999999</v>
      </c>
      <c r="G32" s="83">
        <v>0.20265</v>
      </c>
    </row>
    <row r="33" spans="1:7" ht="16" customHeight="1" x14ac:dyDescent="0.2">
      <c r="A33" s="86" t="s">
        <v>53</v>
      </c>
      <c r="B33" s="87">
        <v>0.1081</v>
      </c>
      <c r="C33" s="87">
        <v>0.19139999999999999</v>
      </c>
      <c r="D33" s="87">
        <v>5.9450000000000003E-2</v>
      </c>
      <c r="E33" s="87">
        <v>0.13564999999999999</v>
      </c>
      <c r="F33" s="87">
        <v>5.8200000000000002E-2</v>
      </c>
      <c r="G33" s="88">
        <v>0.1333</v>
      </c>
    </row>
    <row r="34" spans="1:7" ht="16" customHeight="1" x14ac:dyDescent="0.2">
      <c r="A34" s="7" t="s">
        <v>56</v>
      </c>
      <c r="B34" s="8"/>
      <c r="C34" s="8"/>
      <c r="D34" s="8"/>
      <c r="E34" s="8"/>
      <c r="F34" s="8"/>
      <c r="G34" s="8"/>
    </row>
    <row r="35" spans="1:7" ht="16" customHeight="1" x14ac:dyDescent="0.2"/>
    <row r="36" spans="1:7" ht="20" customHeight="1" x14ac:dyDescent="0.2"/>
  </sheetData>
  <mergeCells count="57">
    <mergeCell ref="B33:C33"/>
    <mergeCell ref="D33:E33"/>
    <mergeCell ref="F33:G33"/>
    <mergeCell ref="B31:C31"/>
    <mergeCell ref="D31:E31"/>
    <mergeCell ref="F31:G31"/>
    <mergeCell ref="B32:C32"/>
    <mergeCell ref="D32:E32"/>
    <mergeCell ref="F32:G32"/>
    <mergeCell ref="B28:C28"/>
    <mergeCell ref="D28:E28"/>
    <mergeCell ref="F28:G28"/>
    <mergeCell ref="B29:C29"/>
    <mergeCell ref="D29:E29"/>
    <mergeCell ref="F29:G29"/>
    <mergeCell ref="F23:G23"/>
    <mergeCell ref="F24:G24"/>
    <mergeCell ref="F25:G25"/>
    <mergeCell ref="B27:C27"/>
    <mergeCell ref="D27:E27"/>
    <mergeCell ref="F27:G27"/>
    <mergeCell ref="B23:C23"/>
    <mergeCell ref="B24:C24"/>
    <mergeCell ref="B25:C25"/>
    <mergeCell ref="D23:E23"/>
    <mergeCell ref="D24:E24"/>
    <mergeCell ref="D25:E25"/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</mergeCells>
  <conditionalFormatting sqref="B13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9"/>
      <c r="B1" s="39" t="s">
        <v>57</v>
      </c>
      <c r="C1" s="40"/>
      <c r="D1" s="40"/>
      <c r="E1" s="40"/>
      <c r="F1" s="40"/>
      <c r="G1" s="40"/>
      <c r="H1" s="11"/>
      <c r="I1" s="39" t="s">
        <v>58</v>
      </c>
      <c r="J1" s="40"/>
    </row>
    <row r="2" spans="1:10" ht="49" customHeight="1" x14ac:dyDescent="0.2">
      <c r="A2" s="12"/>
      <c r="B2" s="41" t="s">
        <v>59</v>
      </c>
      <c r="C2" s="40"/>
      <c r="D2" s="40"/>
      <c r="E2" s="10" t="s">
        <v>38</v>
      </c>
      <c r="F2" s="10" t="s">
        <v>37</v>
      </c>
      <c r="G2" s="13" t="s">
        <v>60</v>
      </c>
      <c r="H2" s="10" t="s">
        <v>61</v>
      </c>
      <c r="I2" s="10" t="s">
        <v>62</v>
      </c>
      <c r="J2" s="10" t="s">
        <v>63</v>
      </c>
    </row>
    <row r="3" spans="1:10" ht="17" customHeight="1" x14ac:dyDescent="0.2">
      <c r="A3" s="14" t="s">
        <v>2</v>
      </c>
      <c r="B3" s="15"/>
      <c r="C3" s="15"/>
      <c r="D3" s="15"/>
      <c r="E3" s="15"/>
      <c r="F3" s="16"/>
      <c r="G3" s="15"/>
      <c r="H3" s="15"/>
      <c r="I3" s="15"/>
      <c r="J3" s="15"/>
    </row>
    <row r="4" spans="1:10" ht="17" customHeight="1" x14ac:dyDescent="0.2">
      <c r="A4" s="17" t="s">
        <v>64</v>
      </c>
      <c r="B4" s="18">
        <v>5.7327167405640464E-3</v>
      </c>
      <c r="C4" s="19">
        <v>1.08673517608701E-2</v>
      </c>
      <c r="D4" s="20">
        <v>1.6001986781176161E-2</v>
      </c>
      <c r="E4" s="19">
        <v>3.2110810353131201E-2</v>
      </c>
      <c r="F4" s="21">
        <v>0.33843280942956339</v>
      </c>
      <c r="G4" s="19">
        <v>3.5867351760870102E-2</v>
      </c>
      <c r="H4" s="22">
        <v>0</v>
      </c>
      <c r="I4" s="23">
        <v>26723</v>
      </c>
      <c r="J4" s="23">
        <v>45777</v>
      </c>
    </row>
    <row r="5" spans="1:10" ht="17" customHeight="1" x14ac:dyDescent="0.2">
      <c r="A5" s="17" t="s">
        <v>65</v>
      </c>
      <c r="B5" s="18">
        <v>4.383045164846216E-4</v>
      </c>
      <c r="C5" s="19">
        <v>3.090125303729937E-3</v>
      </c>
      <c r="D5" s="20">
        <v>5.7419460909752511E-3</v>
      </c>
      <c r="E5" s="19">
        <v>1.4730739161551419E-2</v>
      </c>
      <c r="F5" s="21">
        <v>0.20977394751482981</v>
      </c>
      <c r="G5" s="19">
        <v>2.8090125303729941E-2</v>
      </c>
      <c r="H5" s="22">
        <v>0</v>
      </c>
      <c r="I5" s="23">
        <v>33662</v>
      </c>
      <c r="J5" s="23">
        <v>45777</v>
      </c>
    </row>
    <row r="6" spans="1:10" ht="17" customHeight="1" x14ac:dyDescent="0.2">
      <c r="A6" s="17" t="s">
        <v>66</v>
      </c>
      <c r="B6" s="18">
        <v>-2.1149896547376069E-2</v>
      </c>
      <c r="C6" s="19">
        <v>1.9683612310258999E-2</v>
      </c>
      <c r="D6" s="20">
        <v>6.0517121167894067E-2</v>
      </c>
      <c r="E6" s="19">
        <v>4.6212231292721478E-2</v>
      </c>
      <c r="F6" s="21">
        <v>0.42593944848880749</v>
      </c>
      <c r="G6" s="19">
        <v>4.4683612310258997E-2</v>
      </c>
      <c r="H6" s="22">
        <v>0</v>
      </c>
      <c r="I6" s="23">
        <v>36585</v>
      </c>
      <c r="J6" s="23">
        <v>45777</v>
      </c>
    </row>
    <row r="7" spans="1:10" ht="17" customHeight="1" x14ac:dyDescent="0.2">
      <c r="A7" s="17" t="s">
        <v>67</v>
      </c>
      <c r="B7" s="18">
        <v>6.4340696993407213E-3</v>
      </c>
      <c r="C7" s="19">
        <v>1.994219801661444E-2</v>
      </c>
      <c r="D7" s="20">
        <v>3.3450326333888163E-2</v>
      </c>
      <c r="E7" s="19">
        <v>4.2238342638410448E-2</v>
      </c>
      <c r="F7" s="21">
        <v>0.47213495537297723</v>
      </c>
      <c r="G7" s="19">
        <v>4.4942198016614442E-2</v>
      </c>
      <c r="H7" s="22">
        <v>0</v>
      </c>
      <c r="I7" s="23">
        <v>26723</v>
      </c>
      <c r="J7" s="23">
        <v>45777</v>
      </c>
    </row>
    <row r="8" spans="1:10" ht="17" customHeight="1" x14ac:dyDescent="0.2">
      <c r="A8" s="24" t="s">
        <v>7</v>
      </c>
      <c r="B8" s="25"/>
      <c r="C8" s="26"/>
      <c r="D8" s="27"/>
      <c r="E8" s="26"/>
      <c r="F8" s="28"/>
      <c r="G8" s="26"/>
      <c r="H8" s="29"/>
      <c r="I8" s="30"/>
      <c r="J8" s="30"/>
    </row>
    <row r="9" spans="1:10" ht="17" customHeight="1" x14ac:dyDescent="0.2">
      <c r="A9" s="17" t="s">
        <v>68</v>
      </c>
      <c r="B9" s="18">
        <v>1.327514440503154E-2</v>
      </c>
      <c r="C9" s="19">
        <v>3.2957299522559658E-2</v>
      </c>
      <c r="D9" s="20">
        <v>5.2639454640087777E-2</v>
      </c>
      <c r="E9" s="19">
        <v>8.205840633533279E-2</v>
      </c>
      <c r="F9" s="21">
        <v>0.40163221532574261</v>
      </c>
      <c r="G9" s="19">
        <v>5.7957299522559659E-2</v>
      </c>
      <c r="H9" s="22">
        <v>0</v>
      </c>
      <c r="I9" s="23">
        <v>30559</v>
      </c>
      <c r="J9" s="23">
        <v>45777</v>
      </c>
    </row>
    <row r="10" spans="1:10" ht="17" customHeight="1" x14ac:dyDescent="0.2">
      <c r="A10" s="17" t="s">
        <v>69</v>
      </c>
      <c r="B10" s="18">
        <v>1.3082760297439501E-2</v>
      </c>
      <c r="C10" s="19">
        <v>4.711068434546873E-2</v>
      </c>
      <c r="D10" s="20">
        <v>8.1138608393497957E-2</v>
      </c>
      <c r="E10" s="19">
        <v>0.1220196208482812</v>
      </c>
      <c r="F10" s="21">
        <v>0.38609105665101201</v>
      </c>
      <c r="G10" s="19">
        <v>7.2110684345468731E-2</v>
      </c>
      <c r="H10" s="22">
        <v>0</v>
      </c>
      <c r="I10" s="23">
        <v>34365</v>
      </c>
      <c r="J10" s="23">
        <v>45107</v>
      </c>
    </row>
    <row r="11" spans="1:10" ht="17" customHeight="1" x14ac:dyDescent="0.2">
      <c r="A11" s="24" t="s">
        <v>10</v>
      </c>
      <c r="B11" s="25"/>
      <c r="C11" s="26"/>
      <c r="D11" s="27"/>
      <c r="E11" s="26"/>
      <c r="F11" s="28"/>
      <c r="G11" s="26"/>
      <c r="H11" s="29"/>
      <c r="I11" s="30"/>
      <c r="J11" s="30"/>
    </row>
    <row r="12" spans="1:10" ht="17" customHeight="1" x14ac:dyDescent="0.2">
      <c r="A12" s="17" t="s">
        <v>70</v>
      </c>
      <c r="B12" s="18">
        <v>2.1935921675440812E-2</v>
      </c>
      <c r="C12" s="19">
        <v>4.6797853363938761E-2</v>
      </c>
      <c r="D12" s="20">
        <v>7.1659785052436711E-2</v>
      </c>
      <c r="E12" s="19">
        <v>0.1469643018055917</v>
      </c>
      <c r="F12" s="21">
        <v>0.31843007307886378</v>
      </c>
      <c r="G12" s="19">
        <v>7.1797853363938763E-2</v>
      </c>
      <c r="H12" s="22">
        <v>0.7</v>
      </c>
      <c r="I12" s="23">
        <v>32171</v>
      </c>
      <c r="J12" s="23">
        <v>45777</v>
      </c>
    </row>
    <row r="13" spans="1:10" ht="17" customHeight="1" x14ac:dyDescent="0.2">
      <c r="A13" s="17" t="s">
        <v>71</v>
      </c>
      <c r="B13" s="18">
        <v>1.7176160239301099E-2</v>
      </c>
      <c r="C13" s="19">
        <v>4.424482346715447E-2</v>
      </c>
      <c r="D13" s="20">
        <v>7.1313486695007838E-2</v>
      </c>
      <c r="E13" s="19">
        <v>0.16928110917035849</v>
      </c>
      <c r="F13" s="21">
        <v>0.26136893646312331</v>
      </c>
      <c r="G13" s="19">
        <v>6.9244823467154465E-2</v>
      </c>
      <c r="H13" s="22">
        <v>0</v>
      </c>
      <c r="I13" s="23">
        <v>28886</v>
      </c>
      <c r="J13" s="23">
        <v>45777</v>
      </c>
    </row>
    <row r="14" spans="1:10" ht="17" customHeight="1" x14ac:dyDescent="0.2">
      <c r="A14" s="17" t="s">
        <v>72</v>
      </c>
      <c r="B14" s="18">
        <v>3.8328393380117107E-2</v>
      </c>
      <c r="C14" s="19">
        <v>6.1473144644885618E-2</v>
      </c>
      <c r="D14" s="20">
        <v>8.4617895909654142E-2</v>
      </c>
      <c r="E14" s="19">
        <v>0.14474187855499729</v>
      </c>
      <c r="F14" s="21">
        <v>0.42470876610550412</v>
      </c>
      <c r="G14" s="19">
        <v>8.6473144644885619E-2</v>
      </c>
      <c r="H14" s="22">
        <v>0</v>
      </c>
      <c r="I14" s="23">
        <v>28886</v>
      </c>
      <c r="J14" s="23">
        <v>45777</v>
      </c>
    </row>
    <row r="15" spans="1:10" ht="17" customHeight="1" x14ac:dyDescent="0.2">
      <c r="A15" s="17" t="s">
        <v>73</v>
      </c>
      <c r="B15" s="18">
        <v>3.9548088591888853E-2</v>
      </c>
      <c r="C15" s="19">
        <v>7.0287620802001793E-2</v>
      </c>
      <c r="D15" s="20">
        <v>0.10102715301211471</v>
      </c>
      <c r="E15" s="19">
        <v>0.19223786797684969</v>
      </c>
      <c r="F15" s="21">
        <v>0.36562838290771188</v>
      </c>
      <c r="G15" s="19">
        <v>9.5287620802001788E-2</v>
      </c>
      <c r="H15" s="22">
        <v>0</v>
      </c>
      <c r="I15" s="23">
        <v>28886</v>
      </c>
      <c r="J15" s="23">
        <v>45777</v>
      </c>
    </row>
    <row r="16" spans="1:10" ht="17" customHeight="1" x14ac:dyDescent="0.2">
      <c r="A16" s="17" t="s">
        <v>74</v>
      </c>
      <c r="B16" s="18">
        <v>2.1019364331575061E-2</v>
      </c>
      <c r="C16" s="19">
        <v>4.7103364879311882E-2</v>
      </c>
      <c r="D16" s="20">
        <v>7.3187365427048678E-2</v>
      </c>
      <c r="E16" s="19">
        <v>0.16312325832838301</v>
      </c>
      <c r="F16" s="21">
        <v>0.2887593428552549</v>
      </c>
      <c r="G16" s="19">
        <v>7.2103364879311876E-2</v>
      </c>
      <c r="H16" s="22">
        <v>0.7</v>
      </c>
      <c r="I16" s="23">
        <v>25626</v>
      </c>
      <c r="J16" s="23">
        <v>45777</v>
      </c>
    </row>
    <row r="17" spans="1:10" ht="17" customHeight="1" x14ac:dyDescent="0.2">
      <c r="A17" s="17" t="s">
        <v>75</v>
      </c>
      <c r="B17" s="18">
        <v>2.537093070079656E-2</v>
      </c>
      <c r="C17" s="19">
        <v>4.9088970154403527E-2</v>
      </c>
      <c r="D17" s="20">
        <v>7.2807009608010495E-2</v>
      </c>
      <c r="E17" s="19">
        <v>0.1483270892343698</v>
      </c>
      <c r="F17" s="21">
        <v>0.3309508088359952</v>
      </c>
      <c r="G17" s="19">
        <v>7.4088970154403522E-2</v>
      </c>
      <c r="H17" s="22">
        <v>0.7</v>
      </c>
      <c r="I17" s="23">
        <v>25598</v>
      </c>
      <c r="J17" s="23">
        <v>45777</v>
      </c>
    </row>
    <row r="18" spans="1:10" ht="17" customHeight="1" x14ac:dyDescent="0.2">
      <c r="A18" s="17" t="s">
        <v>76</v>
      </c>
      <c r="B18" s="18">
        <v>-1.5284258244867221E-3</v>
      </c>
      <c r="C18" s="19">
        <v>2.794593789750548E-2</v>
      </c>
      <c r="D18" s="20">
        <v>5.7420301619497682E-2</v>
      </c>
      <c r="E18" s="19">
        <v>0.18432579920737729</v>
      </c>
      <c r="F18" s="21">
        <v>0.1516116464308106</v>
      </c>
      <c r="G18" s="19">
        <v>5.2945937897505492E-2</v>
      </c>
      <c r="H18" s="22">
        <v>0.7</v>
      </c>
      <c r="I18" s="23">
        <v>25598</v>
      </c>
      <c r="J18" s="23">
        <v>45777</v>
      </c>
    </row>
    <row r="19" spans="1:10" ht="17" customHeight="1" x14ac:dyDescent="0.2">
      <c r="A19" s="17" t="s">
        <v>77</v>
      </c>
      <c r="B19" s="18">
        <v>2.752917685078872E-2</v>
      </c>
      <c r="C19" s="19">
        <v>5.6461831660523182E-2</v>
      </c>
      <c r="D19" s="20">
        <v>8.5394486470257644E-2</v>
      </c>
      <c r="E19" s="19">
        <v>0.17102723419765431</v>
      </c>
      <c r="F19" s="21">
        <v>0.33013357156481221</v>
      </c>
      <c r="G19" s="19">
        <v>8.1461831660523176E-2</v>
      </c>
      <c r="H19" s="22">
        <v>0.7</v>
      </c>
      <c r="I19" s="23">
        <v>25626</v>
      </c>
      <c r="J19" s="23">
        <v>45777</v>
      </c>
    </row>
    <row r="20" spans="1:10" ht="17" customHeight="1" x14ac:dyDescent="0.2">
      <c r="A20" s="17" t="s">
        <v>78</v>
      </c>
      <c r="B20" s="18">
        <v>3.5868022051295953E-2</v>
      </c>
      <c r="C20" s="19">
        <v>7.5245769473422777E-2</v>
      </c>
      <c r="D20" s="20">
        <v>0.1146235168955496</v>
      </c>
      <c r="E20" s="19">
        <v>0.23277045521153711</v>
      </c>
      <c r="F20" s="21">
        <v>0.32326168458553273</v>
      </c>
      <c r="G20" s="19">
        <v>0.1002457694734228</v>
      </c>
      <c r="H20" s="22">
        <v>0</v>
      </c>
      <c r="I20" s="23">
        <v>32171</v>
      </c>
      <c r="J20" s="23">
        <v>45777</v>
      </c>
    </row>
    <row r="21" spans="1:10" ht="17" customHeight="1" x14ac:dyDescent="0.2">
      <c r="A21" s="17" t="s">
        <v>79</v>
      </c>
      <c r="B21" s="18">
        <v>-1.2018142784793099E-2</v>
      </c>
      <c r="C21" s="19">
        <v>5.8342310196128892E-2</v>
      </c>
      <c r="D21" s="20">
        <v>0.1287027631770509</v>
      </c>
      <c r="E21" s="19">
        <v>0.1356219911958427</v>
      </c>
      <c r="F21" s="21">
        <v>0.43018325923176148</v>
      </c>
      <c r="G21" s="19">
        <v>8.3342310196128894E-2</v>
      </c>
      <c r="H21" s="22">
        <v>0.7</v>
      </c>
      <c r="I21" s="23">
        <v>32720</v>
      </c>
      <c r="J21" s="23">
        <v>44925</v>
      </c>
    </row>
    <row r="22" spans="1:10" ht="17" customHeight="1" x14ac:dyDescent="0.2">
      <c r="A22" s="17" t="s">
        <v>80</v>
      </c>
      <c r="B22" s="18">
        <v>1.6888386115265861E-2</v>
      </c>
      <c r="C22" s="19">
        <v>4.5625590064520903E-2</v>
      </c>
      <c r="D22" s="20">
        <v>7.4362794013775935E-2</v>
      </c>
      <c r="E22" s="19">
        <v>0.1405898501681038</v>
      </c>
      <c r="F22" s="21">
        <v>0.3245297580868477</v>
      </c>
      <c r="G22" s="19">
        <v>7.0625590064520904E-2</v>
      </c>
      <c r="H22" s="22">
        <v>0.7</v>
      </c>
      <c r="I22" s="23">
        <v>36189</v>
      </c>
      <c r="J22" s="23">
        <v>45777</v>
      </c>
    </row>
    <row r="23" spans="1:10" ht="17" customHeight="1" x14ac:dyDescent="0.2">
      <c r="A23" s="24" t="s">
        <v>22</v>
      </c>
      <c r="B23" s="25"/>
      <c r="C23" s="26"/>
      <c r="D23" s="27"/>
      <c r="E23" s="26"/>
      <c r="F23" s="28"/>
      <c r="G23" s="26"/>
      <c r="H23" s="29"/>
      <c r="I23" s="30"/>
      <c r="J23" s="30"/>
    </row>
    <row r="24" spans="1:10" ht="17" customHeight="1" x14ac:dyDescent="0.2">
      <c r="A24" s="17" t="s">
        <v>81</v>
      </c>
      <c r="B24" s="18">
        <v>5.3661960981587313E-3</v>
      </c>
      <c r="C24" s="19">
        <v>1.5035468559470929E-2</v>
      </c>
      <c r="D24" s="20">
        <v>2.4704741020783131E-2</v>
      </c>
      <c r="E24" s="19">
        <v>5.5490336347120132E-2</v>
      </c>
      <c r="F24" s="21">
        <v>0.27095652232879741</v>
      </c>
      <c r="G24" s="19">
        <v>4.0035468559470933E-2</v>
      </c>
      <c r="H24" s="22">
        <v>1</v>
      </c>
      <c r="I24" s="23">
        <v>32904</v>
      </c>
      <c r="J24" s="23">
        <v>45777</v>
      </c>
    </row>
    <row r="25" spans="1:10" ht="17" customHeight="1" x14ac:dyDescent="0.2">
      <c r="A25" s="17" t="s">
        <v>82</v>
      </c>
      <c r="B25" s="18">
        <v>7.8845227205770647E-3</v>
      </c>
      <c r="C25" s="19">
        <v>1.9381268325582329E-2</v>
      </c>
      <c r="D25" s="20">
        <v>3.0878013930587589E-2</v>
      </c>
      <c r="E25" s="19">
        <v>6.1838706545769943E-2</v>
      </c>
      <c r="F25" s="21">
        <v>0.31341645723519901</v>
      </c>
      <c r="G25" s="19">
        <v>4.4381268325582333E-2</v>
      </c>
      <c r="H25" s="22">
        <v>1</v>
      </c>
      <c r="I25" s="23">
        <v>34365</v>
      </c>
      <c r="J25" s="23">
        <v>45777</v>
      </c>
    </row>
    <row r="26" spans="1:10" ht="17" customHeight="1" x14ac:dyDescent="0.2">
      <c r="A26" s="17" t="s">
        <v>83</v>
      </c>
      <c r="B26" s="18">
        <v>4.352380054283532E-3</v>
      </c>
      <c r="C26" s="19">
        <v>2.0773446286426561E-2</v>
      </c>
      <c r="D26" s="20">
        <v>3.7194512518569589E-2</v>
      </c>
      <c r="E26" s="19">
        <v>8.8325647168886814E-2</v>
      </c>
      <c r="F26" s="21">
        <v>0.2351915548006776</v>
      </c>
      <c r="G26" s="19">
        <v>4.5773446286426558E-2</v>
      </c>
      <c r="H26" s="22">
        <v>1</v>
      </c>
      <c r="I26" s="23">
        <v>34365</v>
      </c>
      <c r="J26" s="23">
        <v>45777</v>
      </c>
    </row>
    <row r="27" spans="1:10" ht="17" customHeight="1" x14ac:dyDescent="0.2">
      <c r="A27" s="17" t="s">
        <v>84</v>
      </c>
      <c r="B27" s="18">
        <v>1.069289996815624E-2</v>
      </c>
      <c r="C27" s="19">
        <v>2.7968658495309971E-2</v>
      </c>
      <c r="D27" s="20">
        <v>4.5244417022463707E-2</v>
      </c>
      <c r="E27" s="19">
        <v>7.3138510600272974E-2</v>
      </c>
      <c r="F27" s="21">
        <v>0.38240672753330018</v>
      </c>
      <c r="G27" s="19">
        <v>5.2968658495309982E-2</v>
      </c>
      <c r="H27" s="22">
        <v>1</v>
      </c>
      <c r="I27" s="23">
        <v>38383</v>
      </c>
      <c r="J27" s="23">
        <v>45777</v>
      </c>
    </row>
    <row r="28" spans="1:10" ht="17" customHeight="1" x14ac:dyDescent="0.2">
      <c r="A28" s="24" t="s">
        <v>27</v>
      </c>
      <c r="B28" s="25"/>
      <c r="C28" s="26"/>
      <c r="D28" s="27"/>
      <c r="E28" s="26"/>
      <c r="F28" s="28"/>
      <c r="G28" s="26"/>
      <c r="H28" s="29"/>
      <c r="I28" s="30"/>
      <c r="J28" s="30"/>
    </row>
    <row r="29" spans="1:10" ht="17" customHeight="1" x14ac:dyDescent="0.2">
      <c r="A29" s="17" t="s">
        <v>85</v>
      </c>
      <c r="B29" s="18">
        <v>1.8093277361216731E-2</v>
      </c>
      <c r="C29" s="19">
        <v>6.5301867527006729E-2</v>
      </c>
      <c r="D29" s="20">
        <v>0.1125104576927967</v>
      </c>
      <c r="E29" s="19">
        <v>0.1377719846412887</v>
      </c>
      <c r="F29" s="21">
        <v>0.47398509716638371</v>
      </c>
      <c r="G29" s="19">
        <v>9.0301867527006724E-2</v>
      </c>
      <c r="H29" s="22">
        <v>0</v>
      </c>
      <c r="I29" s="23">
        <v>25598</v>
      </c>
      <c r="J29" s="23">
        <v>45777</v>
      </c>
    </row>
    <row r="30" spans="1:10" ht="17" customHeight="1" x14ac:dyDescent="0.2">
      <c r="A30" s="17" t="s">
        <v>86</v>
      </c>
      <c r="B30" s="18">
        <v>1.3496497215615419E-2</v>
      </c>
      <c r="C30" s="19">
        <v>6.7090635723618383E-2</v>
      </c>
      <c r="D30" s="20">
        <v>0.1206847742316214</v>
      </c>
      <c r="E30" s="19">
        <v>0.15640735725123131</v>
      </c>
      <c r="F30" s="21">
        <v>0.4289480808492479</v>
      </c>
      <c r="G30" s="19">
        <v>9.2090635723618391E-2</v>
      </c>
      <c r="H30" s="22">
        <v>0</v>
      </c>
      <c r="I30" s="23">
        <v>28886</v>
      </c>
      <c r="J30" s="23">
        <v>45777</v>
      </c>
    </row>
    <row r="31" spans="1:10" ht="17" customHeight="1" x14ac:dyDescent="0.2">
      <c r="A31" s="17" t="s">
        <v>87</v>
      </c>
      <c r="B31" s="18">
        <v>4.8618709169252214E-3</v>
      </c>
      <c r="C31" s="19">
        <v>6.2172068187196533E-2</v>
      </c>
      <c r="D31" s="20">
        <v>0.1194822654574678</v>
      </c>
      <c r="E31" s="19">
        <v>0.16725217996089919</v>
      </c>
      <c r="F31" s="21">
        <v>0.37172650426279252</v>
      </c>
      <c r="G31" s="19">
        <v>8.7172068187196528E-2</v>
      </c>
      <c r="H31" s="22">
        <v>0</v>
      </c>
      <c r="I31" s="23">
        <v>30680</v>
      </c>
      <c r="J31" s="23">
        <v>44925</v>
      </c>
    </row>
    <row r="32" spans="1:10" ht="17" customHeight="1" x14ac:dyDescent="0.2">
      <c r="A32" s="24" t="s">
        <v>31</v>
      </c>
      <c r="B32" s="25"/>
      <c r="C32" s="26"/>
      <c r="D32" s="27"/>
      <c r="E32" s="26"/>
      <c r="F32" s="28"/>
      <c r="G32" s="26"/>
      <c r="H32" s="29"/>
      <c r="I32" s="30"/>
      <c r="J32" s="30"/>
    </row>
    <row r="33" spans="1:10" ht="17" customHeight="1" x14ac:dyDescent="0.2">
      <c r="A33" s="17" t="s">
        <v>88</v>
      </c>
      <c r="B33" s="18">
        <v>2.0469028338070811E-2</v>
      </c>
      <c r="C33" s="19">
        <v>5.9395006840754223E-2</v>
      </c>
      <c r="D33" s="20">
        <v>9.8320985343437611E-2</v>
      </c>
      <c r="E33" s="19">
        <v>0.1136002853206385</v>
      </c>
      <c r="F33" s="21">
        <v>0.52284205689370356</v>
      </c>
      <c r="G33" s="19">
        <v>8.4395006840754211E-2</v>
      </c>
      <c r="H33" s="22">
        <v>0</v>
      </c>
      <c r="I33" s="23">
        <v>30589</v>
      </c>
      <c r="J33" s="23">
        <v>45777</v>
      </c>
    </row>
    <row r="34" spans="1:10" ht="17" customHeight="1" x14ac:dyDescent="0.2">
      <c r="A34" s="17" t="s">
        <v>89</v>
      </c>
      <c r="B34" s="18">
        <v>2.899500491554419E-2</v>
      </c>
      <c r="C34" s="19">
        <v>7.8592057555021813E-2</v>
      </c>
      <c r="D34" s="20">
        <v>0.12818911019449941</v>
      </c>
      <c r="E34" s="19">
        <v>0.14474239435031749</v>
      </c>
      <c r="F34" s="21">
        <v>0.54297884118737738</v>
      </c>
      <c r="G34" s="19">
        <v>0.10359205755502179</v>
      </c>
      <c r="H34" s="22">
        <v>0</v>
      </c>
      <c r="I34" s="23">
        <v>32720</v>
      </c>
      <c r="J34" s="23">
        <v>44925</v>
      </c>
    </row>
    <row r="35" spans="1:10" ht="17" customHeight="1" x14ac:dyDescent="0.2">
      <c r="A35" s="31" t="s">
        <v>90</v>
      </c>
      <c r="B35" s="32">
        <v>1.0324018166474019E-2</v>
      </c>
      <c r="C35" s="33">
        <v>6.0402182003979593E-2</v>
      </c>
      <c r="D35" s="34">
        <v>0.11048034584148519</v>
      </c>
      <c r="E35" s="33">
        <v>0.14614645332248091</v>
      </c>
      <c r="F35" s="35">
        <v>0.41329899310453039</v>
      </c>
      <c r="G35" s="33">
        <v>8.5402182003979588E-2</v>
      </c>
      <c r="H35" s="36">
        <v>0</v>
      </c>
      <c r="I35" s="37">
        <v>36189</v>
      </c>
      <c r="J35" s="37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91</v>
      </c>
      <c r="C1" s="38" t="s">
        <v>91</v>
      </c>
      <c r="D1" s="38" t="s">
        <v>91</v>
      </c>
      <c r="E1" s="38" t="s">
        <v>91</v>
      </c>
      <c r="F1" s="38" t="s">
        <v>92</v>
      </c>
      <c r="G1" s="38" t="s">
        <v>92</v>
      </c>
      <c r="H1" s="38" t="s">
        <v>92</v>
      </c>
      <c r="I1" s="38" t="s">
        <v>92</v>
      </c>
      <c r="J1" s="38" t="s">
        <v>93</v>
      </c>
      <c r="K1" s="38" t="s">
        <v>93</v>
      </c>
      <c r="L1" s="38" t="s">
        <v>93</v>
      </c>
      <c r="M1" s="38" t="s">
        <v>93</v>
      </c>
      <c r="N1" s="38" t="s">
        <v>94</v>
      </c>
      <c r="O1" s="38" t="s">
        <v>94</v>
      </c>
      <c r="P1" s="38" t="s">
        <v>94</v>
      </c>
      <c r="Q1" s="38" t="s">
        <v>94</v>
      </c>
    </row>
    <row r="2" spans="1:17" x14ac:dyDescent="0.2">
      <c r="A2" s="38"/>
      <c r="B2" s="38" t="s">
        <v>95</v>
      </c>
      <c r="C2" s="38" t="s">
        <v>96</v>
      </c>
      <c r="D2" s="38" t="s">
        <v>97</v>
      </c>
      <c r="E2" s="38" t="s">
        <v>98</v>
      </c>
      <c r="F2" s="38" t="s">
        <v>95</v>
      </c>
      <c r="G2" s="38" t="s">
        <v>96</v>
      </c>
      <c r="H2" s="38" t="s">
        <v>97</v>
      </c>
      <c r="I2" s="38" t="s">
        <v>98</v>
      </c>
      <c r="J2" s="38" t="s">
        <v>95</v>
      </c>
      <c r="K2" s="38" t="s">
        <v>96</v>
      </c>
      <c r="L2" s="38" t="s">
        <v>97</v>
      </c>
      <c r="M2" s="38" t="s">
        <v>98</v>
      </c>
      <c r="N2" s="38" t="s">
        <v>95</v>
      </c>
      <c r="O2" s="38" t="s">
        <v>96</v>
      </c>
      <c r="P2" s="38" t="s">
        <v>97</v>
      </c>
      <c r="Q2" s="38" t="s">
        <v>98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89.456903357182568</v>
      </c>
      <c r="C4" s="38">
        <v>97.025265613165288</v>
      </c>
      <c r="D4" s="38">
        <v>106.3967716051538</v>
      </c>
      <c r="E4" s="38">
        <v>115.1468750861214</v>
      </c>
      <c r="F4" s="38">
        <v>86.70380523586735</v>
      </c>
      <c r="G4" s="38">
        <v>94.656688850760474</v>
      </c>
      <c r="H4" s="38">
        <v>104.0428106961856</v>
      </c>
      <c r="I4" s="38">
        <v>112.7577902260052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89.980738266643627</v>
      </c>
      <c r="C5" s="38">
        <v>99.192368947115298</v>
      </c>
      <c r="D5" s="38">
        <v>111.90510917957231</v>
      </c>
      <c r="E5" s="38">
        <v>125.37894161320349</v>
      </c>
      <c r="F5" s="38">
        <v>85.100894859473641</v>
      </c>
      <c r="G5" s="38">
        <v>94.400289959351397</v>
      </c>
      <c r="H5" s="38">
        <v>106.9281453903247</v>
      </c>
      <c r="I5" s="38">
        <v>120.0687988303105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90.8898661257616</v>
      </c>
      <c r="C6" s="38">
        <v>102.4088840698504</v>
      </c>
      <c r="D6" s="38">
        <v>117.8612498854892</v>
      </c>
      <c r="E6" s="38">
        <v>134.9170317398123</v>
      </c>
      <c r="F6" s="38">
        <v>84.218811499977932</v>
      </c>
      <c r="G6" s="38">
        <v>95.332301272175343</v>
      </c>
      <c r="H6" s="38">
        <v>110.172532673408</v>
      </c>
      <c r="I6" s="38">
        <v>126.4571433231085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90.42786853539711</v>
      </c>
      <c r="C7" s="38">
        <v>105.398121567084</v>
      </c>
      <c r="D7" s="38">
        <v>124.98892317916609</v>
      </c>
      <c r="E7" s="38">
        <v>147.082820183048</v>
      </c>
      <c r="F7" s="38">
        <v>82.13829188916705</v>
      </c>
      <c r="G7" s="38">
        <v>96.009494279172088</v>
      </c>
      <c r="H7" s="38">
        <v>114.3523511006908</v>
      </c>
      <c r="I7" s="38">
        <v>134.9815228122057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91.369198231432648</v>
      </c>
      <c r="C8" s="38">
        <v>109.1866393454906</v>
      </c>
      <c r="D8" s="38">
        <v>132.898534851976</v>
      </c>
      <c r="E8" s="38">
        <v>159.97581582226579</v>
      </c>
      <c r="F8" s="38">
        <v>81.549877876853301</v>
      </c>
      <c r="G8" s="38">
        <v>97.32633481900659</v>
      </c>
      <c r="H8" s="38">
        <v>118.94104161299239</v>
      </c>
      <c r="I8" s="38">
        <v>143.81494842674709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92.173075244339728</v>
      </c>
      <c r="C9" s="38">
        <v>113.09197920309791</v>
      </c>
      <c r="D9" s="38">
        <v>140.7688812629919</v>
      </c>
      <c r="E9" s="38">
        <v>172.9234416891949</v>
      </c>
      <c r="F9" s="38">
        <v>80.40280160608043</v>
      </c>
      <c r="G9" s="38">
        <v>98.598670542218926</v>
      </c>
      <c r="H9" s="38">
        <v>123.44725259105221</v>
      </c>
      <c r="I9" s="38">
        <v>152.12768802624149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91.064145706205579</v>
      </c>
      <c r="C10" s="38">
        <v>116.0626830575069</v>
      </c>
      <c r="D10" s="38">
        <v>149.36102878932289</v>
      </c>
      <c r="E10" s="38">
        <v>187.42408538105241</v>
      </c>
      <c r="F10" s="38">
        <v>78.25787929641443</v>
      </c>
      <c r="G10" s="38">
        <v>99.337505925042677</v>
      </c>
      <c r="H10" s="38">
        <v>128.2246174574569</v>
      </c>
      <c r="I10" s="38">
        <v>161.49801238406221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92.498179650755802</v>
      </c>
      <c r="C11" s="38">
        <v>119.33159211006409</v>
      </c>
      <c r="D11" s="38">
        <v>158.2136613573862</v>
      </c>
      <c r="E11" s="38">
        <v>202.8969653662061</v>
      </c>
      <c r="F11" s="38">
        <v>77.685825880984837</v>
      </c>
      <c r="G11" s="38">
        <v>100.2398836893494</v>
      </c>
      <c r="H11" s="38">
        <v>133.08611384272001</v>
      </c>
      <c r="I11" s="38">
        <v>171.48035918072711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91.512380784642389</v>
      </c>
      <c r="C12" s="38">
        <v>122.4295446271361</v>
      </c>
      <c r="D12" s="38">
        <v>166.8426238446261</v>
      </c>
      <c r="E12" s="38">
        <v>219.07229317005891</v>
      </c>
      <c r="F12" s="38">
        <v>76.198094733240652</v>
      </c>
      <c r="G12" s="38">
        <v>100.9225431869304</v>
      </c>
      <c r="H12" s="38">
        <v>137.65238528149089</v>
      </c>
      <c r="I12" s="38">
        <v>181.19234999553399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92.934747749398539</v>
      </c>
      <c r="C13" s="38">
        <v>126.25256184610031</v>
      </c>
      <c r="D13" s="38">
        <v>175.8287661816199</v>
      </c>
      <c r="E13" s="38">
        <v>235.5684906843498</v>
      </c>
      <c r="F13" s="38">
        <v>75.423080243046371</v>
      </c>
      <c r="G13" s="38">
        <v>101.92611202814849</v>
      </c>
      <c r="H13" s="38">
        <v>141.9303377299826</v>
      </c>
      <c r="I13" s="38">
        <v>191.00776799537371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93.814016252111855</v>
      </c>
      <c r="C14" s="38">
        <v>129.33699057122999</v>
      </c>
      <c r="D14" s="38">
        <v>185.18393079225339</v>
      </c>
      <c r="E14" s="38">
        <v>253.54931883777991</v>
      </c>
      <c r="F14" s="38">
        <v>75.678130435135131</v>
      </c>
      <c r="G14" s="38">
        <v>102.6938700582825</v>
      </c>
      <c r="H14" s="38">
        <v>146.89472652466119</v>
      </c>
      <c r="I14" s="38">
        <v>201.21541603913079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95.92752207205757</v>
      </c>
      <c r="C15" s="38">
        <v>133.53381482939361</v>
      </c>
      <c r="D15" s="38">
        <v>194.80417584260289</v>
      </c>
      <c r="E15" s="38">
        <v>273.48578434558391</v>
      </c>
      <c r="F15" s="38">
        <v>75.064350566601632</v>
      </c>
      <c r="G15" s="38">
        <v>103.8231447508433</v>
      </c>
      <c r="H15" s="38">
        <v>151.2647476460927</v>
      </c>
      <c r="I15" s="38">
        <v>212.8758606443985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97.112830179337351</v>
      </c>
      <c r="C16" s="38">
        <v>137.38246120196499</v>
      </c>
      <c r="D16" s="38">
        <v>204.20383875683149</v>
      </c>
      <c r="E16" s="38">
        <v>293.87272469413108</v>
      </c>
      <c r="F16" s="38">
        <v>74.024301538455532</v>
      </c>
      <c r="G16" s="38">
        <v>104.99812825737681</v>
      </c>
      <c r="H16" s="38">
        <v>156.01683448409241</v>
      </c>
      <c r="I16" s="38">
        <v>223.60113739748229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98.468382394765342</v>
      </c>
      <c r="C17" s="38">
        <v>142.37204958074079</v>
      </c>
      <c r="D17" s="38">
        <v>215.6296724950476</v>
      </c>
      <c r="E17" s="38">
        <v>314.9033622075309</v>
      </c>
      <c r="F17" s="38">
        <v>74.633923165407225</v>
      </c>
      <c r="G17" s="38">
        <v>106.68681910779129</v>
      </c>
      <c r="H17" s="38">
        <v>161.2031090108153</v>
      </c>
      <c r="I17" s="38">
        <v>235.23014222444101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99.308266105457449</v>
      </c>
      <c r="C18" s="38">
        <v>146.59654335179761</v>
      </c>
      <c r="D18" s="38">
        <v>226.1906998647797</v>
      </c>
      <c r="E18" s="38">
        <v>338.17804620613862</v>
      </c>
      <c r="F18" s="38">
        <v>74.182997099231969</v>
      </c>
      <c r="G18" s="38">
        <v>108.1823758828707</v>
      </c>
      <c r="H18" s="38">
        <v>165.70740200275449</v>
      </c>
      <c r="I18" s="38">
        <v>247.3015784953663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100.8967731299779</v>
      </c>
      <c r="C19" s="38">
        <v>151.4291687475654</v>
      </c>
      <c r="D19" s="38">
        <v>237.695043221585</v>
      </c>
      <c r="E19" s="38">
        <v>362.59622389555551</v>
      </c>
      <c r="F19" s="38">
        <v>73.312668878138098</v>
      </c>
      <c r="G19" s="38">
        <v>109.6351805549494</v>
      </c>
      <c r="H19" s="38">
        <v>170.96418675985419</v>
      </c>
      <c r="I19" s="38">
        <v>259.80425289121058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103.00293094916751</v>
      </c>
      <c r="C20" s="38">
        <v>156.48495492891101</v>
      </c>
      <c r="D20" s="38">
        <v>249.60345768630489</v>
      </c>
      <c r="E20" s="38">
        <v>390.14871332644481</v>
      </c>
      <c r="F20" s="38">
        <v>73.94485093469126</v>
      </c>
      <c r="G20" s="38">
        <v>110.85121285783841</v>
      </c>
      <c r="H20" s="38">
        <v>176.09562331023659</v>
      </c>
      <c r="I20" s="38">
        <v>272.99269968346641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105.1794933587548</v>
      </c>
      <c r="C21" s="38">
        <v>161.88677722153639</v>
      </c>
      <c r="D21" s="38">
        <v>263.31841545216491</v>
      </c>
      <c r="E21" s="38">
        <v>418.65926805038453</v>
      </c>
      <c r="F21" s="38">
        <v>74.576581864937339</v>
      </c>
      <c r="G21" s="38">
        <v>112.4313657577416</v>
      </c>
      <c r="H21" s="38">
        <v>181.90767396690319</v>
      </c>
      <c r="I21" s="38">
        <v>287.57515692195602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107.9186017702071</v>
      </c>
      <c r="C22" s="38">
        <v>167.6515969034825</v>
      </c>
      <c r="D22" s="38">
        <v>277.03201954530692</v>
      </c>
      <c r="E22" s="38">
        <v>445.76435801146158</v>
      </c>
      <c r="F22" s="38">
        <v>74.864305403667643</v>
      </c>
      <c r="G22" s="38">
        <v>113.57045695861591</v>
      </c>
      <c r="H22" s="38">
        <v>187.911553553403</v>
      </c>
      <c r="I22" s="38">
        <v>299.87145958742929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110.67117834453801</v>
      </c>
      <c r="C23" s="38">
        <v>173.23977525078459</v>
      </c>
      <c r="D23" s="38">
        <v>290.67048422949279</v>
      </c>
      <c r="E23" s="38">
        <v>475.19458292480039</v>
      </c>
      <c r="F23" s="38">
        <v>75.081858895213188</v>
      </c>
      <c r="G23" s="38">
        <v>115.6684166229964</v>
      </c>
      <c r="H23" s="38">
        <v>193.38003253472721</v>
      </c>
      <c r="I23" s="38">
        <v>313.2132588407361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91</v>
      </c>
      <c r="C1" s="38" t="s">
        <v>91</v>
      </c>
      <c r="D1" s="38" t="s">
        <v>91</v>
      </c>
      <c r="E1" s="38" t="s">
        <v>91</v>
      </c>
      <c r="F1" s="38" t="s">
        <v>92</v>
      </c>
      <c r="G1" s="38" t="s">
        <v>92</v>
      </c>
      <c r="H1" s="38" t="s">
        <v>92</v>
      </c>
      <c r="I1" s="38" t="s">
        <v>92</v>
      </c>
      <c r="J1" s="38" t="s">
        <v>93</v>
      </c>
      <c r="K1" s="38" t="s">
        <v>93</v>
      </c>
      <c r="L1" s="38" t="s">
        <v>93</v>
      </c>
      <c r="M1" s="38" t="s">
        <v>93</v>
      </c>
      <c r="N1" s="38" t="s">
        <v>94</v>
      </c>
      <c r="O1" s="38" t="s">
        <v>94</v>
      </c>
      <c r="P1" s="38" t="s">
        <v>94</v>
      </c>
      <c r="Q1" s="38" t="s">
        <v>94</v>
      </c>
    </row>
    <row r="2" spans="1:17" x14ac:dyDescent="0.2">
      <c r="A2" s="38"/>
      <c r="B2" s="38" t="s">
        <v>95</v>
      </c>
      <c r="C2" s="38" t="s">
        <v>96</v>
      </c>
      <c r="D2" s="38" t="s">
        <v>97</v>
      </c>
      <c r="E2" s="38" t="s">
        <v>98</v>
      </c>
      <c r="F2" s="38" t="s">
        <v>95</v>
      </c>
      <c r="G2" s="38" t="s">
        <v>96</v>
      </c>
      <c r="H2" s="38" t="s">
        <v>97</v>
      </c>
      <c r="I2" s="38" t="s">
        <v>98</v>
      </c>
      <c r="J2" s="38" t="s">
        <v>95</v>
      </c>
      <c r="K2" s="38" t="s">
        <v>96</v>
      </c>
      <c r="L2" s="38" t="s">
        <v>97</v>
      </c>
      <c r="M2" s="38" t="s">
        <v>98</v>
      </c>
      <c r="N2" s="38" t="s">
        <v>95</v>
      </c>
      <c r="O2" s="38" t="s">
        <v>96</v>
      </c>
      <c r="P2" s="38" t="s">
        <v>97</v>
      </c>
      <c r="Q2" s="38" t="s">
        <v>98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93.115136910420802</v>
      </c>
      <c r="C4" s="38">
        <v>100.1619353961501</v>
      </c>
      <c r="D4" s="38">
        <v>107.37746830356269</v>
      </c>
      <c r="E4" s="38">
        <v>114.13697859261541</v>
      </c>
      <c r="F4" s="38">
        <v>89.995995515850908</v>
      </c>
      <c r="G4" s="38">
        <v>97.676153308122039</v>
      </c>
      <c r="H4" s="38">
        <v>105.0300665755282</v>
      </c>
      <c r="I4" s="38">
        <v>111.9430208385549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96.086170699140126</v>
      </c>
      <c r="C5" s="38">
        <v>104.06688080486749</v>
      </c>
      <c r="D5" s="38">
        <v>114.3506576795601</v>
      </c>
      <c r="E5" s="38">
        <v>124.2437403976504</v>
      </c>
      <c r="F5" s="38">
        <v>90.552393978461168</v>
      </c>
      <c r="G5" s="38">
        <v>98.83113356279307</v>
      </c>
      <c r="H5" s="38">
        <v>109.29236227297</v>
      </c>
      <c r="I5" s="38">
        <v>119.2078486874349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99.089741224958132</v>
      </c>
      <c r="C6" s="38">
        <v>109.1894174839184</v>
      </c>
      <c r="D6" s="38">
        <v>121.534997156874</v>
      </c>
      <c r="E6" s="38">
        <v>134.42693744084011</v>
      </c>
      <c r="F6" s="38">
        <v>91.292066474811051</v>
      </c>
      <c r="G6" s="38">
        <v>101.4285977332181</v>
      </c>
      <c r="H6" s="38">
        <v>113.6490261362765</v>
      </c>
      <c r="I6" s="38">
        <v>126.2423230922173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101.1367604108956</v>
      </c>
      <c r="C7" s="38">
        <v>113.7595689341517</v>
      </c>
      <c r="D7" s="38">
        <v>129.59983694261101</v>
      </c>
      <c r="E7" s="38">
        <v>146.26771884404189</v>
      </c>
      <c r="F7" s="38">
        <v>91.389814406317043</v>
      </c>
      <c r="G7" s="38">
        <v>103.3127404861612</v>
      </c>
      <c r="H7" s="38">
        <v>118.6161336145399</v>
      </c>
      <c r="I7" s="38">
        <v>134.61964085481591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104.3075321731301</v>
      </c>
      <c r="C8" s="38">
        <v>119.2059611527243</v>
      </c>
      <c r="D8" s="38">
        <v>138.3989154670551</v>
      </c>
      <c r="E8" s="38">
        <v>159.0465705515</v>
      </c>
      <c r="F8" s="38">
        <v>92.238387522467065</v>
      </c>
      <c r="G8" s="38">
        <v>106.0241007420837</v>
      </c>
      <c r="H8" s="38">
        <v>123.91418332644849</v>
      </c>
      <c r="I8" s="38">
        <v>143.35958788546051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107.10934413228971</v>
      </c>
      <c r="C9" s="38">
        <v>124.8331086190056</v>
      </c>
      <c r="D9" s="38">
        <v>147.4861186774788</v>
      </c>
      <c r="E9" s="38">
        <v>171.9673095654336</v>
      </c>
      <c r="F9" s="38">
        <v>93.030886590389059</v>
      </c>
      <c r="G9" s="38">
        <v>108.5395920602153</v>
      </c>
      <c r="H9" s="38">
        <v>129.27473896432781</v>
      </c>
      <c r="I9" s="38">
        <v>151.81404643913041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107.48311617810231</v>
      </c>
      <c r="C10" s="38">
        <v>129.38232445454659</v>
      </c>
      <c r="D10" s="38">
        <v>156.35290176073849</v>
      </c>
      <c r="E10" s="38">
        <v>185.78592430492239</v>
      </c>
      <c r="F10" s="38">
        <v>91.957740184311618</v>
      </c>
      <c r="G10" s="38">
        <v>110.25434118718699</v>
      </c>
      <c r="H10" s="38">
        <v>134.4219045797031</v>
      </c>
      <c r="I10" s="38">
        <v>160.75551752303511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109.624044283098</v>
      </c>
      <c r="C11" s="38">
        <v>133.72024429297889</v>
      </c>
      <c r="D11" s="38">
        <v>165.4518065781659</v>
      </c>
      <c r="E11" s="38">
        <v>200.30931930841189</v>
      </c>
      <c r="F11" s="38">
        <v>92.064780868807119</v>
      </c>
      <c r="G11" s="38">
        <v>111.8831823707845</v>
      </c>
      <c r="H11" s="38">
        <v>139.3882525395519</v>
      </c>
      <c r="I11" s="38">
        <v>169.70578520657949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110.6472084332393</v>
      </c>
      <c r="C12" s="38">
        <v>137.71842610317131</v>
      </c>
      <c r="D12" s="38">
        <v>174.51274533825799</v>
      </c>
      <c r="E12" s="38">
        <v>215.11362172468429</v>
      </c>
      <c r="F12" s="38">
        <v>91.72046724986474</v>
      </c>
      <c r="G12" s="38">
        <v>112.9976853523584</v>
      </c>
      <c r="H12" s="38">
        <v>144.12348447524221</v>
      </c>
      <c r="I12" s="38">
        <v>179.06222062620441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113.3463056838831</v>
      </c>
      <c r="C13" s="38">
        <v>142.88153825413909</v>
      </c>
      <c r="D13" s="38">
        <v>184.00841924378429</v>
      </c>
      <c r="E13" s="38">
        <v>231.15857442896589</v>
      </c>
      <c r="F13" s="38">
        <v>91.138266030570236</v>
      </c>
      <c r="G13" s="38">
        <v>114.9151192644578</v>
      </c>
      <c r="H13" s="38">
        <v>148.76831276431929</v>
      </c>
      <c r="I13" s="38">
        <v>188.27009550156879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115.6525808988337</v>
      </c>
      <c r="C14" s="38">
        <v>147.76558427060681</v>
      </c>
      <c r="D14" s="38">
        <v>193.88730289656101</v>
      </c>
      <c r="E14" s="38">
        <v>248.03530960764471</v>
      </c>
      <c r="F14" s="38">
        <v>91.279519267698603</v>
      </c>
      <c r="G14" s="38">
        <v>116.5652562130128</v>
      </c>
      <c r="H14" s="38">
        <v>153.43283709334369</v>
      </c>
      <c r="I14" s="38">
        <v>197.57299186521499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118.40305868052791</v>
      </c>
      <c r="C15" s="38">
        <v>152.97414192596551</v>
      </c>
      <c r="D15" s="38">
        <v>203.73194608622961</v>
      </c>
      <c r="E15" s="38">
        <v>266.16243970650532</v>
      </c>
      <c r="F15" s="38">
        <v>92.039786985306705</v>
      </c>
      <c r="G15" s="38">
        <v>118.5391810983643</v>
      </c>
      <c r="H15" s="38">
        <v>158.26465110229961</v>
      </c>
      <c r="I15" s="38">
        <v>207.9820035116924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121.49457540722361</v>
      </c>
      <c r="C16" s="38">
        <v>158.37779322145249</v>
      </c>
      <c r="D16" s="38">
        <v>214.2892888151348</v>
      </c>
      <c r="E16" s="38">
        <v>285.17163590193621</v>
      </c>
      <c r="F16" s="38">
        <v>92.630099418114341</v>
      </c>
      <c r="G16" s="38">
        <v>120.2018874248146</v>
      </c>
      <c r="H16" s="38">
        <v>163.4617600488842</v>
      </c>
      <c r="I16" s="38">
        <v>218.34759144645841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123.476805158893</v>
      </c>
      <c r="C17" s="38">
        <v>164.3499437823169</v>
      </c>
      <c r="D17" s="38">
        <v>225.71848906168569</v>
      </c>
      <c r="E17" s="38">
        <v>305.95818346597918</v>
      </c>
      <c r="F17" s="38">
        <v>93.016476824033788</v>
      </c>
      <c r="G17" s="38">
        <v>122.50292018407779</v>
      </c>
      <c r="H17" s="38">
        <v>168.60041083283909</v>
      </c>
      <c r="I17" s="38">
        <v>229.3279839545024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126.9658351624069</v>
      </c>
      <c r="C18" s="38">
        <v>170.30400076903081</v>
      </c>
      <c r="D18" s="38">
        <v>237.2378154116513</v>
      </c>
      <c r="E18" s="38">
        <v>327.1939251468329</v>
      </c>
      <c r="F18" s="38">
        <v>93.501897110482261</v>
      </c>
      <c r="G18" s="38">
        <v>124.51844449561941</v>
      </c>
      <c r="H18" s="38">
        <v>173.83560802417369</v>
      </c>
      <c r="I18" s="38">
        <v>240.26501210067769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130.35449122761861</v>
      </c>
      <c r="C19" s="38">
        <v>176.5218408218679</v>
      </c>
      <c r="D19" s="38">
        <v>249.3626038839549</v>
      </c>
      <c r="E19" s="38">
        <v>350.55509886294237</v>
      </c>
      <c r="F19" s="38">
        <v>94.350052330691184</v>
      </c>
      <c r="G19" s="38">
        <v>126.6563314151488</v>
      </c>
      <c r="H19" s="38">
        <v>179.4075591171754</v>
      </c>
      <c r="I19" s="38">
        <v>252.1635225575094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133.75073975531009</v>
      </c>
      <c r="C20" s="38">
        <v>183.17829067966181</v>
      </c>
      <c r="D20" s="38">
        <v>262.19454269340349</v>
      </c>
      <c r="E20" s="38">
        <v>374.8101918557694</v>
      </c>
      <c r="F20" s="38">
        <v>95.260856705581915</v>
      </c>
      <c r="G20" s="38">
        <v>128.57783840643651</v>
      </c>
      <c r="H20" s="38">
        <v>185.07256510070789</v>
      </c>
      <c r="I20" s="38">
        <v>263.54008492794372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138.36747543262101</v>
      </c>
      <c r="C21" s="38">
        <v>190.5325805837814</v>
      </c>
      <c r="D21" s="38">
        <v>275.7513926575059</v>
      </c>
      <c r="E21" s="38">
        <v>401.03299362487309</v>
      </c>
      <c r="F21" s="38">
        <v>95.552722275906191</v>
      </c>
      <c r="G21" s="38">
        <v>131.04516325376011</v>
      </c>
      <c r="H21" s="38">
        <v>191.21324295074319</v>
      </c>
      <c r="I21" s="38">
        <v>276.40868736525152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142.40106814306259</v>
      </c>
      <c r="C22" s="38">
        <v>197.31775541011561</v>
      </c>
      <c r="D22" s="38">
        <v>290.23160869046762</v>
      </c>
      <c r="E22" s="38">
        <v>427.04371897351427</v>
      </c>
      <c r="F22" s="38">
        <v>96.895767004239659</v>
      </c>
      <c r="G22" s="38">
        <v>133.16510527222329</v>
      </c>
      <c r="H22" s="38">
        <v>197.36120014901451</v>
      </c>
      <c r="I22" s="38">
        <v>288.09703977925687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146.01514434253249</v>
      </c>
      <c r="C23" s="38">
        <v>204.85443859158721</v>
      </c>
      <c r="D23" s="38">
        <v>305.91922710902389</v>
      </c>
      <c r="E23" s="38">
        <v>455.78370292632218</v>
      </c>
      <c r="F23" s="38">
        <v>97.748055880166291</v>
      </c>
      <c r="G23" s="38">
        <v>136.35926052907229</v>
      </c>
      <c r="H23" s="38">
        <v>203.69632211639529</v>
      </c>
      <c r="I23" s="38">
        <v>300.33440778249462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91</v>
      </c>
      <c r="C1" s="38" t="s">
        <v>91</v>
      </c>
      <c r="D1" s="38" t="s">
        <v>91</v>
      </c>
      <c r="E1" s="38" t="s">
        <v>91</v>
      </c>
      <c r="F1" s="38" t="s">
        <v>92</v>
      </c>
      <c r="G1" s="38" t="s">
        <v>92</v>
      </c>
      <c r="H1" s="38" t="s">
        <v>92</v>
      </c>
      <c r="I1" s="38" t="s">
        <v>92</v>
      </c>
      <c r="J1" s="38" t="s">
        <v>93</v>
      </c>
      <c r="K1" s="38" t="s">
        <v>93</v>
      </c>
      <c r="L1" s="38" t="s">
        <v>93</v>
      </c>
      <c r="M1" s="38" t="s">
        <v>93</v>
      </c>
      <c r="N1" s="38" t="s">
        <v>94</v>
      </c>
      <c r="O1" s="38" t="s">
        <v>94</v>
      </c>
      <c r="P1" s="38" t="s">
        <v>94</v>
      </c>
      <c r="Q1" s="38" t="s">
        <v>94</v>
      </c>
    </row>
    <row r="2" spans="1:17" x14ac:dyDescent="0.2">
      <c r="A2" s="38"/>
      <c r="B2" s="38" t="s">
        <v>95</v>
      </c>
      <c r="C2" s="38" t="s">
        <v>96</v>
      </c>
      <c r="D2" s="38" t="s">
        <v>97</v>
      </c>
      <c r="E2" s="38" t="s">
        <v>98</v>
      </c>
      <c r="F2" s="38" t="s">
        <v>95</v>
      </c>
      <c r="G2" s="38" t="s">
        <v>96</v>
      </c>
      <c r="H2" s="38" t="s">
        <v>97</v>
      </c>
      <c r="I2" s="38" t="s">
        <v>98</v>
      </c>
      <c r="J2" s="38" t="s">
        <v>95</v>
      </c>
      <c r="K2" s="38" t="s">
        <v>96</v>
      </c>
      <c r="L2" s="38" t="s">
        <v>97</v>
      </c>
      <c r="M2" s="38" t="s">
        <v>98</v>
      </c>
      <c r="N2" s="38" t="s">
        <v>95</v>
      </c>
      <c r="O2" s="38" t="s">
        <v>96</v>
      </c>
      <c r="P2" s="38" t="s">
        <v>97</v>
      </c>
      <c r="Q2" s="38" t="s">
        <v>98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92.320784944677925</v>
      </c>
      <c r="C4" s="38">
        <v>100.00427483719039</v>
      </c>
      <c r="D4" s="38">
        <v>107.71752090342891</v>
      </c>
      <c r="E4" s="38">
        <v>114.52539431765869</v>
      </c>
      <c r="F4" s="38">
        <v>89.206328982729246</v>
      </c>
      <c r="G4" s="38">
        <v>97.475901122777444</v>
      </c>
      <c r="H4" s="38">
        <v>105.3516601645548</v>
      </c>
      <c r="I4" s="38">
        <v>112.27751000551829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95.41042114842277</v>
      </c>
      <c r="C5" s="38">
        <v>103.95836228979429</v>
      </c>
      <c r="D5" s="38">
        <v>114.8845239211137</v>
      </c>
      <c r="E5" s="38">
        <v>125.1432102325943</v>
      </c>
      <c r="F5" s="38">
        <v>89.929667470539655</v>
      </c>
      <c r="G5" s="38">
        <v>98.722932542973595</v>
      </c>
      <c r="H5" s="38">
        <v>109.80237033332889</v>
      </c>
      <c r="I5" s="38">
        <v>120.04203671497061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98.548820614657444</v>
      </c>
      <c r="C6" s="38">
        <v>109.1624837297483</v>
      </c>
      <c r="D6" s="38">
        <v>122.2291199270274</v>
      </c>
      <c r="E6" s="38">
        <v>135.7707828618544</v>
      </c>
      <c r="F6" s="38">
        <v>90.679629545780841</v>
      </c>
      <c r="G6" s="38">
        <v>101.47257465755661</v>
      </c>
      <c r="H6" s="38">
        <v>114.3067925828516</v>
      </c>
      <c r="I6" s="38">
        <v>127.4446723643115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100.8096386683533</v>
      </c>
      <c r="C7" s="38">
        <v>113.91892093918329</v>
      </c>
      <c r="D7" s="38">
        <v>130.50860716455409</v>
      </c>
      <c r="E7" s="38">
        <v>147.97691974335291</v>
      </c>
      <c r="F7" s="38">
        <v>90.940008233295202</v>
      </c>
      <c r="G7" s="38">
        <v>103.4413730659374</v>
      </c>
      <c r="H7" s="38">
        <v>119.4699206184528</v>
      </c>
      <c r="I7" s="38">
        <v>136.17749445576359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104.37173032053251</v>
      </c>
      <c r="C8" s="38">
        <v>119.5725312905851</v>
      </c>
      <c r="D8" s="38">
        <v>139.50860976368381</v>
      </c>
      <c r="E8" s="38">
        <v>161.00424540360541</v>
      </c>
      <c r="F8" s="38">
        <v>91.924532950874507</v>
      </c>
      <c r="G8" s="38">
        <v>106.254165369086</v>
      </c>
      <c r="H8" s="38">
        <v>124.9891407789068</v>
      </c>
      <c r="I8" s="38">
        <v>145.17161078165131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107.20116985570191</v>
      </c>
      <c r="C9" s="38">
        <v>125.2536356445228</v>
      </c>
      <c r="D9" s="38">
        <v>148.80210791792149</v>
      </c>
      <c r="E9" s="38">
        <v>174.3811652295303</v>
      </c>
      <c r="F9" s="38">
        <v>92.574797338032354</v>
      </c>
      <c r="G9" s="38">
        <v>108.8583992987877</v>
      </c>
      <c r="H9" s="38">
        <v>130.66079291375391</v>
      </c>
      <c r="I9" s="38">
        <v>153.87903115509371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108.083354668361</v>
      </c>
      <c r="C10" s="38">
        <v>129.91084882207761</v>
      </c>
      <c r="D10" s="38">
        <v>157.94510179635699</v>
      </c>
      <c r="E10" s="38">
        <v>188.46103340652209</v>
      </c>
      <c r="F10" s="38">
        <v>91.858446942116998</v>
      </c>
      <c r="G10" s="38">
        <v>110.7440854214957</v>
      </c>
      <c r="H10" s="38">
        <v>135.68015583961159</v>
      </c>
      <c r="I10" s="38">
        <v>163.10749270278649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110.7354998645626</v>
      </c>
      <c r="C11" s="38">
        <v>134.5498459166057</v>
      </c>
      <c r="D11" s="38">
        <v>167.1186620957676</v>
      </c>
      <c r="E11" s="38">
        <v>202.80022170833109</v>
      </c>
      <c r="F11" s="38">
        <v>92.495818067316051</v>
      </c>
      <c r="G11" s="38">
        <v>112.51213960725831</v>
      </c>
      <c r="H11" s="38">
        <v>140.72661379514409</v>
      </c>
      <c r="I11" s="38">
        <v>172.1071078041565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111.83978957531281</v>
      </c>
      <c r="C12" s="38">
        <v>139.0485691242321</v>
      </c>
      <c r="D12" s="38">
        <v>176.57153645390389</v>
      </c>
      <c r="E12" s="38">
        <v>218.27872212264489</v>
      </c>
      <c r="F12" s="38">
        <v>91.936319998586711</v>
      </c>
      <c r="G12" s="38">
        <v>113.8430793039101</v>
      </c>
      <c r="H12" s="38">
        <v>145.74080514878179</v>
      </c>
      <c r="I12" s="38">
        <v>181.68011830244771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114.31782189949369</v>
      </c>
      <c r="C13" s="38">
        <v>144.24110037013611</v>
      </c>
      <c r="D13" s="38">
        <v>186.3328545019088</v>
      </c>
      <c r="E13" s="38">
        <v>234.1274015605654</v>
      </c>
      <c r="F13" s="38">
        <v>92.133397963342233</v>
      </c>
      <c r="G13" s="38">
        <v>115.9441364457403</v>
      </c>
      <c r="H13" s="38">
        <v>150.53084102746959</v>
      </c>
      <c r="I13" s="38">
        <v>191.16328565715929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116.87548610820311</v>
      </c>
      <c r="C14" s="38">
        <v>149.22949555178869</v>
      </c>
      <c r="D14" s="38">
        <v>196.33217124570331</v>
      </c>
      <c r="E14" s="38">
        <v>251.50692342878571</v>
      </c>
      <c r="F14" s="38">
        <v>91.902029032917795</v>
      </c>
      <c r="G14" s="38">
        <v>117.6886869350184</v>
      </c>
      <c r="H14" s="38">
        <v>155.59187956731489</v>
      </c>
      <c r="I14" s="38">
        <v>200.88322128090471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119.72589063560569</v>
      </c>
      <c r="C15" s="38">
        <v>154.53994319695701</v>
      </c>
      <c r="D15" s="38">
        <v>206.3577687920301</v>
      </c>
      <c r="E15" s="38">
        <v>269.64299589898951</v>
      </c>
      <c r="F15" s="38">
        <v>92.513544591480951</v>
      </c>
      <c r="G15" s="38">
        <v>119.7459429429184</v>
      </c>
      <c r="H15" s="38">
        <v>160.62239956146439</v>
      </c>
      <c r="I15" s="38">
        <v>211.21079288000709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122.6811933006795</v>
      </c>
      <c r="C16" s="38">
        <v>160.20928838358239</v>
      </c>
      <c r="D16" s="38">
        <v>217.3801190847787</v>
      </c>
      <c r="E16" s="38">
        <v>289.65273846895599</v>
      </c>
      <c r="F16" s="38">
        <v>93.157944575863979</v>
      </c>
      <c r="G16" s="38">
        <v>121.64621873727231</v>
      </c>
      <c r="H16" s="38">
        <v>165.93302480435469</v>
      </c>
      <c r="I16" s="38">
        <v>222.09890399095829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125.62587589978639</v>
      </c>
      <c r="C17" s="38">
        <v>166.38017457751869</v>
      </c>
      <c r="D17" s="38">
        <v>228.9616308922356</v>
      </c>
      <c r="E17" s="38">
        <v>311.23507233841821</v>
      </c>
      <c r="F17" s="38">
        <v>93.31390965465711</v>
      </c>
      <c r="G17" s="38">
        <v>123.9103596909831</v>
      </c>
      <c r="H17" s="38">
        <v>171.19456410882071</v>
      </c>
      <c r="I17" s="38">
        <v>233.51323302549261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128.80866606423879</v>
      </c>
      <c r="C18" s="38">
        <v>172.6832570068116</v>
      </c>
      <c r="D18" s="38">
        <v>240.7206564617818</v>
      </c>
      <c r="E18" s="38">
        <v>333.19141059073672</v>
      </c>
      <c r="F18" s="38">
        <v>94.471339410589664</v>
      </c>
      <c r="G18" s="38">
        <v>126.0771670333025</v>
      </c>
      <c r="H18" s="38">
        <v>176.63143563513151</v>
      </c>
      <c r="I18" s="38">
        <v>244.72973335017579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132.40941717009491</v>
      </c>
      <c r="C19" s="38">
        <v>179.03279162870999</v>
      </c>
      <c r="D19" s="38">
        <v>253.4603003751719</v>
      </c>
      <c r="E19" s="38">
        <v>356.36420488895698</v>
      </c>
      <c r="F19" s="38">
        <v>95.623726487842134</v>
      </c>
      <c r="G19" s="38">
        <v>128.20253641360341</v>
      </c>
      <c r="H19" s="38">
        <v>182.43552145340459</v>
      </c>
      <c r="I19" s="38">
        <v>256.05843094712668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136.38536207791361</v>
      </c>
      <c r="C20" s="38">
        <v>186.04387791387629</v>
      </c>
      <c r="D20" s="38">
        <v>266.65246742164152</v>
      </c>
      <c r="E20" s="38">
        <v>381.32127430957951</v>
      </c>
      <c r="F20" s="38">
        <v>95.639942844912184</v>
      </c>
      <c r="G20" s="38">
        <v>130.42483832870931</v>
      </c>
      <c r="H20" s="38">
        <v>188.4067382649404</v>
      </c>
      <c r="I20" s="38">
        <v>268.90917445149307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140.02234019053211</v>
      </c>
      <c r="C21" s="38">
        <v>193.16006267765471</v>
      </c>
      <c r="D21" s="38">
        <v>280.9000795859854</v>
      </c>
      <c r="E21" s="38">
        <v>408.3517413768613</v>
      </c>
      <c r="F21" s="38">
        <v>96.721768667974786</v>
      </c>
      <c r="G21" s="38">
        <v>132.82431111341731</v>
      </c>
      <c r="H21" s="38">
        <v>194.84824107959179</v>
      </c>
      <c r="I21" s="38">
        <v>281.90539248790839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145.19818433262651</v>
      </c>
      <c r="C22" s="38">
        <v>200.62746094381711</v>
      </c>
      <c r="D22" s="38">
        <v>296.19295722242839</v>
      </c>
      <c r="E22" s="38">
        <v>434.62325105044692</v>
      </c>
      <c r="F22" s="38">
        <v>98.115785685999455</v>
      </c>
      <c r="G22" s="38">
        <v>134.86990639310079</v>
      </c>
      <c r="H22" s="38">
        <v>201.2380490939716</v>
      </c>
      <c r="I22" s="38">
        <v>293.69758626692652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148.19553160359121</v>
      </c>
      <c r="C23" s="38">
        <v>208.3517239264159</v>
      </c>
      <c r="D23" s="38">
        <v>311.8472126016855</v>
      </c>
      <c r="E23" s="38">
        <v>464.47414491339418</v>
      </c>
      <c r="F23" s="38">
        <v>98.869256194337041</v>
      </c>
      <c r="G23" s="38">
        <v>138.1362220205572</v>
      </c>
      <c r="H23" s="38">
        <v>207.57950778849801</v>
      </c>
      <c r="I23" s="38">
        <v>307.01479298687639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risk_dashboard</vt:lpstr>
      <vt:lpstr>assumptions</vt:lpstr>
      <vt:lpstr>ws_Current_Portfolio</vt:lpstr>
      <vt:lpstr>ws_Return_Matched</vt:lpstr>
      <vt:lpstr>ws_Return_Matched_(No_Private_A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2025-07-06T19:07:20Z</dcterms:created>
  <dcterms:modified xsi:type="dcterms:W3CDTF">2025-07-07T08:14:54Z</dcterms:modified>
</cp:coreProperties>
</file>