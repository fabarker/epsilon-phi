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Scripts/Case Studies/2. Optimizations/"/>
    </mc:Choice>
  </mc:AlternateContent>
  <xr:revisionPtr revIDLastSave="0" documentId="13_ncr:1_{15F35930-3351-A34F-8B58-69CB1EBC5839}" xr6:coauthVersionLast="47" xr6:coauthVersionMax="47" xr10:uidLastSave="{00000000-0000-0000-0000-000000000000}"/>
  <bookViews>
    <workbookView xWindow="0" yWindow="560" windowWidth="33600" windowHeight="19040" activeTab="1" xr2:uid="{00000000-000D-0000-FFFF-FFFF00000000}"/>
  </bookViews>
  <sheets>
    <sheet name="portfolios" sheetId="1" r:id="rId1"/>
    <sheet name="risk_dashboard" sheetId="2" r:id="rId2"/>
    <sheet name="assumptions" sheetId="3" r:id="rId3"/>
    <sheet name="ws_Current_Portfolio" sheetId="4" r:id="rId4"/>
    <sheet name="ws_Volatility_Matched" sheetId="5" r:id="rId5"/>
    <sheet name="ws_Volatility_Matched_(No_Priv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1" l="1"/>
  <c r="D22" i="1"/>
  <c r="C13" i="1"/>
  <c r="D13" i="1"/>
  <c r="B13" i="1"/>
</calcChain>
</file>

<file path=xl/sharedStrings.xml><?xml version="1.0" encoding="utf-8"?>
<sst xmlns="http://schemas.openxmlformats.org/spreadsheetml/2006/main" count="253" uniqueCount="107">
  <si>
    <t>Current Portfolio</t>
  </si>
  <si>
    <t>Volatility Matched</t>
  </si>
  <si>
    <t>Investment Grade Fixed Income</t>
  </si>
  <si>
    <t xml:space="preserve">  US Dollar Debt</t>
  </si>
  <si>
    <t xml:space="preserve">  US Short Duration Debt</t>
  </si>
  <si>
    <t xml:space="preserve">  US Inflation Protected Bonds</t>
  </si>
  <si>
    <t xml:space="preserve">  US Corporate Bonds</t>
  </si>
  <si>
    <t>Other Fixed Income</t>
  </si>
  <si>
    <t xml:space="preserve">  US High Yield</t>
  </si>
  <si>
    <t xml:space="preserve">  EM External Debt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</si>
  <si>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</si>
  <si>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</si>
  <si>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</si>
  <si>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</si>
  <si>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</si>
  <si>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</si>
  <si>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</si>
  <si>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</si>
  <si>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</si>
  <si>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</si>
  <si>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</si>
  <si>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</si>
  <si>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</si>
  <si>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Multi-Strategy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</si>
  <si>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</si>
  <si>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</si>
  <si>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</si>
  <si>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</si>
  <si>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</si>
  <si>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</si>
  <si>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</si>
  <si>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</si>
  <si>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</si>
  <si>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</si>
  <si>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</si>
  <si>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TOTAL</t>
  </si>
  <si>
    <t>Estimated Mean Return</t>
  </si>
  <si>
    <t>Sharpe Ratio</t>
  </si>
  <si>
    <t>Volatility</t>
  </si>
  <si>
    <t>Factor Based Risk Analytics</t>
  </si>
  <si>
    <t>Nominal</t>
  </si>
  <si>
    <t>Real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</si>
  <si>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</si>
  <si>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</si>
  <si>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</si>
  <si>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</si>
  <si>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</si>
  <si>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</si>
  <si>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</si>
  <si>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</si>
  <si>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</si>
  <si>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</si>
  <si>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</si>
  <si>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</si>
  <si>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</si>
  <si>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</si>
  <si>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</si>
  <si>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</si>
  <si>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</si>
  <si>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</si>
  <si>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</si>
  <si>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</si>
  <si>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</si>
  <si>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</si>
  <si>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</si>
  <si>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</si>
  <si>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Short Duration Debt</t>
  </si>
  <si>
    <t xml:space="preserve">    US Inflation Protected Bonds</t>
  </si>
  <si>
    <t xml:space="preserve">    US Corporate Bonds</t>
  </si>
  <si>
    <t xml:space="preserve">    US High Yield</t>
  </si>
  <si>
    <t xml:space="preserve">    EM External Debt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</si>
  <si>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</si>
  <si>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</si>
  <si>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</si>
  <si>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</si>
  <si>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</si>
  <si>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</si>
  <si>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</si>
  <si>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</si>
  <si>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</si>
  <si>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</si>
  <si>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</si>
  <si>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Multi-Strategy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</si>
  <si>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</si>
  <si>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</si>
  <si>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</si>
  <si>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</si>
  <si>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</si>
  <si>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</si>
  <si>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</si>
  <si>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</si>
  <si>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</si>
  <si>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</si>
  <si>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</si>
  <si>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</si>
  <si>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</si>
  <si>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</si>
  <si>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</si>
  <si>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</si>
  <si>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</si>
  <si>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-</t>
  </si>
  <si>
    <t>US Equity</t>
  </si>
  <si>
    <t>Income Equity</t>
  </si>
  <si>
    <t>Unconstrained</t>
  </si>
  <si>
    <t>Private Asset Constrained</t>
  </si>
  <si>
    <t>Volatility Matched 
(No Private Assets)</t>
  </si>
  <si>
    <t>Performance Over Stress Periods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</si>
</sst>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.5"/>
      <color theme="1"/>
      <name val="Calibri"/>
      <family val="2"/>
    </font>
    <font>
      <sz val="12.5"/>
      <name val="Calibri"/>
      <family val="2"/>
    </font>
    <font>
      <sz val="11"/>
      <name val="Aptos Narrow"/>
    </font>
    <font>
      <sz val="11"/>
      <color rgb="FFFFFFFF"/>
      <name val="Aptos Narrow"/>
    </font>
    <font>
      <b/>
      <sz val="11"/>
      <color rgb="FF092539"/>
      <name val="Aptos Narrow"/>
    </font>
  </fonts>
  <fills count="8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dotted">
        <color auto="1"/>
      </bottom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auto="1"/>
      </bottom>
      <diagonal/>
    </border>
    <border>
      <left style="thin">
        <color theme="0"/>
      </left>
      <right/>
      <top/>
      <bottom style="dotted">
        <color auto="1"/>
      </bottom>
      <diagonal/>
    </border>
    <border>
      <left/>
      <right style="thin">
        <color theme="0"/>
      </right>
      <top/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hair">
        <color rgb="FFA9A9A9"/>
      </right>
      <top style="dotted">
        <color rgb="FFA9A9A9"/>
      </top>
      <bottom/>
      <diagonal/>
    </border>
    <border>
      <left/>
      <right style="thin">
        <color theme="0"/>
      </right>
      <top style="dotted">
        <color rgb="FFA9A9A9"/>
      </top>
      <bottom/>
      <diagonal/>
    </border>
    <border>
      <left/>
      <right style="hair">
        <color rgb="FFA9A9A9"/>
      </right>
      <top/>
      <bottom/>
      <diagonal/>
    </border>
    <border>
      <left/>
      <right style="hair">
        <color rgb="FFA9A9A9"/>
      </right>
      <top/>
      <bottom style="dotted">
        <color rgb="FFA9A9A9"/>
      </bottom>
      <diagonal/>
    </border>
    <border>
      <left/>
      <right/>
      <top/>
      <bottom style="dotted">
        <color rgb="FFA9A9A9"/>
      </bottom>
      <diagonal/>
    </border>
    <border>
      <left/>
      <right style="thin">
        <color theme="0"/>
      </right>
      <top/>
      <bottom style="dotted">
        <color rgb="FFA9A9A9"/>
      </bottom>
      <diagonal/>
    </border>
    <border>
      <left/>
      <right style="thin">
        <color theme="0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dotted">
        <color rgb="FFA9A9A9"/>
      </top>
      <bottom/>
      <diagonal/>
    </border>
    <border>
      <left style="thin">
        <color theme="0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1" fillId="3" borderId="2" xfId="0" applyNumberFormat="1" applyFont="1" applyFill="1" applyBorder="1" applyAlignment="1">
      <alignment horizontal="right" vertical="center" indent="4"/>
    </xf>
    <xf numFmtId="165" fontId="1" fillId="2" borderId="2" xfId="0" applyNumberFormat="1" applyFont="1" applyFill="1" applyBorder="1" applyAlignment="1">
      <alignment horizontal="right" vertical="center" indent="4"/>
    </xf>
    <xf numFmtId="164" fontId="1" fillId="2" borderId="3" xfId="0" applyNumberFormat="1" applyFont="1" applyFill="1" applyBorder="1" applyAlignment="1">
      <alignment horizontal="right" indent="4"/>
    </xf>
    <xf numFmtId="0" fontId="2" fillId="2" borderId="2" xfId="0" applyFont="1" applyFill="1" applyBorder="1"/>
    <xf numFmtId="164" fontId="3" fillId="4" borderId="2" xfId="0" applyNumberFormat="1" applyFont="1" applyFill="1" applyBorder="1" applyAlignment="1">
      <alignment horizontal="right" vertical="center" indent="4"/>
    </xf>
    <xf numFmtId="2" fontId="3" fillId="4" borderId="2" xfId="0" applyNumberFormat="1" applyFont="1" applyFill="1" applyBorder="1" applyAlignment="1">
      <alignment horizontal="right" vertical="center" indent="4"/>
    </xf>
    <xf numFmtId="0" fontId="4" fillId="6" borderId="2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vertical="center"/>
    </xf>
    <xf numFmtId="0" fontId="4" fillId="6" borderId="5" xfId="0" applyFont="1" applyFill="1" applyBorder="1" applyAlignment="1">
      <alignment horizontal="center" vertical="center" wrapText="1"/>
    </xf>
    <xf numFmtId="0" fontId="5" fillId="6" borderId="2" xfId="0" applyFont="1" applyFill="1" applyBorder="1"/>
    <xf numFmtId="0" fontId="5" fillId="6" borderId="2" xfId="0" applyFont="1" applyFill="1" applyBorder="1" applyAlignment="1">
      <alignment horizontal="center"/>
    </xf>
    <xf numFmtId="2" fontId="5" fillId="6" borderId="2" xfId="0" applyNumberFormat="1" applyFont="1" applyFill="1" applyBorder="1" applyAlignment="1">
      <alignment horizontal="center"/>
    </xf>
    <xf numFmtId="0" fontId="4" fillId="6" borderId="2" xfId="0" applyFont="1" applyFill="1" applyBorder="1"/>
    <xf numFmtId="164" fontId="6" fillId="6" borderId="2" xfId="0" applyNumberFormat="1" applyFont="1" applyFill="1" applyBorder="1" applyAlignment="1">
      <alignment horizontal="right"/>
    </xf>
    <xf numFmtId="164" fontId="4" fillId="6" borderId="2" xfId="0" applyNumberFormat="1" applyFont="1" applyFill="1" applyBorder="1" applyAlignment="1">
      <alignment horizontal="center"/>
    </xf>
    <xf numFmtId="164" fontId="7" fillId="6" borderId="2" xfId="0" applyNumberFormat="1" applyFont="1" applyFill="1" applyBorder="1" applyAlignment="1">
      <alignment horizontal="left"/>
    </xf>
    <xf numFmtId="2" fontId="4" fillId="6" borderId="2" xfId="0" applyNumberFormat="1" applyFont="1" applyFill="1" applyBorder="1" applyAlignment="1">
      <alignment horizontal="center"/>
    </xf>
    <xf numFmtId="9" fontId="4" fillId="6" borderId="2" xfId="0" applyNumberFormat="1" applyFont="1" applyFill="1" applyBorder="1" applyAlignment="1">
      <alignment horizontal="center"/>
    </xf>
    <xf numFmtId="17" fontId="4" fillId="6" borderId="2" xfId="0" applyNumberFormat="1" applyFont="1" applyFill="1" applyBorder="1" applyAlignment="1">
      <alignment horizontal="center"/>
    </xf>
    <xf numFmtId="0" fontId="5" fillId="6" borderId="6" xfId="0" applyFont="1" applyFill="1" applyBorder="1"/>
    <xf numFmtId="164" fontId="5" fillId="6" borderId="6" xfId="0" applyNumberFormat="1" applyFont="1" applyFill="1" applyBorder="1" applyAlignment="1">
      <alignment horizontal="right"/>
    </xf>
    <xf numFmtId="164" fontId="5" fillId="6" borderId="6" xfId="0" applyNumberFormat="1" applyFont="1" applyFill="1" applyBorder="1" applyAlignment="1">
      <alignment horizontal="center"/>
    </xf>
    <xf numFmtId="164" fontId="8" fillId="6" borderId="6" xfId="0" applyNumberFormat="1" applyFont="1" applyFill="1" applyBorder="1" applyAlignment="1">
      <alignment horizontal="left"/>
    </xf>
    <xf numFmtId="2" fontId="5" fillId="6" borderId="6" xfId="0" applyNumberFormat="1" applyFont="1" applyFill="1" applyBorder="1" applyAlignment="1">
      <alignment horizontal="center"/>
    </xf>
    <xf numFmtId="9" fontId="5" fillId="6" borderId="6" xfId="0" applyNumberFormat="1" applyFont="1" applyFill="1" applyBorder="1" applyAlignment="1">
      <alignment horizontal="center"/>
    </xf>
    <xf numFmtId="17" fontId="5" fillId="6" borderId="6" xfId="0" applyNumberFormat="1" applyFont="1" applyFill="1" applyBorder="1" applyAlignment="1">
      <alignment horizontal="center"/>
    </xf>
    <xf numFmtId="0" fontId="4" fillId="6" borderId="5" xfId="0" applyFont="1" applyFill="1" applyBorder="1"/>
    <xf numFmtId="164" fontId="6" fillId="6" borderId="5" xfId="0" applyNumberFormat="1" applyFont="1" applyFill="1" applyBorder="1" applyAlignment="1">
      <alignment horizontal="right"/>
    </xf>
    <xf numFmtId="164" fontId="4" fillId="6" borderId="5" xfId="0" applyNumberFormat="1" applyFont="1" applyFill="1" applyBorder="1" applyAlignment="1">
      <alignment horizontal="center"/>
    </xf>
    <xf numFmtId="164" fontId="7" fillId="6" borderId="5" xfId="0" applyNumberFormat="1" applyFont="1" applyFill="1" applyBorder="1" applyAlignment="1">
      <alignment horizontal="left"/>
    </xf>
    <xf numFmtId="2" fontId="4" fillId="6" borderId="5" xfId="0" applyNumberFormat="1" applyFont="1" applyFill="1" applyBorder="1" applyAlignment="1">
      <alignment horizontal="center"/>
    </xf>
    <xf numFmtId="9" fontId="4" fillId="6" borderId="5" xfId="0" applyNumberFormat="1" applyFont="1" applyFill="1" applyBorder="1" applyAlignment="1">
      <alignment horizontal="center"/>
    </xf>
    <xf numFmtId="17" fontId="4" fillId="6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0" fillId="0" borderId="7" xfId="0" applyBorder="1"/>
    <xf numFmtId="0" fontId="4" fillId="6" borderId="5" xfId="0" applyFont="1" applyFill="1" applyBorder="1" applyAlignment="1">
      <alignment horizontal="center" vertical="center" wrapText="1"/>
    </xf>
    <xf numFmtId="0" fontId="9" fillId="7" borderId="8" xfId="0" applyFont="1" applyFill="1" applyBorder="1" applyAlignment="1">
      <alignment vertical="center"/>
    </xf>
    <xf numFmtId="0" fontId="9" fillId="7" borderId="9" xfId="0" applyFont="1" applyFill="1" applyBorder="1" applyAlignment="1">
      <alignment vertical="center"/>
    </xf>
    <xf numFmtId="0" fontId="9" fillId="7" borderId="10" xfId="0" applyFont="1" applyFill="1" applyBorder="1" applyAlignment="1">
      <alignment horizontal="center" vertical="center"/>
    </xf>
    <xf numFmtId="0" fontId="9" fillId="7" borderId="11" xfId="0" applyFont="1" applyFill="1" applyBorder="1" applyAlignment="1">
      <alignment horizontal="center" vertical="center"/>
    </xf>
    <xf numFmtId="0" fontId="10" fillId="6" borderId="12" xfId="0" applyFont="1" applyFill="1" applyBorder="1" applyAlignment="1">
      <alignment vertical="center"/>
    </xf>
    <xf numFmtId="0" fontId="10" fillId="6" borderId="1" xfId="0" applyFont="1" applyFill="1" applyBorder="1" applyAlignment="1">
      <alignment horizontal="center" vertical="center"/>
    </xf>
    <xf numFmtId="0" fontId="10" fillId="6" borderId="1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left" vertical="center"/>
    </xf>
    <xf numFmtId="164" fontId="1" fillId="3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/>
    </xf>
    <xf numFmtId="165" fontId="1" fillId="2" borderId="15" xfId="0" applyNumberFormat="1" applyFont="1" applyFill="1" applyBorder="1" applyAlignment="1">
      <alignment horizontal="right" vertical="center" indent="4"/>
    </xf>
    <xf numFmtId="0" fontId="1" fillId="2" borderId="14" xfId="0" applyFont="1" applyFill="1" applyBorder="1" applyAlignment="1">
      <alignment horizontal="left" vertical="center" indent="1"/>
    </xf>
    <xf numFmtId="0" fontId="1" fillId="2" borderId="16" xfId="0" applyFont="1" applyFill="1" applyBorder="1"/>
    <xf numFmtId="164" fontId="1" fillId="2" borderId="17" xfId="0" applyNumberFormat="1" applyFont="1" applyFill="1" applyBorder="1" applyAlignment="1">
      <alignment horizontal="right" indent="4"/>
    </xf>
    <xf numFmtId="0" fontId="2" fillId="2" borderId="14" xfId="0" applyFont="1" applyFill="1" applyBorder="1"/>
    <xf numFmtId="0" fontId="2" fillId="2" borderId="15" xfId="0" applyFont="1" applyFill="1" applyBorder="1"/>
    <xf numFmtId="164" fontId="3" fillId="4" borderId="14" xfId="0" applyNumberFormat="1" applyFont="1" applyFill="1" applyBorder="1" applyAlignment="1">
      <alignment vertical="center"/>
    </xf>
    <xf numFmtId="164" fontId="3" fillId="4" borderId="15" xfId="0" applyNumberFormat="1" applyFont="1" applyFill="1" applyBorder="1" applyAlignment="1">
      <alignment horizontal="right" vertical="center" indent="4"/>
    </xf>
    <xf numFmtId="2" fontId="3" fillId="4" borderId="15" xfId="0" applyNumberFormat="1" applyFont="1" applyFill="1" applyBorder="1" applyAlignment="1">
      <alignment horizontal="right" vertical="center" indent="4"/>
    </xf>
    <xf numFmtId="164" fontId="3" fillId="4" borderId="18" xfId="0" applyNumberFormat="1" applyFont="1" applyFill="1" applyBorder="1" applyAlignment="1">
      <alignment vertical="center"/>
    </xf>
    <xf numFmtId="164" fontId="3" fillId="4" borderId="19" xfId="0" applyNumberFormat="1" applyFont="1" applyFill="1" applyBorder="1" applyAlignment="1">
      <alignment horizontal="right" vertical="center" indent="4"/>
    </xf>
    <xf numFmtId="164" fontId="3" fillId="4" borderId="20" xfId="0" applyNumberFormat="1" applyFont="1" applyFill="1" applyBorder="1" applyAlignment="1">
      <alignment horizontal="right" vertical="center" indent="4"/>
    </xf>
    <xf numFmtId="0" fontId="11" fillId="6" borderId="4" xfId="0" applyFont="1" applyFill="1" applyBorder="1" applyAlignment="1">
      <alignment horizontal="center"/>
    </xf>
    <xf numFmtId="0" fontId="11" fillId="6" borderId="21" xfId="0" applyFont="1" applyFill="1" applyBorder="1" applyAlignment="1">
      <alignment horizontal="center"/>
    </xf>
    <xf numFmtId="0" fontId="11" fillId="6" borderId="22" xfId="0" applyFont="1" applyFill="1" applyBorder="1" applyAlignment="1">
      <alignment horizontal="center"/>
    </xf>
    <xf numFmtId="164" fontId="11" fillId="6" borderId="2" xfId="0" applyNumberFormat="1" applyFont="1" applyFill="1" applyBorder="1" applyAlignment="1">
      <alignment horizontal="center"/>
    </xf>
    <xf numFmtId="164" fontId="11" fillId="6" borderId="23" xfId="0" applyNumberFormat="1" applyFont="1" applyFill="1" applyBorder="1" applyAlignment="1">
      <alignment horizontal="center"/>
    </xf>
    <xf numFmtId="164" fontId="11" fillId="6" borderId="15" xfId="0" applyNumberFormat="1" applyFont="1" applyFill="1" applyBorder="1" applyAlignment="1">
      <alignment horizontal="center"/>
    </xf>
    <xf numFmtId="164" fontId="11" fillId="6" borderId="24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vertical="center"/>
    </xf>
    <xf numFmtId="164" fontId="11" fillId="6" borderId="2" xfId="0" applyNumberFormat="1" applyFont="1" applyFill="1" applyBorder="1" applyAlignment="1">
      <alignment horizontal="center"/>
    </xf>
    <xf numFmtId="0" fontId="0" fillId="0" borderId="4" xfId="0" applyFont="1" applyBorder="1"/>
    <xf numFmtId="2" fontId="11" fillId="6" borderId="2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 vertical="center"/>
    </xf>
    <xf numFmtId="164" fontId="11" fillId="6" borderId="15" xfId="0" applyNumberFormat="1" applyFont="1" applyFill="1" applyBorder="1" applyAlignment="1">
      <alignment horizontal="center"/>
    </xf>
    <xf numFmtId="164" fontId="11" fillId="6" borderId="25" xfId="0" applyNumberFormat="1" applyFont="1" applyFill="1" applyBorder="1" applyAlignment="1">
      <alignment horizontal="center"/>
    </xf>
    <xf numFmtId="164" fontId="11" fillId="6" borderId="26" xfId="0" applyNumberFormat="1" applyFont="1" applyFill="1" applyBorder="1" applyAlignment="1">
      <alignment horizontal="center"/>
    </xf>
    <xf numFmtId="164" fontId="11" fillId="6" borderId="28" xfId="0" applyNumberFormat="1" applyFont="1" applyFill="1" applyBorder="1" applyAlignment="1">
      <alignment horizontal="center"/>
    </xf>
    <xf numFmtId="164" fontId="11" fillId="6" borderId="27" xfId="0" applyNumberFormat="1" applyFont="1" applyFill="1" applyBorder="1" applyAlignment="1">
      <alignment horizontal="center"/>
    </xf>
    <xf numFmtId="0" fontId="12" fillId="5" borderId="8" xfId="0" applyFont="1" applyFill="1" applyBorder="1" applyAlignment="1">
      <alignment vertical="center"/>
    </xf>
    <xf numFmtId="0" fontId="12" fillId="5" borderId="9" xfId="0" applyFont="1" applyFill="1" applyBorder="1" applyAlignment="1">
      <alignment horizontal="center" vertical="center"/>
    </xf>
    <xf numFmtId="0" fontId="0" fillId="0" borderId="9" xfId="0" applyFont="1" applyBorder="1"/>
    <xf numFmtId="0" fontId="12" fillId="5" borderId="9" xfId="0" applyFont="1" applyFill="1" applyBorder="1" applyAlignment="1">
      <alignment horizontal="center" vertical="center" wrapText="1"/>
    </xf>
    <xf numFmtId="0" fontId="0" fillId="0" borderId="29" xfId="0" applyFont="1" applyBorder="1"/>
    <xf numFmtId="0" fontId="11" fillId="6" borderId="14" xfId="0" applyFont="1" applyFill="1" applyBorder="1"/>
    <xf numFmtId="0" fontId="0" fillId="0" borderId="2" xfId="0" applyFont="1" applyBorder="1"/>
    <xf numFmtId="0" fontId="0" fillId="0" borderId="15" xfId="0" applyFont="1" applyBorder="1"/>
    <xf numFmtId="0" fontId="11" fillId="6" borderId="30" xfId="0" applyFont="1" applyFill="1" applyBorder="1"/>
    <xf numFmtId="164" fontId="11" fillId="6" borderId="4" xfId="0" applyNumberFormat="1" applyFont="1" applyFill="1" applyBorder="1" applyAlignment="1">
      <alignment horizontal="center"/>
    </xf>
    <xf numFmtId="0" fontId="0" fillId="0" borderId="22" xfId="0" applyFont="1" applyBorder="1"/>
    <xf numFmtId="0" fontId="12" fillId="5" borderId="14" xfId="0" applyFont="1" applyFill="1" applyBorder="1" applyAlignment="1">
      <alignment vertical="center"/>
    </xf>
    <xf numFmtId="0" fontId="12" fillId="5" borderId="15" xfId="0" applyFont="1" applyFill="1" applyBorder="1" applyAlignment="1">
      <alignment horizontal="center" vertical="center"/>
    </xf>
    <xf numFmtId="0" fontId="13" fillId="6" borderId="30" xfId="0" applyFont="1" applyFill="1" applyBorder="1"/>
    <xf numFmtId="0" fontId="11" fillId="6" borderId="14" xfId="0" applyFont="1" applyFill="1" applyBorder="1" applyAlignment="1">
      <alignment horizontal="left" indent="1"/>
    </xf>
    <xf numFmtId="0" fontId="11" fillId="6" borderId="31" xfId="0" applyFont="1" applyFill="1" applyBorder="1" applyAlignment="1">
      <alignment horizontal="left" indent="1"/>
    </xf>
  </cellXfs>
  <cellStyles count="1">
    <cellStyle name="Normal" xfId="0" builtinId="0"/>
  </cellStyles>
  <dxfs count="4">
    <dxf>
      <font>
        <color rgb="FF006100"/>
      </font>
    </dxf>
    <dxf>
      <font>
        <color rgb="FF9C0006"/>
      </font>
    </dxf>
    <dxf>
      <font>
        <color rgb="FF006100"/>
      </font>
    </dxf>
    <dxf>
      <font>
        <color rgb="FF9C0006"/>
      </font>
    </dxf>
  </dxfs>
  <tableStyles count="0" defaultTableStyle="TableStyleMedium9" defaultPivotStyle="PivotStyleLight16"/>
  <colors>
    <mruColors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12-FC4A-ACE6-666C5C6E9735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12-FC4A-ACE6-666C5C6E9735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12-FC4A-ACE6-666C5C6E9735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12-FC4A-ACE6-666C5C6E97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89.456903357182568</c:v>
                </c:pt>
                <c:pt idx="2">
                  <c:v>89.980738266643627</c:v>
                </c:pt>
                <c:pt idx="3">
                  <c:v>90.8898661257616</c:v>
                </c:pt>
                <c:pt idx="4">
                  <c:v>90.42786853539711</c:v>
                </c:pt>
                <c:pt idx="5">
                  <c:v>91.369198231432648</c:v>
                </c:pt>
                <c:pt idx="6">
                  <c:v>92.173075244339728</c:v>
                </c:pt>
                <c:pt idx="7">
                  <c:v>91.064145706205579</c:v>
                </c:pt>
                <c:pt idx="8">
                  <c:v>92.498179650755802</c:v>
                </c:pt>
                <c:pt idx="9">
                  <c:v>91.512380784642389</c:v>
                </c:pt>
                <c:pt idx="10">
                  <c:v>92.934747749398539</c:v>
                </c:pt>
                <c:pt idx="11">
                  <c:v>93.814016252111855</c:v>
                </c:pt>
                <c:pt idx="12">
                  <c:v>95.92752207205757</c:v>
                </c:pt>
                <c:pt idx="13">
                  <c:v>97.112830179337351</c:v>
                </c:pt>
                <c:pt idx="14">
                  <c:v>98.468382394765342</c:v>
                </c:pt>
                <c:pt idx="15">
                  <c:v>99.308266105457449</c:v>
                </c:pt>
                <c:pt idx="16">
                  <c:v>100.8967731299779</c:v>
                </c:pt>
                <c:pt idx="17">
                  <c:v>103.00293094916751</c:v>
                </c:pt>
                <c:pt idx="18">
                  <c:v>105.1794933587548</c:v>
                </c:pt>
                <c:pt idx="19">
                  <c:v>107.9186017702071</c:v>
                </c:pt>
                <c:pt idx="20">
                  <c:v>110.67117834453801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96-D84E-B980-5A96BB6113A5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97.025265613165288</c:v>
                </c:pt>
                <c:pt idx="2">
                  <c:v>99.192368947115298</c:v>
                </c:pt>
                <c:pt idx="3">
                  <c:v>102.4088840698504</c:v>
                </c:pt>
                <c:pt idx="4">
                  <c:v>105.398121567084</c:v>
                </c:pt>
                <c:pt idx="5">
                  <c:v>109.1866393454906</c:v>
                </c:pt>
                <c:pt idx="6">
                  <c:v>113.09197920309791</c:v>
                </c:pt>
                <c:pt idx="7">
                  <c:v>116.0626830575069</c:v>
                </c:pt>
                <c:pt idx="8">
                  <c:v>119.33159211006409</c:v>
                </c:pt>
                <c:pt idx="9">
                  <c:v>122.4295446271361</c:v>
                </c:pt>
                <c:pt idx="10">
                  <c:v>126.25256184610031</c:v>
                </c:pt>
                <c:pt idx="11">
                  <c:v>129.33699057122999</c:v>
                </c:pt>
                <c:pt idx="12">
                  <c:v>133.53381482939361</c:v>
                </c:pt>
                <c:pt idx="13">
                  <c:v>137.38246120196499</c:v>
                </c:pt>
                <c:pt idx="14">
                  <c:v>142.37204958074079</c:v>
                </c:pt>
                <c:pt idx="15">
                  <c:v>146.59654335179761</c:v>
                </c:pt>
                <c:pt idx="16">
                  <c:v>151.4291687475654</c:v>
                </c:pt>
                <c:pt idx="17">
                  <c:v>156.48495492891101</c:v>
                </c:pt>
                <c:pt idx="18">
                  <c:v>161.88677722153639</c:v>
                </c:pt>
                <c:pt idx="19">
                  <c:v>167.6515969034825</c:v>
                </c:pt>
                <c:pt idx="20">
                  <c:v>173.23977525078459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96-D84E-B980-5A96BB6113A5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106.3967716051538</c:v>
                </c:pt>
                <c:pt idx="2">
                  <c:v>111.90510917957231</c:v>
                </c:pt>
                <c:pt idx="3">
                  <c:v>117.8612498854892</c:v>
                </c:pt>
                <c:pt idx="4">
                  <c:v>124.98892317916609</c:v>
                </c:pt>
                <c:pt idx="5">
                  <c:v>132.898534851976</c:v>
                </c:pt>
                <c:pt idx="6">
                  <c:v>140.7688812629919</c:v>
                </c:pt>
                <c:pt idx="7">
                  <c:v>149.36102878932289</c:v>
                </c:pt>
                <c:pt idx="8">
                  <c:v>158.2136613573862</c:v>
                </c:pt>
                <c:pt idx="9">
                  <c:v>166.8426238446261</c:v>
                </c:pt>
                <c:pt idx="10">
                  <c:v>175.8287661816199</c:v>
                </c:pt>
                <c:pt idx="11">
                  <c:v>185.18393079225339</c:v>
                </c:pt>
                <c:pt idx="12">
                  <c:v>194.80417584260289</c:v>
                </c:pt>
                <c:pt idx="13">
                  <c:v>204.20383875683149</c:v>
                </c:pt>
                <c:pt idx="14">
                  <c:v>215.6296724950476</c:v>
                </c:pt>
                <c:pt idx="15">
                  <c:v>226.1906998647797</c:v>
                </c:pt>
                <c:pt idx="16">
                  <c:v>237.695043221585</c:v>
                </c:pt>
                <c:pt idx="17">
                  <c:v>249.60345768630489</c:v>
                </c:pt>
                <c:pt idx="18">
                  <c:v>263.31841545216491</c:v>
                </c:pt>
                <c:pt idx="19">
                  <c:v>277.03201954530692</c:v>
                </c:pt>
                <c:pt idx="20">
                  <c:v>290.67048422949279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96-D84E-B980-5A96BB6113A5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115.1468750861214</c:v>
                </c:pt>
                <c:pt idx="2">
                  <c:v>125.37894161320349</c:v>
                </c:pt>
                <c:pt idx="3">
                  <c:v>134.9170317398123</c:v>
                </c:pt>
                <c:pt idx="4">
                  <c:v>147.082820183048</c:v>
                </c:pt>
                <c:pt idx="5">
                  <c:v>159.97581582226579</c:v>
                </c:pt>
                <c:pt idx="6">
                  <c:v>172.9234416891949</c:v>
                </c:pt>
                <c:pt idx="7">
                  <c:v>187.42408538105241</c:v>
                </c:pt>
                <c:pt idx="8">
                  <c:v>202.8969653662061</c:v>
                </c:pt>
                <c:pt idx="9">
                  <c:v>219.07229317005891</c:v>
                </c:pt>
                <c:pt idx="10">
                  <c:v>235.5684906843498</c:v>
                </c:pt>
                <c:pt idx="11">
                  <c:v>253.54931883777991</c:v>
                </c:pt>
                <c:pt idx="12">
                  <c:v>273.48578434558391</c:v>
                </c:pt>
                <c:pt idx="13">
                  <c:v>293.87272469413108</c:v>
                </c:pt>
                <c:pt idx="14">
                  <c:v>314.9033622075309</c:v>
                </c:pt>
                <c:pt idx="15">
                  <c:v>338.17804620613862</c:v>
                </c:pt>
                <c:pt idx="16">
                  <c:v>362.59622389555551</c:v>
                </c:pt>
                <c:pt idx="17">
                  <c:v>390.14871332644481</c:v>
                </c:pt>
                <c:pt idx="18">
                  <c:v>418.65926805038453</c:v>
                </c:pt>
                <c:pt idx="19">
                  <c:v>445.76435801146158</c:v>
                </c:pt>
                <c:pt idx="20">
                  <c:v>475.19458292480039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96-D84E-B980-5A96BB6113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86.70380523586735</c:v>
                </c:pt>
                <c:pt idx="2">
                  <c:v>85.100894859473641</c:v>
                </c:pt>
                <c:pt idx="3">
                  <c:v>84.218811499977932</c:v>
                </c:pt>
                <c:pt idx="4">
                  <c:v>82.13829188916705</c:v>
                </c:pt>
                <c:pt idx="5">
                  <c:v>81.549877876853301</c:v>
                </c:pt>
                <c:pt idx="6">
                  <c:v>80.40280160608043</c:v>
                </c:pt>
                <c:pt idx="7">
                  <c:v>78.25787929641443</c:v>
                </c:pt>
                <c:pt idx="8">
                  <c:v>77.685825880984837</c:v>
                </c:pt>
                <c:pt idx="9">
                  <c:v>76.198094733240652</c:v>
                </c:pt>
                <c:pt idx="10">
                  <c:v>75.423080243046371</c:v>
                </c:pt>
                <c:pt idx="11">
                  <c:v>75.678130435135131</c:v>
                </c:pt>
                <c:pt idx="12">
                  <c:v>75.064350566601632</c:v>
                </c:pt>
                <c:pt idx="13">
                  <c:v>74.024301538455532</c:v>
                </c:pt>
                <c:pt idx="14">
                  <c:v>74.633923165407225</c:v>
                </c:pt>
                <c:pt idx="15">
                  <c:v>74.182997099231969</c:v>
                </c:pt>
                <c:pt idx="16">
                  <c:v>73.312668878138098</c:v>
                </c:pt>
                <c:pt idx="17">
                  <c:v>73.94485093469126</c:v>
                </c:pt>
                <c:pt idx="18">
                  <c:v>74.576581864937339</c:v>
                </c:pt>
                <c:pt idx="19">
                  <c:v>74.864305403667643</c:v>
                </c:pt>
                <c:pt idx="20">
                  <c:v>75.081858895213188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AA-594D-9F43-2F44C2020263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94.656688850760474</c:v>
                </c:pt>
                <c:pt idx="2">
                  <c:v>94.400289959351397</c:v>
                </c:pt>
                <c:pt idx="3">
                  <c:v>95.332301272175343</c:v>
                </c:pt>
                <c:pt idx="4">
                  <c:v>96.009494279172088</c:v>
                </c:pt>
                <c:pt idx="5">
                  <c:v>97.32633481900659</c:v>
                </c:pt>
                <c:pt idx="6">
                  <c:v>98.598670542218926</c:v>
                </c:pt>
                <c:pt idx="7">
                  <c:v>99.337505925042677</c:v>
                </c:pt>
                <c:pt idx="8">
                  <c:v>100.2398836893494</c:v>
                </c:pt>
                <c:pt idx="9">
                  <c:v>100.9225431869304</c:v>
                </c:pt>
                <c:pt idx="10">
                  <c:v>101.92611202814849</c:v>
                </c:pt>
                <c:pt idx="11">
                  <c:v>102.6938700582825</c:v>
                </c:pt>
                <c:pt idx="12">
                  <c:v>103.8231447508433</c:v>
                </c:pt>
                <c:pt idx="13">
                  <c:v>104.99812825737681</c:v>
                </c:pt>
                <c:pt idx="14">
                  <c:v>106.68681910779129</c:v>
                </c:pt>
                <c:pt idx="15">
                  <c:v>108.1823758828707</c:v>
                </c:pt>
                <c:pt idx="16">
                  <c:v>109.6351805549494</c:v>
                </c:pt>
                <c:pt idx="17">
                  <c:v>110.85121285783841</c:v>
                </c:pt>
                <c:pt idx="18">
                  <c:v>112.4313657577416</c:v>
                </c:pt>
                <c:pt idx="19">
                  <c:v>113.57045695861591</c:v>
                </c:pt>
                <c:pt idx="20">
                  <c:v>115.6684166229964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AA-594D-9F43-2F44C2020263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104.0428106961856</c:v>
                </c:pt>
                <c:pt idx="2">
                  <c:v>106.9281453903247</c:v>
                </c:pt>
                <c:pt idx="3">
                  <c:v>110.172532673408</c:v>
                </c:pt>
                <c:pt idx="4">
                  <c:v>114.3523511006908</c:v>
                </c:pt>
                <c:pt idx="5">
                  <c:v>118.94104161299239</c:v>
                </c:pt>
                <c:pt idx="6">
                  <c:v>123.44725259105221</c:v>
                </c:pt>
                <c:pt idx="7">
                  <c:v>128.2246174574569</c:v>
                </c:pt>
                <c:pt idx="8">
                  <c:v>133.08611384272001</c:v>
                </c:pt>
                <c:pt idx="9">
                  <c:v>137.65238528149089</c:v>
                </c:pt>
                <c:pt idx="10">
                  <c:v>141.9303377299826</c:v>
                </c:pt>
                <c:pt idx="11">
                  <c:v>146.89472652466119</c:v>
                </c:pt>
                <c:pt idx="12">
                  <c:v>151.2647476460927</c:v>
                </c:pt>
                <c:pt idx="13">
                  <c:v>156.01683448409241</c:v>
                </c:pt>
                <c:pt idx="14">
                  <c:v>161.2031090108153</c:v>
                </c:pt>
                <c:pt idx="15">
                  <c:v>165.70740200275449</c:v>
                </c:pt>
                <c:pt idx="16">
                  <c:v>170.96418675985419</c:v>
                </c:pt>
                <c:pt idx="17">
                  <c:v>176.09562331023659</c:v>
                </c:pt>
                <c:pt idx="18">
                  <c:v>181.90767396690319</c:v>
                </c:pt>
                <c:pt idx="19">
                  <c:v>187.911553553403</c:v>
                </c:pt>
                <c:pt idx="20">
                  <c:v>193.38003253472721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AA-594D-9F43-2F44C2020263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112.7577902260052</c:v>
                </c:pt>
                <c:pt idx="2">
                  <c:v>120.0687988303105</c:v>
                </c:pt>
                <c:pt idx="3">
                  <c:v>126.4571433231085</c:v>
                </c:pt>
                <c:pt idx="4">
                  <c:v>134.9815228122057</c:v>
                </c:pt>
                <c:pt idx="5">
                  <c:v>143.81494842674709</c:v>
                </c:pt>
                <c:pt idx="6">
                  <c:v>152.12768802624149</c:v>
                </c:pt>
                <c:pt idx="7">
                  <c:v>161.49801238406221</c:v>
                </c:pt>
                <c:pt idx="8">
                  <c:v>171.48035918072711</c:v>
                </c:pt>
                <c:pt idx="9">
                  <c:v>181.19234999553399</c:v>
                </c:pt>
                <c:pt idx="10">
                  <c:v>191.00776799537371</c:v>
                </c:pt>
                <c:pt idx="11">
                  <c:v>201.21541603913079</c:v>
                </c:pt>
                <c:pt idx="12">
                  <c:v>212.8758606443985</c:v>
                </c:pt>
                <c:pt idx="13">
                  <c:v>223.60113739748229</c:v>
                </c:pt>
                <c:pt idx="14">
                  <c:v>235.23014222444101</c:v>
                </c:pt>
                <c:pt idx="15">
                  <c:v>247.3015784953663</c:v>
                </c:pt>
                <c:pt idx="16">
                  <c:v>259.80425289121058</c:v>
                </c:pt>
                <c:pt idx="17">
                  <c:v>272.99269968346641</c:v>
                </c:pt>
                <c:pt idx="18">
                  <c:v>287.57515692195602</c:v>
                </c:pt>
                <c:pt idx="19">
                  <c:v>299.87145958742929</c:v>
                </c:pt>
                <c:pt idx="20">
                  <c:v>313.2132588407361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AA-594D-9F43-2F44C20202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35E-BB4B-A690-FD1BF14E64F3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35E-BB4B-A690-FD1BF14E64F3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35E-BB4B-A690-FD1BF14E64F3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35E-BB4B-A690-FD1BF14E64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9D6-4D45-8E3E-03346231CB27}"/>
            </c:ext>
          </c:extLst>
        </c:ser>
        <c:ser>
          <c:idx val="1"/>
          <c:order val="1"/>
          <c:tx>
            <c:strRef>
              <c:f>ws_Volatility_Matched!$K$2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9D6-4D45-8E3E-03346231CB27}"/>
            </c:ext>
          </c:extLst>
        </c:ser>
        <c:ser>
          <c:idx val="2"/>
          <c:order val="2"/>
          <c:tx>
            <c:strRef>
              <c:f>ws_Volatility_Matched!$L$2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9D6-4D45-8E3E-03346231CB27}"/>
            </c:ext>
          </c:extLst>
        </c:ser>
        <c:ser>
          <c:idx val="3"/>
          <c:order val="3"/>
          <c:tx>
            <c:strRef>
              <c:f>ws_Volatility_Matched!$M$2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9D6-4D45-8E3E-03346231CB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89.446560433306118</c:v>
                </c:pt>
                <c:pt idx="2">
                  <c:v>91.985033550386575</c:v>
                </c:pt>
                <c:pt idx="3">
                  <c:v>94.708050875976056</c:v>
                </c:pt>
                <c:pt idx="4">
                  <c:v>96.13809859503715</c:v>
                </c:pt>
                <c:pt idx="5">
                  <c:v>99.274995222119742</c:v>
                </c:pt>
                <c:pt idx="6">
                  <c:v>102.04907931623291</c:v>
                </c:pt>
                <c:pt idx="7">
                  <c:v>102.2015107283851</c:v>
                </c:pt>
                <c:pt idx="8">
                  <c:v>104.34468019387749</c:v>
                </c:pt>
                <c:pt idx="9">
                  <c:v>105.00371544340869</c:v>
                </c:pt>
                <c:pt idx="10">
                  <c:v>107.7766126622341</c:v>
                </c:pt>
                <c:pt idx="11">
                  <c:v>110.1244437782657</c:v>
                </c:pt>
                <c:pt idx="12">
                  <c:v>113.5482175087263</c:v>
                </c:pt>
                <c:pt idx="13">
                  <c:v>116.40225318058</c:v>
                </c:pt>
                <c:pt idx="14">
                  <c:v>119.3651124863491</c:v>
                </c:pt>
                <c:pt idx="15">
                  <c:v>122.8719035681774</c:v>
                </c:pt>
                <c:pt idx="16">
                  <c:v>125.47627140873951</c:v>
                </c:pt>
                <c:pt idx="17">
                  <c:v>130.80421838189241</c:v>
                </c:pt>
                <c:pt idx="18">
                  <c:v>136.1086813374103</c:v>
                </c:pt>
                <c:pt idx="19">
                  <c:v>141.4834482767682</c:v>
                </c:pt>
                <c:pt idx="20">
                  <c:v>145.49740433556741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A3-D14E-9CE7-8054CEC935EA}"/>
            </c:ext>
          </c:extLst>
        </c:ser>
        <c:ser>
          <c:idx val="1"/>
          <c:order val="1"/>
          <c:tx>
            <c:strRef>
              <c:f>ws_Volatility_Matched!$C$2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98.858175026421335</c:v>
                </c:pt>
                <c:pt idx="2">
                  <c:v>102.58062169853351</c:v>
                </c:pt>
                <c:pt idx="3">
                  <c:v>108.14586110724041</c:v>
                </c:pt>
                <c:pt idx="4">
                  <c:v>112.819240549293</c:v>
                </c:pt>
                <c:pt idx="5">
                  <c:v>118.7562051613415</c:v>
                </c:pt>
                <c:pt idx="6">
                  <c:v>125.1214650642746</c:v>
                </c:pt>
                <c:pt idx="7">
                  <c:v>130.05536831993311</c:v>
                </c:pt>
                <c:pt idx="8">
                  <c:v>135.34179960997849</c:v>
                </c:pt>
                <c:pt idx="9">
                  <c:v>140.2732769153462</c:v>
                </c:pt>
                <c:pt idx="10">
                  <c:v>146.2720273108209</c:v>
                </c:pt>
                <c:pt idx="11">
                  <c:v>152.6268327342645</c:v>
                </c:pt>
                <c:pt idx="12">
                  <c:v>158.99956843788661</c:v>
                </c:pt>
                <c:pt idx="13">
                  <c:v>165.53237988743919</c:v>
                </c:pt>
                <c:pt idx="14">
                  <c:v>173.13971182530111</c:v>
                </c:pt>
                <c:pt idx="15">
                  <c:v>180.54816034496119</c:v>
                </c:pt>
                <c:pt idx="16">
                  <c:v>188.42441134122899</c:v>
                </c:pt>
                <c:pt idx="17">
                  <c:v>197.07251332540861</c:v>
                </c:pt>
                <c:pt idx="18">
                  <c:v>205.66061205582139</c:v>
                </c:pt>
                <c:pt idx="19">
                  <c:v>214.62147020633691</c:v>
                </c:pt>
                <c:pt idx="20">
                  <c:v>224.8128402379343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A3-D14E-9CE7-8054CEC935EA}"/>
            </c:ext>
          </c:extLst>
        </c:ser>
        <c:ser>
          <c:idx val="2"/>
          <c:order val="2"/>
          <c:tx>
            <c:strRef>
              <c:f>ws_Volatility_Matched!$D$2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108.48365176377</c:v>
                </c:pt>
                <c:pt idx="2">
                  <c:v>116.741268996798</c:v>
                </c:pt>
                <c:pt idx="3">
                  <c:v>125.15531171836059</c:v>
                </c:pt>
                <c:pt idx="4">
                  <c:v>134.66200611352519</c:v>
                </c:pt>
                <c:pt idx="5">
                  <c:v>145.3465814306374</c:v>
                </c:pt>
                <c:pt idx="6">
                  <c:v>156.21164596289159</c:v>
                </c:pt>
                <c:pt idx="7">
                  <c:v>167.30604758594791</c:v>
                </c:pt>
                <c:pt idx="8">
                  <c:v>178.94989036721341</c:v>
                </c:pt>
                <c:pt idx="9">
                  <c:v>190.6360913756063</c:v>
                </c:pt>
                <c:pt idx="10">
                  <c:v>203.03647193071541</c:v>
                </c:pt>
                <c:pt idx="11">
                  <c:v>216.03297469322641</c:v>
                </c:pt>
                <c:pt idx="12">
                  <c:v>229.2267327633283</c:v>
                </c:pt>
                <c:pt idx="13">
                  <c:v>243.62794512377309</c:v>
                </c:pt>
                <c:pt idx="14">
                  <c:v>259.1391798813296</c:v>
                </c:pt>
                <c:pt idx="15">
                  <c:v>275.20599003812549</c:v>
                </c:pt>
                <c:pt idx="16">
                  <c:v>292.09681363946908</c:v>
                </c:pt>
                <c:pt idx="17">
                  <c:v>310.02659663084489</c:v>
                </c:pt>
                <c:pt idx="18">
                  <c:v>330.14531950277558</c:v>
                </c:pt>
                <c:pt idx="19">
                  <c:v>350.97323890564792</c:v>
                </c:pt>
                <c:pt idx="20">
                  <c:v>373.66774769142347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2A3-D14E-9CE7-8054CEC935EA}"/>
            </c:ext>
          </c:extLst>
        </c:ser>
        <c:ser>
          <c:idx val="3"/>
          <c:order val="3"/>
          <c:tx>
            <c:strRef>
              <c:f>ws_Volatility_Matched!$E$2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117.8356037813021</c:v>
                </c:pt>
                <c:pt idx="2">
                  <c:v>130.3741768702406</c:v>
                </c:pt>
                <c:pt idx="3">
                  <c:v>143.18542371900031</c:v>
                </c:pt>
                <c:pt idx="4">
                  <c:v>158.31421517115641</c:v>
                </c:pt>
                <c:pt idx="5">
                  <c:v>174.8362234168813</c:v>
                </c:pt>
                <c:pt idx="6">
                  <c:v>191.49952664401289</c:v>
                </c:pt>
                <c:pt idx="7">
                  <c:v>209.97519192327479</c:v>
                </c:pt>
                <c:pt idx="8">
                  <c:v>229.65758566962799</c:v>
                </c:pt>
                <c:pt idx="9">
                  <c:v>250.50891005114761</c:v>
                </c:pt>
                <c:pt idx="10">
                  <c:v>272.55817518201161</c:v>
                </c:pt>
                <c:pt idx="11">
                  <c:v>295.78322878211281</c:v>
                </c:pt>
                <c:pt idx="12">
                  <c:v>322.25684371006548</c:v>
                </c:pt>
                <c:pt idx="13">
                  <c:v>347.85396132402241</c:v>
                </c:pt>
                <c:pt idx="14">
                  <c:v>378.22431759716</c:v>
                </c:pt>
                <c:pt idx="15">
                  <c:v>410.14700054880598</c:v>
                </c:pt>
                <c:pt idx="16">
                  <c:v>444.28572890116311</c:v>
                </c:pt>
                <c:pt idx="17">
                  <c:v>480.15148175674142</c:v>
                </c:pt>
                <c:pt idx="18">
                  <c:v>518.83828705523467</c:v>
                </c:pt>
                <c:pt idx="19">
                  <c:v>559.71321391758181</c:v>
                </c:pt>
                <c:pt idx="20">
                  <c:v>603.63565748309179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2A3-D14E-9CE7-8054CEC935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86.462851019670865</c:v>
                </c:pt>
                <c:pt idx="2">
                  <c:v>86.749517589110752</c:v>
                </c:pt>
                <c:pt idx="3">
                  <c:v>87.317404582042926</c:v>
                </c:pt>
                <c:pt idx="4">
                  <c:v>86.953393469421343</c:v>
                </c:pt>
                <c:pt idx="5">
                  <c:v>87.67985405110484</c:v>
                </c:pt>
                <c:pt idx="6">
                  <c:v>88.638802866553561</c:v>
                </c:pt>
                <c:pt idx="7">
                  <c:v>87.406930938506704</c:v>
                </c:pt>
                <c:pt idx="8">
                  <c:v>87.427485326462914</c:v>
                </c:pt>
                <c:pt idx="9">
                  <c:v>86.943496965912658</c:v>
                </c:pt>
                <c:pt idx="10">
                  <c:v>86.923584673752345</c:v>
                </c:pt>
                <c:pt idx="11">
                  <c:v>87.372800531113228</c:v>
                </c:pt>
                <c:pt idx="12">
                  <c:v>88.414018101650768</c:v>
                </c:pt>
                <c:pt idx="13">
                  <c:v>88.947434760689362</c:v>
                </c:pt>
                <c:pt idx="14">
                  <c:v>89.997895930526582</c:v>
                </c:pt>
                <c:pt idx="15">
                  <c:v>90.685189558918253</c:v>
                </c:pt>
                <c:pt idx="16">
                  <c:v>91.069022716297553</c:v>
                </c:pt>
                <c:pt idx="17">
                  <c:v>93.375906382456208</c:v>
                </c:pt>
                <c:pt idx="18">
                  <c:v>94.585901563012229</c:v>
                </c:pt>
                <c:pt idx="19">
                  <c:v>97.03414926575698</c:v>
                </c:pt>
                <c:pt idx="20">
                  <c:v>98.279846491800896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98-594D-BF40-794323D68DD5}"/>
            </c:ext>
          </c:extLst>
        </c:ser>
        <c:ser>
          <c:idx val="1"/>
          <c:order val="1"/>
          <c:tx>
            <c:strRef>
              <c:f>ws_Volatility_Matched!$G$2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96.379696345544232</c:v>
                </c:pt>
                <c:pt idx="2">
                  <c:v>97.463528734861796</c:v>
                </c:pt>
                <c:pt idx="3">
                  <c:v>100.4370036894929</c:v>
                </c:pt>
                <c:pt idx="4">
                  <c:v>102.37128783873359</c:v>
                </c:pt>
                <c:pt idx="5">
                  <c:v>105.5654319052789</c:v>
                </c:pt>
                <c:pt idx="6">
                  <c:v>108.6897131606401</c:v>
                </c:pt>
                <c:pt idx="7">
                  <c:v>110.9007647660333</c:v>
                </c:pt>
                <c:pt idx="8">
                  <c:v>113.2384801105795</c:v>
                </c:pt>
                <c:pt idx="9">
                  <c:v>114.9645900168229</c:v>
                </c:pt>
                <c:pt idx="10">
                  <c:v>117.9484156572494</c:v>
                </c:pt>
                <c:pt idx="11">
                  <c:v>120.4161980577114</c:v>
                </c:pt>
                <c:pt idx="12">
                  <c:v>122.9996968837776</c:v>
                </c:pt>
                <c:pt idx="13">
                  <c:v>125.671198115306</c:v>
                </c:pt>
                <c:pt idx="14">
                  <c:v>128.97960781396111</c:v>
                </c:pt>
                <c:pt idx="15">
                  <c:v>131.88616317528229</c:v>
                </c:pt>
                <c:pt idx="16">
                  <c:v>135.1688043470873</c:v>
                </c:pt>
                <c:pt idx="17">
                  <c:v>138.31608088057979</c:v>
                </c:pt>
                <c:pt idx="18">
                  <c:v>141.5240231960955</c:v>
                </c:pt>
                <c:pt idx="19">
                  <c:v>145.01906660579249</c:v>
                </c:pt>
                <c:pt idx="20">
                  <c:v>149.01081121998629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98-594D-BF40-794323D68DD5}"/>
            </c:ext>
          </c:extLst>
        </c:ser>
        <c:ser>
          <c:idx val="2"/>
          <c:order val="2"/>
          <c:tx>
            <c:strRef>
              <c:f>ws_Volatility_Matched!$H$2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106.1321206961444</c:v>
                </c:pt>
                <c:pt idx="2">
                  <c:v>111.55131000440871</c:v>
                </c:pt>
                <c:pt idx="3">
                  <c:v>117.0043663893933</c:v>
                </c:pt>
                <c:pt idx="4">
                  <c:v>123.3497754742065</c:v>
                </c:pt>
                <c:pt idx="5">
                  <c:v>130.06268836939299</c:v>
                </c:pt>
                <c:pt idx="6">
                  <c:v>136.9614051112639</c:v>
                </c:pt>
                <c:pt idx="7">
                  <c:v>143.6469756673921</c:v>
                </c:pt>
                <c:pt idx="8">
                  <c:v>150.66486381779549</c:v>
                </c:pt>
                <c:pt idx="9">
                  <c:v>157.06760210266239</c:v>
                </c:pt>
                <c:pt idx="10">
                  <c:v>163.9129648619307</c:v>
                </c:pt>
                <c:pt idx="11">
                  <c:v>170.97199168793429</c:v>
                </c:pt>
                <c:pt idx="12">
                  <c:v>178.0986815006778</c:v>
                </c:pt>
                <c:pt idx="13">
                  <c:v>185.7978931291162</c:v>
                </c:pt>
                <c:pt idx="14">
                  <c:v>193.68762746404539</c:v>
                </c:pt>
                <c:pt idx="15">
                  <c:v>201.34586350369429</c:v>
                </c:pt>
                <c:pt idx="16">
                  <c:v>210.25393280885851</c:v>
                </c:pt>
                <c:pt idx="17">
                  <c:v>218.7703297665808</c:v>
                </c:pt>
                <c:pt idx="18">
                  <c:v>228.5537705621492</c:v>
                </c:pt>
                <c:pt idx="19">
                  <c:v>238.69794325154811</c:v>
                </c:pt>
                <c:pt idx="20">
                  <c:v>248.85259191909631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98-594D-BF40-794323D68DD5}"/>
            </c:ext>
          </c:extLst>
        </c:ser>
        <c:ser>
          <c:idx val="3"/>
          <c:order val="3"/>
          <c:tx>
            <c:strRef>
              <c:f>ws_Volatility_Matched!$I$2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115.57243768367699</c:v>
                </c:pt>
                <c:pt idx="2">
                  <c:v>125.097428900534</c:v>
                </c:pt>
                <c:pt idx="3">
                  <c:v>134.4807084785335</c:v>
                </c:pt>
                <c:pt idx="4">
                  <c:v>145.79844719015611</c:v>
                </c:pt>
                <c:pt idx="5">
                  <c:v>157.5592946179367</c:v>
                </c:pt>
                <c:pt idx="6">
                  <c:v>169.07401405165299</c:v>
                </c:pt>
                <c:pt idx="7">
                  <c:v>181.50179595183721</c:v>
                </c:pt>
                <c:pt idx="8">
                  <c:v>194.51833363699271</c:v>
                </c:pt>
                <c:pt idx="9">
                  <c:v>208.7626980137529</c:v>
                </c:pt>
                <c:pt idx="10">
                  <c:v>222.26538177933159</c:v>
                </c:pt>
                <c:pt idx="11">
                  <c:v>236.00644492616229</c:v>
                </c:pt>
                <c:pt idx="12">
                  <c:v>251.90173153071501</c:v>
                </c:pt>
                <c:pt idx="13">
                  <c:v>267.13298105093111</c:v>
                </c:pt>
                <c:pt idx="14">
                  <c:v>283.86514381852749</c:v>
                </c:pt>
                <c:pt idx="15">
                  <c:v>302.08827364893688</c:v>
                </c:pt>
                <c:pt idx="16">
                  <c:v>319.86295737695212</c:v>
                </c:pt>
                <c:pt idx="17">
                  <c:v>339.52214303507571</c:v>
                </c:pt>
                <c:pt idx="18">
                  <c:v>358.84000000154418</c:v>
                </c:pt>
                <c:pt idx="19">
                  <c:v>378.97772774903387</c:v>
                </c:pt>
                <c:pt idx="20">
                  <c:v>400.07936915436238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98-594D-BF40-794323D68D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A7-3846-A434-71F04C9B849D}"/>
            </c:ext>
          </c:extLst>
        </c:ser>
        <c:ser>
          <c:idx val="1"/>
          <c:order val="1"/>
          <c:tx>
            <c:strRef>
              <c:f>ws_Volatility_Matched!$O$2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A7-3846-A434-71F04C9B849D}"/>
            </c:ext>
          </c:extLst>
        </c:ser>
        <c:ser>
          <c:idx val="2"/>
          <c:order val="2"/>
          <c:tx>
            <c:strRef>
              <c:f>ws_Volatility_Matched!$P$2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FA7-3846-A434-71F04C9B849D}"/>
            </c:ext>
          </c:extLst>
        </c:ser>
        <c:ser>
          <c:idx val="3"/>
          <c:order val="3"/>
          <c:tx>
            <c:strRef>
              <c:f>ws_Volatility_Matched!$Q$2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FA7-3846-A434-71F04C9B84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'ws_Volatility_Matched_(No_Priva'!$J$2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8-0442-B2F0-9EA02394A275}"/>
            </c:ext>
          </c:extLst>
        </c:ser>
        <c:ser>
          <c:idx val="1"/>
          <c:order val="1"/>
          <c:tx>
            <c:strRef>
              <c:f>'ws_Volatility_Matched_(No_Priva'!$K$2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8-0442-B2F0-9EA02394A275}"/>
            </c:ext>
          </c:extLst>
        </c:ser>
        <c:ser>
          <c:idx val="2"/>
          <c:order val="2"/>
          <c:tx>
            <c:strRef>
              <c:f>'ws_Volatility_Matched_(No_Priva'!$L$2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E8-0442-B2F0-9EA02394A275}"/>
            </c:ext>
          </c:extLst>
        </c:ser>
        <c:ser>
          <c:idx val="3"/>
          <c:order val="3"/>
          <c:tx>
            <c:strRef>
              <c:f>'ws_Volatility_Matched_(No_Priva'!$M$2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E8-0442-B2F0-9EA02394A2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'ws_Volatility_Matched_(No_Priva'!$B$2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'ws_Volatility_Matched_(No_Priva'!$B$3:$B$23</c:f>
              <c:numCache>
                <c:formatCode>General</c:formatCode>
                <c:ptCount val="21"/>
                <c:pt idx="0">
                  <c:v>100</c:v>
                </c:pt>
                <c:pt idx="1">
                  <c:v>88.78870287021401</c:v>
                </c:pt>
                <c:pt idx="2">
                  <c:v>90.980495654495485</c:v>
                </c:pt>
                <c:pt idx="3">
                  <c:v>92.629258798450564</c:v>
                </c:pt>
                <c:pt idx="4">
                  <c:v>93.598860530473843</c:v>
                </c:pt>
                <c:pt idx="5">
                  <c:v>95.68006208892497</c:v>
                </c:pt>
                <c:pt idx="6">
                  <c:v>97.957408754182183</c:v>
                </c:pt>
                <c:pt idx="7">
                  <c:v>97.889818939353745</c:v>
                </c:pt>
                <c:pt idx="8">
                  <c:v>99.72214500946869</c:v>
                </c:pt>
                <c:pt idx="9">
                  <c:v>100.1780445967311</c:v>
                </c:pt>
                <c:pt idx="10">
                  <c:v>102.2060291956479</c:v>
                </c:pt>
                <c:pt idx="11">
                  <c:v>104.0099910468406</c:v>
                </c:pt>
                <c:pt idx="12">
                  <c:v>106.949243522123</c:v>
                </c:pt>
                <c:pt idx="13">
                  <c:v>108.2198771369024</c:v>
                </c:pt>
                <c:pt idx="14">
                  <c:v>110.9313538044029</c:v>
                </c:pt>
                <c:pt idx="15">
                  <c:v>113.11786492806409</c:v>
                </c:pt>
                <c:pt idx="16">
                  <c:v>116.1069601458137</c:v>
                </c:pt>
                <c:pt idx="17">
                  <c:v>120.5276803838193</c:v>
                </c:pt>
                <c:pt idx="18">
                  <c:v>124.0550338093267</c:v>
                </c:pt>
                <c:pt idx="19">
                  <c:v>128.3834563298015</c:v>
                </c:pt>
                <c:pt idx="20">
                  <c:v>131.04352144164659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7A-9D4D-AECE-8E18784CF477}"/>
            </c:ext>
          </c:extLst>
        </c:ser>
        <c:ser>
          <c:idx val="1"/>
          <c:order val="1"/>
          <c:tx>
            <c:strRef>
              <c:f>'ws_Volatility_Matched_(No_Priva'!$C$2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97.955454560520309</c:v>
                </c:pt>
                <c:pt idx="2">
                  <c:v>101.02782095219651</c:v>
                </c:pt>
                <c:pt idx="3">
                  <c:v>105.57390591220781</c:v>
                </c:pt>
                <c:pt idx="4">
                  <c:v>109.8425668688603</c:v>
                </c:pt>
                <c:pt idx="5">
                  <c:v>114.83679547673481</c:v>
                </c:pt>
                <c:pt idx="6">
                  <c:v>120.17276861227219</c:v>
                </c:pt>
                <c:pt idx="7">
                  <c:v>124.4139595771961</c:v>
                </c:pt>
                <c:pt idx="8">
                  <c:v>129.17913946608309</c:v>
                </c:pt>
                <c:pt idx="9">
                  <c:v>133.2313096062289</c:v>
                </c:pt>
                <c:pt idx="10">
                  <c:v>138.7120258510536</c:v>
                </c:pt>
                <c:pt idx="11">
                  <c:v>143.43723205751081</c:v>
                </c:pt>
                <c:pt idx="12">
                  <c:v>148.86968964460789</c:v>
                </c:pt>
                <c:pt idx="13">
                  <c:v>154.51427784400559</c:v>
                </c:pt>
                <c:pt idx="14">
                  <c:v>161.0317302185928</c:v>
                </c:pt>
                <c:pt idx="15">
                  <c:v>166.99480053213259</c:v>
                </c:pt>
                <c:pt idx="16">
                  <c:v>173.70672488629859</c:v>
                </c:pt>
                <c:pt idx="17">
                  <c:v>181.49077249667391</c:v>
                </c:pt>
                <c:pt idx="18">
                  <c:v>188.2215172862349</c:v>
                </c:pt>
                <c:pt idx="19">
                  <c:v>195.44320515173149</c:v>
                </c:pt>
                <c:pt idx="20">
                  <c:v>204.308120947503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07A-9D4D-AECE-8E18784CF477}"/>
            </c:ext>
          </c:extLst>
        </c:ser>
        <c:ser>
          <c:idx val="2"/>
          <c:order val="2"/>
          <c:tx>
            <c:strRef>
              <c:f>'ws_Volatility_Matched_(No_Priva'!$D$2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107.9202328797786</c:v>
                </c:pt>
                <c:pt idx="2">
                  <c:v>115.0732719894862</c:v>
                </c:pt>
                <c:pt idx="3">
                  <c:v>122.4509134155564</c:v>
                </c:pt>
                <c:pt idx="4">
                  <c:v>131.12578764206981</c:v>
                </c:pt>
                <c:pt idx="5">
                  <c:v>140.7102376622349</c:v>
                </c:pt>
                <c:pt idx="6">
                  <c:v>150.47222436516969</c:v>
                </c:pt>
                <c:pt idx="7">
                  <c:v>160.70684275515049</c:v>
                </c:pt>
                <c:pt idx="8">
                  <c:v>170.98270815070981</c:v>
                </c:pt>
                <c:pt idx="9">
                  <c:v>181.71047130623049</c:v>
                </c:pt>
                <c:pt idx="10">
                  <c:v>192.89801288143349</c:v>
                </c:pt>
                <c:pt idx="11">
                  <c:v>204.31601522643211</c:v>
                </c:pt>
                <c:pt idx="12">
                  <c:v>216.1115119081702</c:v>
                </c:pt>
                <c:pt idx="13">
                  <c:v>228.8953019440568</c:v>
                </c:pt>
                <c:pt idx="14">
                  <c:v>242.88943969409689</c:v>
                </c:pt>
                <c:pt idx="15">
                  <c:v>256.47061525783653</c:v>
                </c:pt>
                <c:pt idx="16">
                  <c:v>271.01571559024319</c:v>
                </c:pt>
                <c:pt idx="17">
                  <c:v>287.063110916921</c:v>
                </c:pt>
                <c:pt idx="18">
                  <c:v>304.04885767723653</c:v>
                </c:pt>
                <c:pt idx="19">
                  <c:v>322.43121048359029</c:v>
                </c:pt>
                <c:pt idx="20">
                  <c:v>341.08689380403467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07A-9D4D-AECE-8E18784CF477}"/>
            </c:ext>
          </c:extLst>
        </c:ser>
        <c:ser>
          <c:idx val="3"/>
          <c:order val="3"/>
          <c:tx>
            <c:strRef>
              <c:f>'ws_Volatility_Matched_(No_Priva'!$E$2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116.8880475873022</c:v>
                </c:pt>
                <c:pt idx="2">
                  <c:v>128.958030302748</c:v>
                </c:pt>
                <c:pt idx="3">
                  <c:v>140.85665151766671</c:v>
                </c:pt>
                <c:pt idx="4">
                  <c:v>154.81514385478201</c:v>
                </c:pt>
                <c:pt idx="5">
                  <c:v>169.88756742584869</c:v>
                </c:pt>
                <c:pt idx="6">
                  <c:v>185.2074390816224</c:v>
                </c:pt>
                <c:pt idx="7">
                  <c:v>202.4667945083302</c:v>
                </c:pt>
                <c:pt idx="8">
                  <c:v>219.9550756354574</c:v>
                </c:pt>
                <c:pt idx="9">
                  <c:v>239.21557644643369</c:v>
                </c:pt>
                <c:pt idx="10">
                  <c:v>258.63495377587782</c:v>
                </c:pt>
                <c:pt idx="11">
                  <c:v>279.144213746795</c:v>
                </c:pt>
                <c:pt idx="12">
                  <c:v>303.05194342946248</c:v>
                </c:pt>
                <c:pt idx="13">
                  <c:v>327.42888085023128</c:v>
                </c:pt>
                <c:pt idx="14">
                  <c:v>354.16531021540032</c:v>
                </c:pt>
                <c:pt idx="15">
                  <c:v>382.99449192924362</c:v>
                </c:pt>
                <c:pt idx="16">
                  <c:v>412.55773650692379</c:v>
                </c:pt>
                <c:pt idx="17">
                  <c:v>444.97934423595427</c:v>
                </c:pt>
                <c:pt idx="18">
                  <c:v>479.14007475070639</c:v>
                </c:pt>
                <c:pt idx="19">
                  <c:v>515.84879245195373</c:v>
                </c:pt>
                <c:pt idx="20">
                  <c:v>552.49763446723193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07A-9D4D-AECE-8E18784CF4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'ws_Volatility_Matched_(No_Priva'!$F$2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'ws_Volatility_Matched_(No_Priva'!$F$3:$F$23</c:f>
              <c:numCache>
                <c:formatCode>General</c:formatCode>
                <c:ptCount val="21"/>
                <c:pt idx="0">
                  <c:v>100</c:v>
                </c:pt>
                <c:pt idx="1">
                  <c:v>85.794805975418853</c:v>
                </c:pt>
                <c:pt idx="2">
                  <c:v>85.574298025145694</c:v>
                </c:pt>
                <c:pt idx="3">
                  <c:v>85.394518053763477</c:v>
                </c:pt>
                <c:pt idx="4">
                  <c:v>84.406626053492005</c:v>
                </c:pt>
                <c:pt idx="5">
                  <c:v>84.642110335260597</c:v>
                </c:pt>
                <c:pt idx="6">
                  <c:v>85.10961864352717</c:v>
                </c:pt>
                <c:pt idx="7">
                  <c:v>83.409706520407113</c:v>
                </c:pt>
                <c:pt idx="8">
                  <c:v>83.865829370544958</c:v>
                </c:pt>
                <c:pt idx="9">
                  <c:v>82.605368645305987</c:v>
                </c:pt>
                <c:pt idx="10">
                  <c:v>82.688842536913057</c:v>
                </c:pt>
                <c:pt idx="11">
                  <c:v>82.500059701241454</c:v>
                </c:pt>
                <c:pt idx="12">
                  <c:v>82.943296375087726</c:v>
                </c:pt>
                <c:pt idx="13">
                  <c:v>82.832393791319433</c:v>
                </c:pt>
                <c:pt idx="14">
                  <c:v>83.370270579299032</c:v>
                </c:pt>
                <c:pt idx="15">
                  <c:v>83.606431964979151</c:v>
                </c:pt>
                <c:pt idx="16">
                  <c:v>84.737455160850246</c:v>
                </c:pt>
                <c:pt idx="17">
                  <c:v>85.794488545128758</c:v>
                </c:pt>
                <c:pt idx="18">
                  <c:v>86.102252423319428</c:v>
                </c:pt>
                <c:pt idx="19">
                  <c:v>87.768286877362797</c:v>
                </c:pt>
                <c:pt idx="20">
                  <c:v>88.828716845438336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6-DC43-AB3A-2F5A91B2DC56}"/>
            </c:ext>
          </c:extLst>
        </c:ser>
        <c:ser>
          <c:idx val="1"/>
          <c:order val="1"/>
          <c:tx>
            <c:strRef>
              <c:f>'ws_Volatility_Matched_(No_Priva'!$G$2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'ws_Volatility_Matched_(No_Priva'!$G$3:$G$23</c:f>
              <c:numCache>
                <c:formatCode>General</c:formatCode>
                <c:ptCount val="21"/>
                <c:pt idx="0">
                  <c:v>100</c:v>
                </c:pt>
                <c:pt idx="1">
                  <c:v>95.48558101555183</c:v>
                </c:pt>
                <c:pt idx="2">
                  <c:v>95.986304525704142</c:v>
                </c:pt>
                <c:pt idx="3">
                  <c:v>98.172932110591617</c:v>
                </c:pt>
                <c:pt idx="4">
                  <c:v>99.733647780275092</c:v>
                </c:pt>
                <c:pt idx="5">
                  <c:v>102.19148038768211</c:v>
                </c:pt>
                <c:pt idx="6">
                  <c:v>104.7035731638496</c:v>
                </c:pt>
                <c:pt idx="7">
                  <c:v>106.3827021299914</c:v>
                </c:pt>
                <c:pt idx="8">
                  <c:v>108.153167677909</c:v>
                </c:pt>
                <c:pt idx="9">
                  <c:v>109.348983238637</c:v>
                </c:pt>
                <c:pt idx="10">
                  <c:v>111.49685227354441</c:v>
                </c:pt>
                <c:pt idx="11">
                  <c:v>113.28729621316501</c:v>
                </c:pt>
                <c:pt idx="12">
                  <c:v>115.4296873992722</c:v>
                </c:pt>
                <c:pt idx="13">
                  <c:v>117.5775917904293</c:v>
                </c:pt>
                <c:pt idx="14">
                  <c:v>119.65970466740271</c:v>
                </c:pt>
                <c:pt idx="15">
                  <c:v>122.54476787948239</c:v>
                </c:pt>
                <c:pt idx="16">
                  <c:v>124.9782682906562</c:v>
                </c:pt>
                <c:pt idx="17">
                  <c:v>127.3561293182445</c:v>
                </c:pt>
                <c:pt idx="18">
                  <c:v>129.94963126507099</c:v>
                </c:pt>
                <c:pt idx="19">
                  <c:v>132.08393981795811</c:v>
                </c:pt>
                <c:pt idx="20">
                  <c:v>135.5011516381318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6-DC43-AB3A-2F5A91B2DC56}"/>
            </c:ext>
          </c:extLst>
        </c:ser>
        <c:ser>
          <c:idx val="2"/>
          <c:order val="2"/>
          <c:tx>
            <c:strRef>
              <c:f>'ws_Volatility_Matched_(No_Priva'!$H$2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105.5817610592929</c:v>
                </c:pt>
                <c:pt idx="2">
                  <c:v>109.9623937888615</c:v>
                </c:pt>
                <c:pt idx="3">
                  <c:v>114.50076126591441</c:v>
                </c:pt>
                <c:pt idx="4">
                  <c:v>120.00778248059621</c:v>
                </c:pt>
                <c:pt idx="5">
                  <c:v>126.0177897925422</c:v>
                </c:pt>
                <c:pt idx="6">
                  <c:v>132.06060501547589</c:v>
                </c:pt>
                <c:pt idx="7">
                  <c:v>138.04066903452511</c:v>
                </c:pt>
                <c:pt idx="8">
                  <c:v>143.9804036234373</c:v>
                </c:pt>
                <c:pt idx="9">
                  <c:v>149.82209337476451</c:v>
                </c:pt>
                <c:pt idx="10">
                  <c:v>155.7562548024398</c:v>
                </c:pt>
                <c:pt idx="11">
                  <c:v>161.84638509495741</c:v>
                </c:pt>
                <c:pt idx="12">
                  <c:v>167.98589924875819</c:v>
                </c:pt>
                <c:pt idx="13">
                  <c:v>174.58216787263601</c:v>
                </c:pt>
                <c:pt idx="14">
                  <c:v>181.2565208720514</c:v>
                </c:pt>
                <c:pt idx="15">
                  <c:v>187.79019103293541</c:v>
                </c:pt>
                <c:pt idx="16">
                  <c:v>194.9175256832219</c:v>
                </c:pt>
                <c:pt idx="17">
                  <c:v>202.47196812640951</c:v>
                </c:pt>
                <c:pt idx="18">
                  <c:v>210.32273546034409</c:v>
                </c:pt>
                <c:pt idx="19">
                  <c:v>218.56499144155501</c:v>
                </c:pt>
                <c:pt idx="20">
                  <c:v>227.0582429212933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6-DC43-AB3A-2F5A91B2DC56}"/>
            </c:ext>
          </c:extLst>
        </c:ser>
        <c:ser>
          <c:idx val="3"/>
          <c:order val="3"/>
          <c:tx>
            <c:strRef>
              <c:f>'ws_Volatility_Matched_(No_Priva'!$I$2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114.5878754944319</c:v>
                </c:pt>
                <c:pt idx="2">
                  <c:v>123.5975143463035</c:v>
                </c:pt>
                <c:pt idx="3">
                  <c:v>132.16006270302</c:v>
                </c:pt>
                <c:pt idx="4">
                  <c:v>142.40923659349949</c:v>
                </c:pt>
                <c:pt idx="5">
                  <c:v>153.17421028907569</c:v>
                </c:pt>
                <c:pt idx="6">
                  <c:v>163.4520000675835</c:v>
                </c:pt>
                <c:pt idx="7">
                  <c:v>174.8637560084394</c:v>
                </c:pt>
                <c:pt idx="8">
                  <c:v>186.33388348056721</c:v>
                </c:pt>
                <c:pt idx="9">
                  <c:v>199.0154407013074</c:v>
                </c:pt>
                <c:pt idx="10">
                  <c:v>210.65332118535849</c:v>
                </c:pt>
                <c:pt idx="11">
                  <c:v>222.89019120129419</c:v>
                </c:pt>
                <c:pt idx="12">
                  <c:v>236.70380005659331</c:v>
                </c:pt>
                <c:pt idx="13">
                  <c:v>250.044095147761</c:v>
                </c:pt>
                <c:pt idx="14">
                  <c:v>265.86532631685799</c:v>
                </c:pt>
                <c:pt idx="15">
                  <c:v>280.86191368000652</c:v>
                </c:pt>
                <c:pt idx="16">
                  <c:v>296.49371379607243</c:v>
                </c:pt>
                <c:pt idx="17">
                  <c:v>313.97850667079871</c:v>
                </c:pt>
                <c:pt idx="18">
                  <c:v>331.2584261008505</c:v>
                </c:pt>
                <c:pt idx="19">
                  <c:v>347.21731761650079</c:v>
                </c:pt>
                <c:pt idx="20">
                  <c:v>366.6691713074697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96-DC43-AB3A-2F5A91B2D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'ws_Volatility_Matched_(No_Priva'!$N$2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8F-644A-AB3B-922523B60B1F}"/>
            </c:ext>
          </c:extLst>
        </c:ser>
        <c:ser>
          <c:idx val="1"/>
          <c:order val="1"/>
          <c:tx>
            <c:strRef>
              <c:f>'ws_Volatility_Matched_(No_Priva'!$O$2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8F-644A-AB3B-922523B60B1F}"/>
            </c:ext>
          </c:extLst>
        </c:ser>
        <c:ser>
          <c:idx val="2"/>
          <c:order val="2"/>
          <c:tx>
            <c:strRef>
              <c:f>'ws_Volatility_Matched_(No_Priva'!$P$2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8F-644A-AB3B-922523B60B1F}"/>
            </c:ext>
          </c:extLst>
        </c:ser>
        <c:ser>
          <c:idx val="3"/>
          <c:order val="3"/>
          <c:tx>
            <c:strRef>
              <c:f>'ws_Volatility_Matched_(No_Priva'!$Q$2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'ws_Volatility_Matched_(No_Priva'!$A$3:$A$23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'ws_Volatility_Matched_(No_Priva'!$Q$3:$Q$23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78F-644A-AB3B-922523B60B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 val="0.25"/>
          <c:y val="0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workbookViewId="0">
      <selection activeCell="D2" sqref="A1:D2"/>
    </sheetView>
  </sheetViews>
  <sheetFormatPr baseColWidth="10" defaultColWidth="8.83203125" defaultRowHeight="15" x14ac:dyDescent="0.2"/>
  <cols>
    <col min="1" max="1" width="40" customWidth="1"/>
    <col min="2" max="4" width="17.33203125" customWidth="1"/>
  </cols>
  <sheetData>
    <row r="1" spans="1:4" ht="20" customHeight="1" x14ac:dyDescent="0.2">
      <c r="A1" s="40"/>
      <c r="B1" s="41"/>
      <c r="C1" s="42" t="s">
        <v>1</v>
      </c>
      <c r="D1" s="43"/>
    </row>
    <row r="2" spans="1:4" ht="37" customHeight="1" x14ac:dyDescent="0.2">
      <c r="A2" s="44"/>
      <c r="B2" s="45" t="s">
        <v>0</v>
      </c>
      <c r="C2" s="45" t="s">
        <v>103</v>
      </c>
      <c r="D2" s="46" t="s">
        <v>104</v>
      </c>
    </row>
    <row r="3" spans="1:4" ht="17" customHeight="1" x14ac:dyDescent="0.2">
      <c r="A3" s="47" t="s">
        <v>2</v>
      </c>
      <c r="B3" s="1">
        <v>0.38000000000000012</v>
      </c>
      <c r="C3" s="1">
        <v>0.26781088861045249</v>
      </c>
      <c r="D3" s="48">
        <v>0.28246808931844308</v>
      </c>
    </row>
    <row r="4" spans="1:4" ht="17" customHeight="1" x14ac:dyDescent="0.2">
      <c r="A4" s="49" t="s">
        <v>3</v>
      </c>
      <c r="B4" s="2">
        <v>20</v>
      </c>
      <c r="C4" s="2">
        <v>18.43701526037324</v>
      </c>
      <c r="D4" s="50">
        <v>19.290818913865099</v>
      </c>
    </row>
    <row r="5" spans="1:4" ht="17" customHeight="1" x14ac:dyDescent="0.2">
      <c r="A5" s="49" t="s">
        <v>4</v>
      </c>
      <c r="B5" s="2">
        <v>18</v>
      </c>
      <c r="C5" s="2" t="s">
        <v>100</v>
      </c>
      <c r="D5" s="50" t="s">
        <v>100</v>
      </c>
    </row>
    <row r="6" spans="1:4" ht="17" customHeight="1" x14ac:dyDescent="0.2">
      <c r="A6" s="49" t="s">
        <v>5</v>
      </c>
      <c r="B6" s="2" t="s">
        <v>100</v>
      </c>
      <c r="C6" s="2">
        <v>0.84160608482425248</v>
      </c>
      <c r="D6" s="50">
        <v>0.8907402953240745</v>
      </c>
    </row>
    <row r="7" spans="1:4" ht="17" customHeight="1" x14ac:dyDescent="0.2">
      <c r="A7" s="49" t="s">
        <v>6</v>
      </c>
      <c r="B7" s="2" t="s">
        <v>100</v>
      </c>
      <c r="C7" s="2">
        <v>7.5024671926804771</v>
      </c>
      <c r="D7" s="50">
        <v>8.065249010573984</v>
      </c>
    </row>
    <row r="8" spans="1:4" ht="17" customHeight="1" x14ac:dyDescent="0.2">
      <c r="A8" s="47" t="s">
        <v>7</v>
      </c>
      <c r="B8" s="1">
        <v>0</v>
      </c>
      <c r="C8" s="1">
        <v>9.0731270792916333E-2</v>
      </c>
      <c r="D8" s="48">
        <v>0.1021958063784367</v>
      </c>
    </row>
    <row r="9" spans="1:4" ht="17" customHeight="1" x14ac:dyDescent="0.2">
      <c r="A9" s="49" t="s">
        <v>8</v>
      </c>
      <c r="B9" s="2" t="s">
        <v>100</v>
      </c>
      <c r="C9" s="2">
        <v>5.9175973785157421</v>
      </c>
      <c r="D9" s="50">
        <v>6.7169324545394273</v>
      </c>
    </row>
    <row r="10" spans="1:4" ht="17" customHeight="1" x14ac:dyDescent="0.2">
      <c r="A10" s="49" t="s">
        <v>9</v>
      </c>
      <c r="B10" s="2" t="s">
        <v>100</v>
      </c>
      <c r="C10" s="2">
        <v>3.1555297007758911</v>
      </c>
      <c r="D10" s="50">
        <v>3.502648183304244</v>
      </c>
    </row>
    <row r="11" spans="1:4" ht="17" customHeight="1" x14ac:dyDescent="0.2">
      <c r="A11" s="47" t="s">
        <v>10</v>
      </c>
      <c r="B11" s="1">
        <v>0.46000000000000008</v>
      </c>
      <c r="C11" s="1">
        <v>0.35222447346133179</v>
      </c>
      <c r="D11" s="48">
        <v>0.42779891916102791</v>
      </c>
    </row>
    <row r="12" spans="1:4" ht="17" customHeight="1" x14ac:dyDescent="0.2">
      <c r="A12" s="49" t="s">
        <v>11</v>
      </c>
      <c r="B12" s="2">
        <v>10</v>
      </c>
      <c r="C12" s="2" t="s">
        <v>100</v>
      </c>
      <c r="D12" s="50" t="s">
        <v>100</v>
      </c>
    </row>
    <row r="13" spans="1:4" ht="17" customHeight="1" x14ac:dyDescent="0.2">
      <c r="A13" s="51" t="s">
        <v>101</v>
      </c>
      <c r="B13" s="2">
        <f>SUM(B14:B16)</f>
        <v>11.000000000000002</v>
      </c>
      <c r="C13" s="2">
        <f t="shared" ref="C13:D13" si="0">SUM(C14:C16)</f>
        <v>14.969970999380912</v>
      </c>
      <c r="D13" s="50">
        <f t="shared" si="0"/>
        <v>17.82876185704141</v>
      </c>
    </row>
    <row r="14" spans="1:4" ht="17" hidden="1" customHeight="1" x14ac:dyDescent="0.2">
      <c r="A14" s="49" t="s">
        <v>12</v>
      </c>
      <c r="B14" s="2">
        <v>6.0000000000000009</v>
      </c>
      <c r="C14" s="2">
        <v>5.9879883997512353</v>
      </c>
      <c r="D14" s="50">
        <v>7.131504742815185</v>
      </c>
    </row>
    <row r="15" spans="1:4" ht="17" hidden="1" customHeight="1" x14ac:dyDescent="0.2">
      <c r="A15" s="49" t="s">
        <v>13</v>
      </c>
      <c r="B15" s="2">
        <v>5.0000000000000009</v>
      </c>
      <c r="C15" s="2">
        <v>6.7364869497211846</v>
      </c>
      <c r="D15" s="50">
        <v>8.0229428356693298</v>
      </c>
    </row>
    <row r="16" spans="1:4" ht="17" hidden="1" customHeight="1" x14ac:dyDescent="0.2">
      <c r="A16" s="49" t="s">
        <v>14</v>
      </c>
      <c r="B16" s="2" t="s">
        <v>100</v>
      </c>
      <c r="C16" s="2">
        <v>2.245495649908491</v>
      </c>
      <c r="D16" s="50">
        <v>2.6743142785568952</v>
      </c>
    </row>
    <row r="17" spans="1:4" ht="17" customHeight="1" x14ac:dyDescent="0.2">
      <c r="A17" s="49" t="s">
        <v>15</v>
      </c>
      <c r="B17" s="2">
        <v>7.0000000000000018</v>
      </c>
      <c r="C17" s="2">
        <v>3.6481974937233388</v>
      </c>
      <c r="D17" s="50">
        <v>4.725605703433529</v>
      </c>
    </row>
    <row r="18" spans="1:4" ht="17" customHeight="1" x14ac:dyDescent="0.2">
      <c r="A18" s="49" t="s">
        <v>16</v>
      </c>
      <c r="B18" s="2" t="s">
        <v>100</v>
      </c>
      <c r="C18" s="2">
        <v>5.5247777580633857</v>
      </c>
      <c r="D18" s="50">
        <v>6.6331333459723716</v>
      </c>
    </row>
    <row r="19" spans="1:4" ht="17" customHeight="1" x14ac:dyDescent="0.2">
      <c r="A19" s="49" t="s">
        <v>17</v>
      </c>
      <c r="B19" s="2">
        <v>4.0000000000000009</v>
      </c>
      <c r="C19" s="2">
        <v>0.28058343064229652</v>
      </c>
      <c r="D19" s="50">
        <v>1.054672602509805</v>
      </c>
    </row>
    <row r="20" spans="1:4" ht="17" customHeight="1" x14ac:dyDescent="0.2">
      <c r="A20" s="49" t="s">
        <v>18</v>
      </c>
      <c r="B20" s="2">
        <v>8.0000000000000018</v>
      </c>
      <c r="C20" s="2">
        <v>4.3949528447185831</v>
      </c>
      <c r="D20" s="50">
        <v>5.2606833894470419</v>
      </c>
    </row>
    <row r="21" spans="1:4" ht="17" customHeight="1" x14ac:dyDescent="0.2">
      <c r="A21" s="49" t="s">
        <v>19</v>
      </c>
      <c r="B21" s="2">
        <v>6.0000000000000009</v>
      </c>
      <c r="C21" s="2">
        <v>3.4151137649864869</v>
      </c>
      <c r="D21" s="50">
        <v>4.0012150280010008</v>
      </c>
    </row>
    <row r="22" spans="1:4" ht="17" customHeight="1" x14ac:dyDescent="0.2">
      <c r="A22" s="51" t="s">
        <v>102</v>
      </c>
      <c r="B22" s="2" t="s">
        <v>100</v>
      </c>
      <c r="C22" s="2">
        <f t="shared" ref="C22:D22" si="1">SUM(C23:C24)</f>
        <v>2.9888510536911559</v>
      </c>
      <c r="D22" s="50">
        <f t="shared" si="1"/>
        <v>3.275819988582171</v>
      </c>
    </row>
    <row r="23" spans="1:4" ht="17" hidden="1" customHeight="1" x14ac:dyDescent="0.2">
      <c r="A23" s="49" t="s">
        <v>20</v>
      </c>
      <c r="B23" s="2" t="s">
        <v>100</v>
      </c>
      <c r="C23" s="2">
        <v>1.494425526825919</v>
      </c>
      <c r="D23" s="50">
        <v>1.637909994258459</v>
      </c>
    </row>
    <row r="24" spans="1:4" ht="17" hidden="1" customHeight="1" x14ac:dyDescent="0.2">
      <c r="A24" s="49" t="s">
        <v>21</v>
      </c>
      <c r="B24" s="2" t="s">
        <v>100</v>
      </c>
      <c r="C24" s="2">
        <v>1.4944255268652371</v>
      </c>
      <c r="D24" s="50">
        <v>1.6379099943237121</v>
      </c>
    </row>
    <row r="25" spans="1:4" ht="17" customHeight="1" x14ac:dyDescent="0.2">
      <c r="A25" s="47" t="s">
        <v>22</v>
      </c>
      <c r="B25" s="1">
        <v>0.16</v>
      </c>
      <c r="C25" s="1">
        <v>0.1492484184172384</v>
      </c>
      <c r="D25" s="48">
        <v>0.1875371850774547</v>
      </c>
    </row>
    <row r="26" spans="1:4" ht="17" customHeight="1" x14ac:dyDescent="0.2">
      <c r="A26" s="49" t="s">
        <v>23</v>
      </c>
      <c r="B26" s="2">
        <v>16</v>
      </c>
      <c r="C26" s="2" t="s">
        <v>100</v>
      </c>
      <c r="D26" s="50" t="s">
        <v>100</v>
      </c>
    </row>
    <row r="27" spans="1:4" ht="17" customHeight="1" x14ac:dyDescent="0.2">
      <c r="A27" s="49" t="s">
        <v>24</v>
      </c>
      <c r="B27" s="2" t="s">
        <v>100</v>
      </c>
      <c r="C27" s="2">
        <v>5.3117345392456956</v>
      </c>
      <c r="D27" s="50">
        <v>7.4098778913641183</v>
      </c>
    </row>
    <row r="28" spans="1:4" ht="17" customHeight="1" x14ac:dyDescent="0.2">
      <c r="A28" s="49" t="s">
        <v>25</v>
      </c>
      <c r="B28" s="2" t="s">
        <v>100</v>
      </c>
      <c r="C28" s="2">
        <v>1.488867971483913</v>
      </c>
      <c r="D28" s="50">
        <v>2.9768224749612551</v>
      </c>
    </row>
    <row r="29" spans="1:4" ht="17" customHeight="1" x14ac:dyDescent="0.2">
      <c r="A29" s="49" t="s">
        <v>26</v>
      </c>
      <c r="B29" s="2" t="s">
        <v>100</v>
      </c>
      <c r="C29" s="2">
        <v>8.1242393300907843</v>
      </c>
      <c r="D29" s="50">
        <v>8.3670181403425463</v>
      </c>
    </row>
    <row r="30" spans="1:4" ht="17" customHeight="1" x14ac:dyDescent="0.2">
      <c r="A30" s="47" t="s">
        <v>27</v>
      </c>
      <c r="B30" s="1">
        <v>0</v>
      </c>
      <c r="C30" s="1">
        <v>5.5332980079328742E-2</v>
      </c>
      <c r="D30" s="48">
        <v>3.4446473520123641E-11</v>
      </c>
    </row>
    <row r="31" spans="1:4" ht="17" customHeight="1" x14ac:dyDescent="0.2">
      <c r="A31" s="49" t="s">
        <v>28</v>
      </c>
      <c r="B31" s="2" t="s">
        <v>100</v>
      </c>
      <c r="C31" s="2">
        <v>2.3611315223719669</v>
      </c>
      <c r="D31" s="50" t="s">
        <v>100</v>
      </c>
    </row>
    <row r="32" spans="1:4" ht="17" customHeight="1" x14ac:dyDescent="0.2">
      <c r="A32" s="49" t="s">
        <v>29</v>
      </c>
      <c r="B32" s="2" t="s">
        <v>100</v>
      </c>
      <c r="C32" s="2">
        <v>1.8193799489027429</v>
      </c>
      <c r="D32" s="50" t="s">
        <v>100</v>
      </c>
    </row>
    <row r="33" spans="1:4" ht="17" customHeight="1" x14ac:dyDescent="0.2">
      <c r="A33" s="49" t="s">
        <v>30</v>
      </c>
      <c r="B33" s="2" t="s">
        <v>100</v>
      </c>
      <c r="C33" s="2">
        <v>1.352786536658164</v>
      </c>
      <c r="D33" s="50" t="s">
        <v>100</v>
      </c>
    </row>
    <row r="34" spans="1:4" ht="17" customHeight="1" x14ac:dyDescent="0.2">
      <c r="A34" s="47" t="s">
        <v>31</v>
      </c>
      <c r="B34" s="1">
        <v>0</v>
      </c>
      <c r="C34" s="1">
        <v>8.4651968638724776E-2</v>
      </c>
      <c r="D34" s="48">
        <v>3.0263371851487717E-11</v>
      </c>
    </row>
    <row r="35" spans="1:4" ht="17" customHeight="1" x14ac:dyDescent="0.2">
      <c r="A35" s="49" t="s">
        <v>32</v>
      </c>
      <c r="B35" s="2" t="s">
        <v>100</v>
      </c>
      <c r="C35" s="2">
        <v>3.6913394038094389</v>
      </c>
      <c r="D35" s="50" t="s">
        <v>100</v>
      </c>
    </row>
    <row r="36" spans="1:4" ht="17" customHeight="1" x14ac:dyDescent="0.2">
      <c r="A36" s="49" t="s">
        <v>33</v>
      </c>
      <c r="B36" s="2" t="s">
        <v>100</v>
      </c>
      <c r="C36" s="2">
        <v>3.5803930950340872</v>
      </c>
      <c r="D36" s="50" t="s">
        <v>100</v>
      </c>
    </row>
    <row r="37" spans="1:4" ht="17" customHeight="1" x14ac:dyDescent="0.2">
      <c r="A37" s="49" t="s">
        <v>34</v>
      </c>
      <c r="B37" s="2" t="s">
        <v>100</v>
      </c>
      <c r="C37" s="2">
        <v>1.1934643650289529</v>
      </c>
      <c r="D37" s="50" t="s">
        <v>100</v>
      </c>
    </row>
    <row r="38" spans="1:4" ht="23" customHeight="1" x14ac:dyDescent="0.2">
      <c r="A38" s="52" t="s">
        <v>35</v>
      </c>
      <c r="B38" s="3">
        <v>1</v>
      </c>
      <c r="C38" s="3">
        <v>1</v>
      </c>
      <c r="D38" s="53">
        <v>1</v>
      </c>
    </row>
    <row r="39" spans="1:4" ht="3" customHeight="1" x14ac:dyDescent="0.2">
      <c r="A39" s="54"/>
      <c r="B39" s="4">
        <v>0</v>
      </c>
      <c r="C39" s="4">
        <v>0</v>
      </c>
      <c r="D39" s="55">
        <v>0</v>
      </c>
    </row>
    <row r="40" spans="1:4" ht="23" customHeight="1" x14ac:dyDescent="0.2">
      <c r="A40" s="56" t="s">
        <v>36</v>
      </c>
      <c r="B40" s="5">
        <v>5.3990265611727463E-2</v>
      </c>
      <c r="C40" s="5">
        <v>6.4526745415508152E-2</v>
      </c>
      <c r="D40" s="57">
        <v>6.0566326690654891E-2</v>
      </c>
    </row>
    <row r="41" spans="1:4" ht="23" customHeight="1" x14ac:dyDescent="0.2">
      <c r="A41" s="56" t="s">
        <v>37</v>
      </c>
      <c r="B41" s="6">
        <v>0.39333907606745733</v>
      </c>
      <c r="C41" s="6">
        <v>0.53629772590863878</v>
      </c>
      <c r="D41" s="58">
        <v>0.48256288101828981</v>
      </c>
    </row>
    <row r="42" spans="1:4" ht="3" customHeight="1" x14ac:dyDescent="0.2">
      <c r="A42" s="54"/>
      <c r="B42" s="4">
        <v>0</v>
      </c>
      <c r="C42" s="4">
        <v>0</v>
      </c>
      <c r="D42" s="55">
        <v>0</v>
      </c>
    </row>
    <row r="43" spans="1:4" ht="23" customHeight="1" x14ac:dyDescent="0.2">
      <c r="A43" s="59" t="s">
        <v>38</v>
      </c>
      <c r="B43" s="60">
        <v>7.3702989038281208E-2</v>
      </c>
      <c r="C43" s="60">
        <v>7.370298904128067E-2</v>
      </c>
      <c r="D43" s="61">
        <v>7.370298895680473E-2</v>
      </c>
    </row>
  </sheetData>
  <mergeCells count="1">
    <mergeCell ref="C1:D1"/>
  </mergeCells>
  <pageMargins left="0.75" right="0.75" top="1" bottom="1" header="0.5" footer="0.5"/>
  <ignoredErrors>
    <ignoredError sqref="C13:D13 C22:D2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tabSelected="1" workbookViewId="0">
      <selection activeCell="G34" sqref="A1:G34"/>
    </sheetView>
  </sheetViews>
  <sheetFormatPr baseColWidth="10" defaultColWidth="8.83203125" defaultRowHeight="15" x14ac:dyDescent="0.2"/>
  <cols>
    <col min="1" max="1" width="27.1640625" customWidth="1"/>
    <col min="2" max="7" width="8.6640625" customWidth="1"/>
  </cols>
  <sheetData>
    <row r="1" spans="1:7" ht="35" customHeight="1" x14ac:dyDescent="0.2">
      <c r="A1" s="79"/>
      <c r="B1" s="80" t="s">
        <v>0</v>
      </c>
      <c r="C1" s="81"/>
      <c r="D1" s="80" t="s">
        <v>1</v>
      </c>
      <c r="E1" s="81"/>
      <c r="F1" s="82" t="s">
        <v>105</v>
      </c>
      <c r="G1" s="83"/>
    </row>
    <row r="2" spans="1:7" ht="20" customHeight="1" x14ac:dyDescent="0.2">
      <c r="A2" s="84" t="s">
        <v>2</v>
      </c>
      <c r="B2" s="70">
        <v>0.38000000000000012</v>
      </c>
      <c r="C2" s="85"/>
      <c r="D2" s="70">
        <v>0.26781088861045249</v>
      </c>
      <c r="E2" s="85"/>
      <c r="F2" s="70">
        <v>0.28246808931844308</v>
      </c>
      <c r="G2" s="86"/>
    </row>
    <row r="3" spans="1:7" ht="16" customHeight="1" x14ac:dyDescent="0.2">
      <c r="A3" s="84" t="s">
        <v>7</v>
      </c>
      <c r="B3" s="70">
        <v>0</v>
      </c>
      <c r="C3" s="85"/>
      <c r="D3" s="70">
        <v>9.0731270792916333E-2</v>
      </c>
      <c r="E3" s="85"/>
      <c r="F3" s="70">
        <v>0.1021958063784367</v>
      </c>
      <c r="G3" s="86"/>
    </row>
    <row r="4" spans="1:7" ht="16" customHeight="1" x14ac:dyDescent="0.2">
      <c r="A4" s="84" t="s">
        <v>10</v>
      </c>
      <c r="B4" s="70">
        <v>0.46000000000000008</v>
      </c>
      <c r="C4" s="85"/>
      <c r="D4" s="70">
        <v>0.35222447346133179</v>
      </c>
      <c r="E4" s="85"/>
      <c r="F4" s="70">
        <v>0.42779891916102791</v>
      </c>
      <c r="G4" s="86"/>
    </row>
    <row r="5" spans="1:7" ht="16" customHeight="1" x14ac:dyDescent="0.2">
      <c r="A5" s="84" t="s">
        <v>22</v>
      </c>
      <c r="B5" s="70">
        <v>0.16</v>
      </c>
      <c r="C5" s="85"/>
      <c r="D5" s="70">
        <v>0.1492484184172384</v>
      </c>
      <c r="E5" s="85"/>
      <c r="F5" s="70">
        <v>0.1875371850774547</v>
      </c>
      <c r="G5" s="86"/>
    </row>
    <row r="6" spans="1:7" ht="16" customHeight="1" x14ac:dyDescent="0.2">
      <c r="A6" s="84" t="s">
        <v>27</v>
      </c>
      <c r="B6" s="70">
        <v>0</v>
      </c>
      <c r="C6" s="85"/>
      <c r="D6" s="70">
        <v>5.5332980079328742E-2</v>
      </c>
      <c r="E6" s="85"/>
      <c r="F6" s="70">
        <v>3.4446473520123641E-11</v>
      </c>
      <c r="G6" s="86"/>
    </row>
    <row r="7" spans="1:7" ht="16" customHeight="1" x14ac:dyDescent="0.2">
      <c r="A7" s="84" t="s">
        <v>31</v>
      </c>
      <c r="B7" s="70">
        <v>0</v>
      </c>
      <c r="C7" s="85"/>
      <c r="D7" s="70">
        <v>8.4651968638724776E-2</v>
      </c>
      <c r="E7" s="85"/>
      <c r="F7" s="70">
        <v>3.0263371851487717E-11</v>
      </c>
      <c r="G7" s="86"/>
    </row>
    <row r="8" spans="1:7" ht="16" customHeight="1" x14ac:dyDescent="0.2">
      <c r="A8" s="87" t="s">
        <v>36</v>
      </c>
      <c r="B8" s="88">
        <v>5.3990265611727463E-2</v>
      </c>
      <c r="C8" s="71"/>
      <c r="D8" s="88">
        <v>6.4526745415508152E-2</v>
      </c>
      <c r="E8" s="71"/>
      <c r="F8" s="88">
        <v>6.0566326690654891E-2</v>
      </c>
      <c r="G8" s="89"/>
    </row>
    <row r="9" spans="1:7" ht="16" customHeight="1" x14ac:dyDescent="0.2">
      <c r="A9" s="84" t="s">
        <v>37</v>
      </c>
      <c r="B9" s="72">
        <v>0.39333907606745733</v>
      </c>
      <c r="C9" s="85"/>
      <c r="D9" s="72">
        <v>0.53629772590863878</v>
      </c>
      <c r="E9" s="85"/>
      <c r="F9" s="72">
        <v>0.48256288101828981</v>
      </c>
      <c r="G9" s="86"/>
    </row>
    <row r="10" spans="1:7" ht="16" customHeight="1" x14ac:dyDescent="0.2">
      <c r="A10" s="84" t="s">
        <v>38</v>
      </c>
      <c r="B10" s="70">
        <v>7.3702989038281208E-2</v>
      </c>
      <c r="C10" s="85"/>
      <c r="D10" s="70">
        <v>7.370298904128067E-2</v>
      </c>
      <c r="E10" s="85"/>
      <c r="F10" s="70">
        <v>7.370298895680473E-2</v>
      </c>
      <c r="G10" s="86"/>
    </row>
    <row r="11" spans="1:7" ht="16" customHeight="1" x14ac:dyDescent="0.2">
      <c r="A11" s="90" t="s">
        <v>39</v>
      </c>
      <c r="B11" s="73"/>
      <c r="C11" s="73"/>
      <c r="D11" s="73"/>
      <c r="E11" s="73"/>
      <c r="F11" s="73"/>
      <c r="G11" s="91"/>
    </row>
    <row r="12" spans="1:7" ht="16" customHeight="1" x14ac:dyDescent="0.2">
      <c r="A12" s="92" t="s">
        <v>106</v>
      </c>
      <c r="B12" s="62" t="s">
        <v>40</v>
      </c>
      <c r="C12" s="63" t="s">
        <v>41</v>
      </c>
      <c r="D12" s="62" t="s">
        <v>40</v>
      </c>
      <c r="E12" s="63" t="s">
        <v>41</v>
      </c>
      <c r="F12" s="62" t="s">
        <v>40</v>
      </c>
      <c r="G12" s="64" t="s">
        <v>41</v>
      </c>
    </row>
    <row r="13" spans="1:7" ht="16" customHeight="1" x14ac:dyDescent="0.2">
      <c r="A13" s="93" t="s">
        <v>42</v>
      </c>
      <c r="B13" s="65">
        <v>-0.14483801254945641</v>
      </c>
      <c r="C13" s="66">
        <v>-0.27328000394130852</v>
      </c>
      <c r="D13" s="65">
        <v>-0.159962707891566</v>
      </c>
      <c r="E13" s="66">
        <v>-0.28613302909993937</v>
      </c>
      <c r="F13" s="65">
        <v>-0.17151816240714821</v>
      </c>
      <c r="G13" s="67">
        <v>-0.29595289946748898</v>
      </c>
    </row>
    <row r="14" spans="1:7" ht="16" customHeight="1" x14ac:dyDescent="0.2">
      <c r="A14" s="93" t="s">
        <v>43</v>
      </c>
      <c r="B14" s="65">
        <v>0.14089278218308249</v>
      </c>
      <c r="C14" s="66">
        <v>-3.8581176310079401E-2</v>
      </c>
      <c r="D14" s="65">
        <v>8.9752647930178453E-2</v>
      </c>
      <c r="E14" s="66">
        <v>-8.1676450892052999E-2</v>
      </c>
      <c r="F14" s="65">
        <v>0.10451327321260261</v>
      </c>
      <c r="G14" s="67">
        <v>-6.9237821059719762E-2</v>
      </c>
    </row>
    <row r="15" spans="1:7" ht="16" customHeight="1" x14ac:dyDescent="0.2">
      <c r="A15" s="93" t="s">
        <v>44</v>
      </c>
      <c r="B15" s="65">
        <v>3.3694949225525413E-2</v>
      </c>
      <c r="C15" s="66">
        <v>-9.2473682099793786E-2</v>
      </c>
      <c r="D15" s="65">
        <v>7.2973376317986505E-2</v>
      </c>
      <c r="E15" s="66">
        <v>-5.7989421207506282E-2</v>
      </c>
      <c r="F15" s="65">
        <v>4.356385536127183E-2</v>
      </c>
      <c r="G15" s="67">
        <v>-8.3809334795217016E-2</v>
      </c>
    </row>
    <row r="16" spans="1:7" ht="16" customHeight="1" x14ac:dyDescent="0.2">
      <c r="A16" s="93" t="s">
        <v>45</v>
      </c>
      <c r="B16" s="65">
        <v>-9.2492094367075506E-2</v>
      </c>
      <c r="C16" s="66">
        <v>-9.4866958609828744E-2</v>
      </c>
      <c r="D16" s="65">
        <v>-8.4712574028321219E-2</v>
      </c>
      <c r="E16" s="66">
        <v>-8.7107796556179951E-2</v>
      </c>
      <c r="F16" s="65">
        <v>-9.041035608119885E-2</v>
      </c>
      <c r="G16" s="67">
        <v>-9.2790668040481417E-2</v>
      </c>
    </row>
    <row r="17" spans="1:7" ht="16" customHeight="1" x14ac:dyDescent="0.2">
      <c r="A17" s="93" t="s">
        <v>46</v>
      </c>
      <c r="B17" s="65">
        <v>-1.800790865081359E-2</v>
      </c>
      <c r="C17" s="66">
        <v>-4.0952317120729331E-2</v>
      </c>
      <c r="D17" s="65">
        <v>-2.8269344785672449E-2</v>
      </c>
      <c r="E17" s="66">
        <v>-5.0973993094340142E-2</v>
      </c>
      <c r="F17" s="65">
        <v>-3.3702400749498367E-2</v>
      </c>
      <c r="G17" s="67">
        <v>-5.6280104802329263E-2</v>
      </c>
    </row>
    <row r="18" spans="1:7" ht="16" customHeight="1" x14ac:dyDescent="0.2">
      <c r="A18" s="93" t="s">
        <v>47</v>
      </c>
      <c r="B18" s="65">
        <v>-8.010668726471748E-2</v>
      </c>
      <c r="C18" s="66">
        <v>-8.1236174035639541E-2</v>
      </c>
      <c r="D18" s="65">
        <v>-7.8639877098144906E-2</v>
      </c>
      <c r="E18" s="66">
        <v>-7.9771164885180212E-2</v>
      </c>
      <c r="F18" s="65">
        <v>-7.7812884368466451E-2</v>
      </c>
      <c r="G18" s="67">
        <v>-7.8945187574719133E-2</v>
      </c>
    </row>
    <row r="19" spans="1:7" ht="16" customHeight="1" x14ac:dyDescent="0.2">
      <c r="A19" s="93" t="s">
        <v>48</v>
      </c>
      <c r="B19" s="65">
        <v>-0.19376490842818589</v>
      </c>
      <c r="C19" s="66">
        <v>-0.2374671350378057</v>
      </c>
      <c r="D19" s="65">
        <v>-0.1098876129256896</v>
      </c>
      <c r="E19" s="66">
        <v>-0.1581364347080719</v>
      </c>
      <c r="F19" s="65">
        <v>-0.15095949649995319</v>
      </c>
      <c r="G19" s="67">
        <v>-0.19698200392066831</v>
      </c>
    </row>
    <row r="20" spans="1:7" ht="16" customHeight="1" x14ac:dyDescent="0.2">
      <c r="A20" s="93" t="s">
        <v>49</v>
      </c>
      <c r="B20" s="65">
        <v>-0.27355460831394218</v>
      </c>
      <c r="C20" s="66">
        <v>-0.2855606159971591</v>
      </c>
      <c r="D20" s="65">
        <v>-0.27362565682863899</v>
      </c>
      <c r="E20" s="66">
        <v>-0.28563049028868243</v>
      </c>
      <c r="F20" s="65">
        <v>-0.27138858056856868</v>
      </c>
      <c r="G20" s="67">
        <v>-0.28343038632559908</v>
      </c>
    </row>
    <row r="21" spans="1:7" ht="16" customHeight="1" x14ac:dyDescent="0.2">
      <c r="A21" s="93" t="s">
        <v>50</v>
      </c>
      <c r="B21" s="65">
        <v>-9.2205775861361805E-2</v>
      </c>
      <c r="C21" s="68">
        <v>-8.8992249958941394E-2</v>
      </c>
      <c r="D21" s="65">
        <v>-9.9164311637148672E-2</v>
      </c>
      <c r="E21" s="68">
        <v>-9.5975418448138172E-2</v>
      </c>
      <c r="F21" s="65">
        <v>-9.5244471758015647E-2</v>
      </c>
      <c r="G21" s="67">
        <v>-9.2041702619312993E-2</v>
      </c>
    </row>
    <row r="22" spans="1:7" ht="16" customHeight="1" x14ac:dyDescent="0.2">
      <c r="A22" s="92" t="s">
        <v>51</v>
      </c>
      <c r="B22" s="62"/>
      <c r="C22" s="62"/>
      <c r="D22" s="62"/>
      <c r="E22" s="62"/>
      <c r="F22" s="62"/>
      <c r="G22" s="64"/>
    </row>
    <row r="23" spans="1:7" ht="16" customHeight="1" x14ac:dyDescent="0.2">
      <c r="A23" s="93" t="s">
        <v>52</v>
      </c>
      <c r="B23" s="70">
        <v>5.3102767438950482E-2</v>
      </c>
      <c r="C23" s="70">
        <v>5.5106230134363672E-2</v>
      </c>
      <c r="D23" s="70">
        <v>5.6939367262695328E-2</v>
      </c>
      <c r="E23" s="70">
        <v>5.893471240917092E-2</v>
      </c>
      <c r="F23" s="70">
        <v>5.5414641565759593E-2</v>
      </c>
      <c r="G23" s="74">
        <v>5.7413212755093368E-2</v>
      </c>
    </row>
    <row r="24" spans="1:7" ht="16" customHeight="1" x14ac:dyDescent="0.2">
      <c r="A24" s="93" t="s">
        <v>53</v>
      </c>
      <c r="B24" s="70">
        <v>0.17132123066237159</v>
      </c>
      <c r="C24" s="70">
        <v>0.19065281809377871</v>
      </c>
      <c r="D24" s="70">
        <v>0.17551247741455031</v>
      </c>
      <c r="E24" s="70">
        <v>0.19510650702643831</v>
      </c>
      <c r="F24" s="70">
        <v>0.1655253035673708</v>
      </c>
      <c r="G24" s="74">
        <v>0.1852784000246768</v>
      </c>
    </row>
    <row r="25" spans="1:7" ht="16" customHeight="1" x14ac:dyDescent="0.2">
      <c r="A25" s="93" t="s">
        <v>54</v>
      </c>
      <c r="B25" s="75">
        <v>0.19407783094955511</v>
      </c>
      <c r="C25" s="75">
        <v>0.24433009294119579</v>
      </c>
      <c r="D25" s="75">
        <v>0.16602814305973071</v>
      </c>
      <c r="E25" s="75">
        <v>0.21676926188377171</v>
      </c>
      <c r="F25" s="75">
        <v>0.17272922259248519</v>
      </c>
      <c r="G25" s="76">
        <v>0.2260336824367104</v>
      </c>
    </row>
    <row r="26" spans="1:7" ht="16" customHeight="1" x14ac:dyDescent="0.2">
      <c r="A26" s="92" t="s">
        <v>55</v>
      </c>
      <c r="B26" s="62"/>
      <c r="C26" s="62"/>
      <c r="D26" s="62"/>
      <c r="E26" s="62"/>
      <c r="F26" s="62"/>
      <c r="G26" s="64"/>
    </row>
    <row r="27" spans="1:7" ht="16" customHeight="1" x14ac:dyDescent="0.2">
      <c r="A27" s="93" t="s">
        <v>52</v>
      </c>
      <c r="B27" s="70">
        <v>7.4840608538578102E-2</v>
      </c>
      <c r="C27" s="70">
        <v>7.6798077907340279E-2</v>
      </c>
      <c r="D27" s="70">
        <v>7.7402156980934889E-2</v>
      </c>
      <c r="E27" s="70">
        <v>7.9354206578078679E-2</v>
      </c>
      <c r="F27" s="70">
        <v>7.5215612340666649E-2</v>
      </c>
      <c r="G27" s="74">
        <v>7.7172288269441891E-2</v>
      </c>
    </row>
    <row r="28" spans="1:7" ht="16" customHeight="1" x14ac:dyDescent="0.2">
      <c r="A28" s="93" t="s">
        <v>53</v>
      </c>
      <c r="B28" s="70">
        <v>0.2092701813090129</v>
      </c>
      <c r="C28" s="70">
        <v>0.2273215691058684</v>
      </c>
      <c r="D28" s="70">
        <v>0.20897437306216241</v>
      </c>
      <c r="E28" s="70">
        <v>0.22706920257703339</v>
      </c>
      <c r="F28" s="70">
        <v>0.20251393598081571</v>
      </c>
      <c r="G28" s="74">
        <v>0.22068658793482651</v>
      </c>
    </row>
    <row r="29" spans="1:7" ht="16" customHeight="1" x14ac:dyDescent="0.2">
      <c r="A29" s="93" t="s">
        <v>54</v>
      </c>
      <c r="B29" s="75">
        <v>0.24381044598060661</v>
      </c>
      <c r="C29" s="75">
        <v>0.29139845881200183</v>
      </c>
      <c r="D29" s="75">
        <v>0.21919047525404869</v>
      </c>
      <c r="E29" s="75">
        <v>0.26792338198857391</v>
      </c>
      <c r="F29" s="75">
        <v>0.224107170930091</v>
      </c>
      <c r="G29" s="76">
        <v>0.27269427140150221</v>
      </c>
    </row>
    <row r="30" spans="1:7" ht="16" customHeight="1" x14ac:dyDescent="0.2">
      <c r="A30" s="92" t="s">
        <v>56</v>
      </c>
      <c r="B30" s="62"/>
      <c r="C30" s="62"/>
      <c r="D30" s="62"/>
      <c r="E30" s="62"/>
      <c r="F30" s="62"/>
      <c r="G30" s="64"/>
    </row>
    <row r="31" spans="1:7" ht="16" customHeight="1" x14ac:dyDescent="0.2">
      <c r="A31" s="93" t="s">
        <v>52</v>
      </c>
      <c r="B31" s="70">
        <v>0.34200000000000003</v>
      </c>
      <c r="C31" s="70">
        <v>0.38340000000000002</v>
      </c>
      <c r="D31" s="70">
        <v>0.31445000000000001</v>
      </c>
      <c r="E31" s="70">
        <v>0.35289999999999999</v>
      </c>
      <c r="F31" s="70">
        <v>0.32590000000000002</v>
      </c>
      <c r="G31" s="74">
        <v>0.36454999999999999</v>
      </c>
    </row>
    <row r="32" spans="1:7" ht="16" customHeight="1" x14ac:dyDescent="0.2">
      <c r="A32" s="93" t="s">
        <v>53</v>
      </c>
      <c r="B32" s="70">
        <v>0.18665000000000001</v>
      </c>
      <c r="C32" s="70">
        <v>0.2581</v>
      </c>
      <c r="D32" s="70">
        <v>0.15490000000000001</v>
      </c>
      <c r="E32" s="70">
        <v>0.22109999999999999</v>
      </c>
      <c r="F32" s="70">
        <v>0.17019999999999999</v>
      </c>
      <c r="G32" s="74">
        <v>0.23674999999999999</v>
      </c>
    </row>
    <row r="33" spans="1:7" ht="16" customHeight="1" x14ac:dyDescent="0.2">
      <c r="A33" s="94" t="s">
        <v>54</v>
      </c>
      <c r="B33" s="77">
        <v>0.1081</v>
      </c>
      <c r="C33" s="77">
        <v>0.19139999999999999</v>
      </c>
      <c r="D33" s="77">
        <v>8.1049999999999997E-2</v>
      </c>
      <c r="E33" s="77">
        <v>0.14879999999999999</v>
      </c>
      <c r="F33" s="77">
        <v>9.0649999999999994E-2</v>
      </c>
      <c r="G33" s="78">
        <v>0.16520000000000001</v>
      </c>
    </row>
    <row r="34" spans="1:7" ht="16" customHeight="1" x14ac:dyDescent="0.2">
      <c r="A34" s="69" t="s">
        <v>57</v>
      </c>
      <c r="B34" s="73"/>
      <c r="C34" s="73"/>
      <c r="D34" s="73"/>
      <c r="E34" s="73"/>
      <c r="F34" s="73"/>
      <c r="G34" s="73"/>
    </row>
    <row r="35" spans="1:7" ht="16" customHeight="1" x14ac:dyDescent="0.2"/>
    <row r="36" spans="1:7" ht="20" customHeight="1" x14ac:dyDescent="0.2"/>
  </sheetData>
  <mergeCells count="57">
    <mergeCell ref="B33:C33"/>
    <mergeCell ref="D33:E33"/>
    <mergeCell ref="F33:G33"/>
    <mergeCell ref="B31:C31"/>
    <mergeCell ref="D31:E31"/>
    <mergeCell ref="F31:G31"/>
    <mergeCell ref="B32:C32"/>
    <mergeCell ref="D32:E32"/>
    <mergeCell ref="F32:G32"/>
    <mergeCell ref="B28:C28"/>
    <mergeCell ref="D28:E28"/>
    <mergeCell ref="F28:G28"/>
    <mergeCell ref="B29:C29"/>
    <mergeCell ref="D29:E29"/>
    <mergeCell ref="F29:G29"/>
    <mergeCell ref="B25:C25"/>
    <mergeCell ref="D25:E25"/>
    <mergeCell ref="F25:G25"/>
    <mergeCell ref="B27:C27"/>
    <mergeCell ref="D27:E27"/>
    <mergeCell ref="F27:G27"/>
    <mergeCell ref="B23:C23"/>
    <mergeCell ref="D23:E23"/>
    <mergeCell ref="F23:G23"/>
    <mergeCell ref="B24:C24"/>
    <mergeCell ref="D24:E24"/>
    <mergeCell ref="F24:G24"/>
    <mergeCell ref="B1:C1"/>
    <mergeCell ref="D1:E1"/>
    <mergeCell ref="F1:G1"/>
    <mergeCell ref="B2:C2"/>
    <mergeCell ref="D2:E2"/>
    <mergeCell ref="F2:G2"/>
    <mergeCell ref="B3:C3"/>
    <mergeCell ref="D3:E3"/>
    <mergeCell ref="F3:G3"/>
    <mergeCell ref="B4:C4"/>
    <mergeCell ref="D4:E4"/>
    <mergeCell ref="F4:G4"/>
    <mergeCell ref="B5:C5"/>
    <mergeCell ref="D5:E5"/>
    <mergeCell ref="F5:G5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</mergeCells>
  <conditionalFormatting sqref="B13:G21">
    <cfRule type="cellIs" dxfId="1" priority="1" operator="lessThan">
      <formula>0</formula>
    </cfRule>
    <cfRule type="cellIs" dxfId="0" priority="2" operator="greaterThan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workbookViewId="0"/>
  </sheetViews>
  <sheetFormatPr baseColWidth="10" defaultColWidth="8.83203125" defaultRowHeight="15" x14ac:dyDescent="0.2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 x14ac:dyDescent="0.2">
      <c r="A1" s="7"/>
      <c r="B1" s="37" t="s">
        <v>58</v>
      </c>
      <c r="C1" s="38"/>
      <c r="D1" s="38"/>
      <c r="E1" s="38"/>
      <c r="F1" s="38"/>
      <c r="G1" s="38"/>
      <c r="H1" s="9"/>
      <c r="I1" s="37" t="s">
        <v>59</v>
      </c>
      <c r="J1" s="38"/>
    </row>
    <row r="2" spans="1:10" ht="49" customHeight="1" x14ac:dyDescent="0.2">
      <c r="A2" s="10"/>
      <c r="B2" s="39" t="s">
        <v>60</v>
      </c>
      <c r="C2" s="38"/>
      <c r="D2" s="38"/>
      <c r="E2" s="8" t="s">
        <v>38</v>
      </c>
      <c r="F2" s="8" t="s">
        <v>37</v>
      </c>
      <c r="G2" s="11" t="s">
        <v>61</v>
      </c>
      <c r="H2" s="8" t="s">
        <v>62</v>
      </c>
      <c r="I2" s="8" t="s">
        <v>63</v>
      </c>
      <c r="J2" s="8" t="s">
        <v>64</v>
      </c>
    </row>
    <row r="3" spans="1:10" ht="17" customHeight="1" x14ac:dyDescent="0.2">
      <c r="A3" s="12" t="s">
        <v>2</v>
      </c>
      <c r="B3" s="13"/>
      <c r="C3" s="13"/>
      <c r="D3" s="13"/>
      <c r="E3" s="13"/>
      <c r="F3" s="14"/>
      <c r="G3" s="13"/>
      <c r="H3" s="13"/>
      <c r="I3" s="13"/>
      <c r="J3" s="13"/>
    </row>
    <row r="4" spans="1:10" ht="17" customHeight="1" x14ac:dyDescent="0.2">
      <c r="A4" s="15" t="s">
        <v>65</v>
      </c>
      <c r="B4" s="16">
        <v>5.7327167405640464E-3</v>
      </c>
      <c r="C4" s="17">
        <v>1.08673517608701E-2</v>
      </c>
      <c r="D4" s="18">
        <v>1.6001986781176161E-2</v>
      </c>
      <c r="E4" s="17">
        <v>3.2110810353131201E-2</v>
      </c>
      <c r="F4" s="19">
        <v>0.33843280942956339</v>
      </c>
      <c r="G4" s="17">
        <v>3.5867351760870102E-2</v>
      </c>
      <c r="H4" s="20">
        <v>0</v>
      </c>
      <c r="I4" s="21">
        <v>26723</v>
      </c>
      <c r="J4" s="21">
        <v>45777</v>
      </c>
    </row>
    <row r="5" spans="1:10" ht="17" customHeight="1" x14ac:dyDescent="0.2">
      <c r="A5" s="15" t="s">
        <v>66</v>
      </c>
      <c r="B5" s="16">
        <v>4.383045164846216E-4</v>
      </c>
      <c r="C5" s="17">
        <v>3.090125303729937E-3</v>
      </c>
      <c r="D5" s="18">
        <v>5.7419460909752511E-3</v>
      </c>
      <c r="E5" s="17">
        <v>1.4730739161551419E-2</v>
      </c>
      <c r="F5" s="19">
        <v>0.20977394751482981</v>
      </c>
      <c r="G5" s="17">
        <v>2.8090125303729941E-2</v>
      </c>
      <c r="H5" s="20">
        <v>0</v>
      </c>
      <c r="I5" s="21">
        <v>33662</v>
      </c>
      <c r="J5" s="21">
        <v>45777</v>
      </c>
    </row>
    <row r="6" spans="1:10" ht="17" customHeight="1" x14ac:dyDescent="0.2">
      <c r="A6" s="15" t="s">
        <v>67</v>
      </c>
      <c r="B6" s="16">
        <v>-2.1149896547376069E-2</v>
      </c>
      <c r="C6" s="17">
        <v>1.9683612310258999E-2</v>
      </c>
      <c r="D6" s="18">
        <v>6.0517121167894067E-2</v>
      </c>
      <c r="E6" s="17">
        <v>4.6212231292721478E-2</v>
      </c>
      <c r="F6" s="19">
        <v>0.42593944848880749</v>
      </c>
      <c r="G6" s="17">
        <v>4.4683612310258997E-2</v>
      </c>
      <c r="H6" s="20">
        <v>0</v>
      </c>
      <c r="I6" s="21">
        <v>36585</v>
      </c>
      <c r="J6" s="21">
        <v>45777</v>
      </c>
    </row>
    <row r="7" spans="1:10" ht="17" customHeight="1" x14ac:dyDescent="0.2">
      <c r="A7" s="15" t="s">
        <v>68</v>
      </c>
      <c r="B7" s="16">
        <v>6.4340696993407213E-3</v>
      </c>
      <c r="C7" s="17">
        <v>1.994219801661444E-2</v>
      </c>
      <c r="D7" s="18">
        <v>3.3450326333888163E-2</v>
      </c>
      <c r="E7" s="17">
        <v>4.2238342638410448E-2</v>
      </c>
      <c r="F7" s="19">
        <v>0.47213495537297723</v>
      </c>
      <c r="G7" s="17">
        <v>4.4942198016614442E-2</v>
      </c>
      <c r="H7" s="20">
        <v>0</v>
      </c>
      <c r="I7" s="21">
        <v>26723</v>
      </c>
      <c r="J7" s="21">
        <v>45777</v>
      </c>
    </row>
    <row r="8" spans="1:10" ht="17" customHeight="1" x14ac:dyDescent="0.2">
      <c r="A8" s="22" t="s">
        <v>7</v>
      </c>
      <c r="B8" s="23"/>
      <c r="C8" s="24"/>
      <c r="D8" s="25"/>
      <c r="E8" s="24"/>
      <c r="F8" s="26"/>
      <c r="G8" s="24"/>
      <c r="H8" s="27"/>
      <c r="I8" s="28"/>
      <c r="J8" s="28"/>
    </row>
    <row r="9" spans="1:10" ht="17" customHeight="1" x14ac:dyDescent="0.2">
      <c r="A9" s="15" t="s">
        <v>69</v>
      </c>
      <c r="B9" s="16">
        <v>1.327514440503154E-2</v>
      </c>
      <c r="C9" s="17">
        <v>3.2957299522559658E-2</v>
      </c>
      <c r="D9" s="18">
        <v>5.2639454640087777E-2</v>
      </c>
      <c r="E9" s="17">
        <v>8.205840633533279E-2</v>
      </c>
      <c r="F9" s="19">
        <v>0.40163221532574261</v>
      </c>
      <c r="G9" s="17">
        <v>5.7957299522559659E-2</v>
      </c>
      <c r="H9" s="20">
        <v>0</v>
      </c>
      <c r="I9" s="21">
        <v>30559</v>
      </c>
      <c r="J9" s="21">
        <v>45777</v>
      </c>
    </row>
    <row r="10" spans="1:10" ht="17" customHeight="1" x14ac:dyDescent="0.2">
      <c r="A10" s="15" t="s">
        <v>70</v>
      </c>
      <c r="B10" s="16">
        <v>1.3082760297439501E-2</v>
      </c>
      <c r="C10" s="17">
        <v>4.711068434546873E-2</v>
      </c>
      <c r="D10" s="18">
        <v>8.1138608393497957E-2</v>
      </c>
      <c r="E10" s="17">
        <v>0.1220196208482812</v>
      </c>
      <c r="F10" s="19">
        <v>0.38609105665101201</v>
      </c>
      <c r="G10" s="17">
        <v>7.2110684345468731E-2</v>
      </c>
      <c r="H10" s="20">
        <v>0</v>
      </c>
      <c r="I10" s="21">
        <v>34365</v>
      </c>
      <c r="J10" s="21">
        <v>45107</v>
      </c>
    </row>
    <row r="11" spans="1:10" ht="17" customHeight="1" x14ac:dyDescent="0.2">
      <c r="A11" s="22" t="s">
        <v>10</v>
      </c>
      <c r="B11" s="23"/>
      <c r="C11" s="24"/>
      <c r="D11" s="25"/>
      <c r="E11" s="24"/>
      <c r="F11" s="26"/>
      <c r="G11" s="24"/>
      <c r="H11" s="27"/>
      <c r="I11" s="28"/>
      <c r="J11" s="28"/>
    </row>
    <row r="12" spans="1:10" ht="17" customHeight="1" x14ac:dyDescent="0.2">
      <c r="A12" s="15" t="s">
        <v>71</v>
      </c>
      <c r="B12" s="16">
        <v>2.1935921675440812E-2</v>
      </c>
      <c r="C12" s="17">
        <v>4.6797853363938761E-2</v>
      </c>
      <c r="D12" s="18">
        <v>7.1659785052436711E-2</v>
      </c>
      <c r="E12" s="17">
        <v>0.1469643018055917</v>
      </c>
      <c r="F12" s="19">
        <v>0.31843007307886378</v>
      </c>
      <c r="G12" s="17">
        <v>7.1797853363938763E-2</v>
      </c>
      <c r="H12" s="20">
        <v>0.7</v>
      </c>
      <c r="I12" s="21">
        <v>32171</v>
      </c>
      <c r="J12" s="21">
        <v>45777</v>
      </c>
    </row>
    <row r="13" spans="1:10" ht="17" customHeight="1" x14ac:dyDescent="0.2">
      <c r="A13" s="15" t="s">
        <v>72</v>
      </c>
      <c r="B13" s="16">
        <v>1.7176160239301099E-2</v>
      </c>
      <c r="C13" s="17">
        <v>4.424482346715447E-2</v>
      </c>
      <c r="D13" s="18">
        <v>7.1313486695007838E-2</v>
      </c>
      <c r="E13" s="17">
        <v>0.16928110917035849</v>
      </c>
      <c r="F13" s="19">
        <v>0.26136893646312331</v>
      </c>
      <c r="G13" s="17">
        <v>6.9244823467154465E-2</v>
      </c>
      <c r="H13" s="20">
        <v>0</v>
      </c>
      <c r="I13" s="21">
        <v>28886</v>
      </c>
      <c r="J13" s="21">
        <v>45777</v>
      </c>
    </row>
    <row r="14" spans="1:10" ht="17" customHeight="1" x14ac:dyDescent="0.2">
      <c r="A14" s="15" t="s">
        <v>73</v>
      </c>
      <c r="B14" s="16">
        <v>3.8328393380117107E-2</v>
      </c>
      <c r="C14" s="17">
        <v>6.1473144644885618E-2</v>
      </c>
      <c r="D14" s="18">
        <v>8.4617895909654142E-2</v>
      </c>
      <c r="E14" s="17">
        <v>0.14474187855499729</v>
      </c>
      <c r="F14" s="19">
        <v>0.42470876610550412</v>
      </c>
      <c r="G14" s="17">
        <v>8.6473144644885619E-2</v>
      </c>
      <c r="H14" s="20">
        <v>0</v>
      </c>
      <c r="I14" s="21">
        <v>28886</v>
      </c>
      <c r="J14" s="21">
        <v>45777</v>
      </c>
    </row>
    <row r="15" spans="1:10" ht="17" customHeight="1" x14ac:dyDescent="0.2">
      <c r="A15" s="15" t="s">
        <v>74</v>
      </c>
      <c r="B15" s="16">
        <v>3.9548088591888853E-2</v>
      </c>
      <c r="C15" s="17">
        <v>7.0287620802001793E-2</v>
      </c>
      <c r="D15" s="18">
        <v>0.10102715301211471</v>
      </c>
      <c r="E15" s="17">
        <v>0.19223786797684969</v>
      </c>
      <c r="F15" s="19">
        <v>0.36562838290771188</v>
      </c>
      <c r="G15" s="17">
        <v>9.5287620802001788E-2</v>
      </c>
      <c r="H15" s="20">
        <v>0</v>
      </c>
      <c r="I15" s="21">
        <v>28886</v>
      </c>
      <c r="J15" s="21">
        <v>45777</v>
      </c>
    </row>
    <row r="16" spans="1:10" ht="17" customHeight="1" x14ac:dyDescent="0.2">
      <c r="A16" s="15" t="s">
        <v>75</v>
      </c>
      <c r="B16" s="16">
        <v>2.1019364331575061E-2</v>
      </c>
      <c r="C16" s="17">
        <v>4.7103364879311882E-2</v>
      </c>
      <c r="D16" s="18">
        <v>7.3187365427048678E-2</v>
      </c>
      <c r="E16" s="17">
        <v>0.16312325832838301</v>
      </c>
      <c r="F16" s="19">
        <v>0.2887593428552549</v>
      </c>
      <c r="G16" s="17">
        <v>7.2103364879311876E-2</v>
      </c>
      <c r="H16" s="20">
        <v>0.7</v>
      </c>
      <c r="I16" s="21">
        <v>25626</v>
      </c>
      <c r="J16" s="21">
        <v>45777</v>
      </c>
    </row>
    <row r="17" spans="1:10" ht="17" customHeight="1" x14ac:dyDescent="0.2">
      <c r="A17" s="15" t="s">
        <v>76</v>
      </c>
      <c r="B17" s="16">
        <v>2.537093070079656E-2</v>
      </c>
      <c r="C17" s="17">
        <v>4.9088970154403527E-2</v>
      </c>
      <c r="D17" s="18">
        <v>7.2807009608010495E-2</v>
      </c>
      <c r="E17" s="17">
        <v>0.1483270892343698</v>
      </c>
      <c r="F17" s="19">
        <v>0.3309508088359952</v>
      </c>
      <c r="G17" s="17">
        <v>7.4088970154403522E-2</v>
      </c>
      <c r="H17" s="20">
        <v>0.7</v>
      </c>
      <c r="I17" s="21">
        <v>25598</v>
      </c>
      <c r="J17" s="21">
        <v>45777</v>
      </c>
    </row>
    <row r="18" spans="1:10" ht="17" customHeight="1" x14ac:dyDescent="0.2">
      <c r="A18" s="15" t="s">
        <v>77</v>
      </c>
      <c r="B18" s="16">
        <v>-1.5284258244867221E-3</v>
      </c>
      <c r="C18" s="17">
        <v>2.794593789750548E-2</v>
      </c>
      <c r="D18" s="18">
        <v>5.7420301619497682E-2</v>
      </c>
      <c r="E18" s="17">
        <v>0.18432579920737729</v>
      </c>
      <c r="F18" s="19">
        <v>0.1516116464308106</v>
      </c>
      <c r="G18" s="17">
        <v>5.2945937897505492E-2</v>
      </c>
      <c r="H18" s="20">
        <v>0.7</v>
      </c>
      <c r="I18" s="21">
        <v>25598</v>
      </c>
      <c r="J18" s="21">
        <v>45777</v>
      </c>
    </row>
    <row r="19" spans="1:10" ht="17" customHeight="1" x14ac:dyDescent="0.2">
      <c r="A19" s="15" t="s">
        <v>78</v>
      </c>
      <c r="B19" s="16">
        <v>2.752917685078872E-2</v>
      </c>
      <c r="C19" s="17">
        <v>5.6461831660523182E-2</v>
      </c>
      <c r="D19" s="18">
        <v>8.5394486470257644E-2</v>
      </c>
      <c r="E19" s="17">
        <v>0.17102723419765431</v>
      </c>
      <c r="F19" s="19">
        <v>0.33013357156481221</v>
      </c>
      <c r="G19" s="17">
        <v>8.1461831660523176E-2</v>
      </c>
      <c r="H19" s="20">
        <v>0.7</v>
      </c>
      <c r="I19" s="21">
        <v>25626</v>
      </c>
      <c r="J19" s="21">
        <v>45777</v>
      </c>
    </row>
    <row r="20" spans="1:10" ht="17" customHeight="1" x14ac:dyDescent="0.2">
      <c r="A20" s="15" t="s">
        <v>79</v>
      </c>
      <c r="B20" s="16">
        <v>3.5868022051295953E-2</v>
      </c>
      <c r="C20" s="17">
        <v>7.5245769473422777E-2</v>
      </c>
      <c r="D20" s="18">
        <v>0.1146235168955496</v>
      </c>
      <c r="E20" s="17">
        <v>0.23277045521153711</v>
      </c>
      <c r="F20" s="19">
        <v>0.32326168458553273</v>
      </c>
      <c r="G20" s="17">
        <v>0.1002457694734228</v>
      </c>
      <c r="H20" s="20">
        <v>0</v>
      </c>
      <c r="I20" s="21">
        <v>32171</v>
      </c>
      <c r="J20" s="21">
        <v>45777</v>
      </c>
    </row>
    <row r="21" spans="1:10" ht="17" customHeight="1" x14ac:dyDescent="0.2">
      <c r="A21" s="15" t="s">
        <v>80</v>
      </c>
      <c r="B21" s="16">
        <v>-1.2018142784793099E-2</v>
      </c>
      <c r="C21" s="17">
        <v>5.8342310196128892E-2</v>
      </c>
      <c r="D21" s="18">
        <v>0.1287027631770509</v>
      </c>
      <c r="E21" s="17">
        <v>0.1356219911958427</v>
      </c>
      <c r="F21" s="19">
        <v>0.43018325923176148</v>
      </c>
      <c r="G21" s="17">
        <v>8.3342310196128894E-2</v>
      </c>
      <c r="H21" s="20">
        <v>0.7</v>
      </c>
      <c r="I21" s="21">
        <v>32720</v>
      </c>
      <c r="J21" s="21">
        <v>44925</v>
      </c>
    </row>
    <row r="22" spans="1:10" ht="17" customHeight="1" x14ac:dyDescent="0.2">
      <c r="A22" s="15" t="s">
        <v>81</v>
      </c>
      <c r="B22" s="16">
        <v>1.6888386115265861E-2</v>
      </c>
      <c r="C22" s="17">
        <v>4.5625590064520903E-2</v>
      </c>
      <c r="D22" s="18">
        <v>7.4362794013775935E-2</v>
      </c>
      <c r="E22" s="17">
        <v>0.1405898501681038</v>
      </c>
      <c r="F22" s="19">
        <v>0.3245297580868477</v>
      </c>
      <c r="G22" s="17">
        <v>7.0625590064520904E-2</v>
      </c>
      <c r="H22" s="20">
        <v>0.7</v>
      </c>
      <c r="I22" s="21">
        <v>36189</v>
      </c>
      <c r="J22" s="21">
        <v>45777</v>
      </c>
    </row>
    <row r="23" spans="1:10" ht="17" customHeight="1" x14ac:dyDescent="0.2">
      <c r="A23" s="22" t="s">
        <v>22</v>
      </c>
      <c r="B23" s="23"/>
      <c r="C23" s="24"/>
      <c r="D23" s="25"/>
      <c r="E23" s="24"/>
      <c r="F23" s="26"/>
      <c r="G23" s="24"/>
      <c r="H23" s="27"/>
      <c r="I23" s="28"/>
      <c r="J23" s="28"/>
    </row>
    <row r="24" spans="1:10" ht="17" customHeight="1" x14ac:dyDescent="0.2">
      <c r="A24" s="15" t="s">
        <v>82</v>
      </c>
      <c r="B24" s="16">
        <v>5.3661960981587313E-3</v>
      </c>
      <c r="C24" s="17">
        <v>1.5035468559470929E-2</v>
      </c>
      <c r="D24" s="18">
        <v>2.4704741020783131E-2</v>
      </c>
      <c r="E24" s="17">
        <v>5.5490336347120132E-2</v>
      </c>
      <c r="F24" s="19">
        <v>0.27095652232879741</v>
      </c>
      <c r="G24" s="17">
        <v>4.0035468559470933E-2</v>
      </c>
      <c r="H24" s="20">
        <v>1</v>
      </c>
      <c r="I24" s="21">
        <v>32904</v>
      </c>
      <c r="J24" s="21">
        <v>45777</v>
      </c>
    </row>
    <row r="25" spans="1:10" ht="17" customHeight="1" x14ac:dyDescent="0.2">
      <c r="A25" s="15" t="s">
        <v>83</v>
      </c>
      <c r="B25" s="16">
        <v>7.8845227205770647E-3</v>
      </c>
      <c r="C25" s="17">
        <v>1.9381268325582329E-2</v>
      </c>
      <c r="D25" s="18">
        <v>3.0878013930587589E-2</v>
      </c>
      <c r="E25" s="17">
        <v>6.1838706545769943E-2</v>
      </c>
      <c r="F25" s="19">
        <v>0.31341645723519901</v>
      </c>
      <c r="G25" s="17">
        <v>4.4381268325582333E-2</v>
      </c>
      <c r="H25" s="20">
        <v>1</v>
      </c>
      <c r="I25" s="21">
        <v>34365</v>
      </c>
      <c r="J25" s="21">
        <v>45777</v>
      </c>
    </row>
    <row r="26" spans="1:10" ht="17" customHeight="1" x14ac:dyDescent="0.2">
      <c r="A26" s="15" t="s">
        <v>84</v>
      </c>
      <c r="B26" s="16">
        <v>4.352380054283532E-3</v>
      </c>
      <c r="C26" s="17">
        <v>2.0773446286426561E-2</v>
      </c>
      <c r="D26" s="18">
        <v>3.7194512518569589E-2</v>
      </c>
      <c r="E26" s="17">
        <v>8.8325647168886814E-2</v>
      </c>
      <c r="F26" s="19">
        <v>0.2351915548006776</v>
      </c>
      <c r="G26" s="17">
        <v>4.5773446286426558E-2</v>
      </c>
      <c r="H26" s="20">
        <v>1</v>
      </c>
      <c r="I26" s="21">
        <v>34365</v>
      </c>
      <c r="J26" s="21">
        <v>45777</v>
      </c>
    </row>
    <row r="27" spans="1:10" ht="17" customHeight="1" x14ac:dyDescent="0.2">
      <c r="A27" s="15" t="s">
        <v>85</v>
      </c>
      <c r="B27" s="16">
        <v>1.069289996815624E-2</v>
      </c>
      <c r="C27" s="17">
        <v>2.7968658495309971E-2</v>
      </c>
      <c r="D27" s="18">
        <v>4.5244417022463707E-2</v>
      </c>
      <c r="E27" s="17">
        <v>7.3138510600272974E-2</v>
      </c>
      <c r="F27" s="19">
        <v>0.38240672753330018</v>
      </c>
      <c r="G27" s="17">
        <v>5.2968658495309982E-2</v>
      </c>
      <c r="H27" s="20">
        <v>1</v>
      </c>
      <c r="I27" s="21">
        <v>38383</v>
      </c>
      <c r="J27" s="21">
        <v>45777</v>
      </c>
    </row>
    <row r="28" spans="1:10" ht="17" customHeight="1" x14ac:dyDescent="0.2">
      <c r="A28" s="22" t="s">
        <v>27</v>
      </c>
      <c r="B28" s="23"/>
      <c r="C28" s="24"/>
      <c r="D28" s="25"/>
      <c r="E28" s="24"/>
      <c r="F28" s="26"/>
      <c r="G28" s="24"/>
      <c r="H28" s="27"/>
      <c r="I28" s="28"/>
      <c r="J28" s="28"/>
    </row>
    <row r="29" spans="1:10" ht="17" customHeight="1" x14ac:dyDescent="0.2">
      <c r="A29" s="15" t="s">
        <v>86</v>
      </c>
      <c r="B29" s="16">
        <v>1.8093277361216731E-2</v>
      </c>
      <c r="C29" s="17">
        <v>6.5301867527006729E-2</v>
      </c>
      <c r="D29" s="18">
        <v>0.1125104576927967</v>
      </c>
      <c r="E29" s="17">
        <v>0.1377719846412887</v>
      </c>
      <c r="F29" s="19">
        <v>0.47398509716638371</v>
      </c>
      <c r="G29" s="17">
        <v>9.0301867527006724E-2</v>
      </c>
      <c r="H29" s="20">
        <v>0</v>
      </c>
      <c r="I29" s="21">
        <v>25598</v>
      </c>
      <c r="J29" s="21">
        <v>45777</v>
      </c>
    </row>
    <row r="30" spans="1:10" ht="17" customHeight="1" x14ac:dyDescent="0.2">
      <c r="A30" s="15" t="s">
        <v>87</v>
      </c>
      <c r="B30" s="16">
        <v>1.3496497215615419E-2</v>
      </c>
      <c r="C30" s="17">
        <v>6.7090635723618383E-2</v>
      </c>
      <c r="D30" s="18">
        <v>0.1206847742316214</v>
      </c>
      <c r="E30" s="17">
        <v>0.15640735725123131</v>
      </c>
      <c r="F30" s="19">
        <v>0.4289480808492479</v>
      </c>
      <c r="G30" s="17">
        <v>9.2090635723618391E-2</v>
      </c>
      <c r="H30" s="20">
        <v>0</v>
      </c>
      <c r="I30" s="21">
        <v>28886</v>
      </c>
      <c r="J30" s="21">
        <v>45777</v>
      </c>
    </row>
    <row r="31" spans="1:10" ht="17" customHeight="1" x14ac:dyDescent="0.2">
      <c r="A31" s="15" t="s">
        <v>88</v>
      </c>
      <c r="B31" s="16">
        <v>4.8618709169252214E-3</v>
      </c>
      <c r="C31" s="17">
        <v>6.2172068187196533E-2</v>
      </c>
      <c r="D31" s="18">
        <v>0.1194822654574678</v>
      </c>
      <c r="E31" s="17">
        <v>0.16725217996089919</v>
      </c>
      <c r="F31" s="19">
        <v>0.37172650426279252</v>
      </c>
      <c r="G31" s="17">
        <v>8.7172068187196528E-2</v>
      </c>
      <c r="H31" s="20">
        <v>0</v>
      </c>
      <c r="I31" s="21">
        <v>30680</v>
      </c>
      <c r="J31" s="21">
        <v>44925</v>
      </c>
    </row>
    <row r="32" spans="1:10" ht="17" customHeight="1" x14ac:dyDescent="0.2">
      <c r="A32" s="22" t="s">
        <v>31</v>
      </c>
      <c r="B32" s="23"/>
      <c r="C32" s="24"/>
      <c r="D32" s="25"/>
      <c r="E32" s="24"/>
      <c r="F32" s="26"/>
      <c r="G32" s="24"/>
      <c r="H32" s="27"/>
      <c r="I32" s="28"/>
      <c r="J32" s="28"/>
    </row>
    <row r="33" spans="1:10" ht="17" customHeight="1" x14ac:dyDescent="0.2">
      <c r="A33" s="15" t="s">
        <v>89</v>
      </c>
      <c r="B33" s="16">
        <v>2.0469028338070811E-2</v>
      </c>
      <c r="C33" s="17">
        <v>5.9395006840754223E-2</v>
      </c>
      <c r="D33" s="18">
        <v>9.8320985343437611E-2</v>
      </c>
      <c r="E33" s="17">
        <v>0.1136002853206385</v>
      </c>
      <c r="F33" s="19">
        <v>0.52284205689370356</v>
      </c>
      <c r="G33" s="17">
        <v>8.4395006840754211E-2</v>
      </c>
      <c r="H33" s="20">
        <v>0</v>
      </c>
      <c r="I33" s="21">
        <v>30589</v>
      </c>
      <c r="J33" s="21">
        <v>45777</v>
      </c>
    </row>
    <row r="34" spans="1:10" ht="17" customHeight="1" x14ac:dyDescent="0.2">
      <c r="A34" s="15" t="s">
        <v>90</v>
      </c>
      <c r="B34" s="16">
        <v>2.899500491554419E-2</v>
      </c>
      <c r="C34" s="17">
        <v>7.8592057555021813E-2</v>
      </c>
      <c r="D34" s="18">
        <v>0.12818911019449941</v>
      </c>
      <c r="E34" s="17">
        <v>0.14474239435031749</v>
      </c>
      <c r="F34" s="19">
        <v>0.54297884118737738</v>
      </c>
      <c r="G34" s="17">
        <v>0.10359205755502179</v>
      </c>
      <c r="H34" s="20">
        <v>0</v>
      </c>
      <c r="I34" s="21">
        <v>32720</v>
      </c>
      <c r="J34" s="21">
        <v>44925</v>
      </c>
    </row>
    <row r="35" spans="1:10" ht="17" customHeight="1" x14ac:dyDescent="0.2">
      <c r="A35" s="29" t="s">
        <v>91</v>
      </c>
      <c r="B35" s="30">
        <v>1.0324018166474019E-2</v>
      </c>
      <c r="C35" s="31">
        <v>6.0402182003979593E-2</v>
      </c>
      <c r="D35" s="32">
        <v>0.11048034584148519</v>
      </c>
      <c r="E35" s="31">
        <v>0.14614645332248091</v>
      </c>
      <c r="F35" s="33">
        <v>0.41329899310453039</v>
      </c>
      <c r="G35" s="31">
        <v>8.5402182003979588E-2</v>
      </c>
      <c r="H35" s="34">
        <v>0</v>
      </c>
      <c r="I35" s="35">
        <v>36189</v>
      </c>
      <c r="J35" s="35">
        <v>45777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89.456903357182568</v>
      </c>
      <c r="C4" s="36">
        <v>97.025265613165288</v>
      </c>
      <c r="D4" s="36">
        <v>106.3967716051538</v>
      </c>
      <c r="E4" s="36">
        <v>115.1468750861214</v>
      </c>
      <c r="F4" s="36">
        <v>86.70380523586735</v>
      </c>
      <c r="G4" s="36">
        <v>94.656688850760474</v>
      </c>
      <c r="H4" s="36">
        <v>104.0428106961856</v>
      </c>
      <c r="I4" s="36">
        <v>112.7577902260052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89.980738266643627</v>
      </c>
      <c r="C5" s="36">
        <v>99.192368947115298</v>
      </c>
      <c r="D5" s="36">
        <v>111.90510917957231</v>
      </c>
      <c r="E5" s="36">
        <v>125.37894161320349</v>
      </c>
      <c r="F5" s="36">
        <v>85.100894859473641</v>
      </c>
      <c r="G5" s="36">
        <v>94.400289959351397</v>
      </c>
      <c r="H5" s="36">
        <v>106.9281453903247</v>
      </c>
      <c r="I5" s="36">
        <v>120.0687988303105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90.8898661257616</v>
      </c>
      <c r="C6" s="36">
        <v>102.4088840698504</v>
      </c>
      <c r="D6" s="36">
        <v>117.8612498854892</v>
      </c>
      <c r="E6" s="36">
        <v>134.9170317398123</v>
      </c>
      <c r="F6" s="36">
        <v>84.218811499977932</v>
      </c>
      <c r="G6" s="36">
        <v>95.332301272175343</v>
      </c>
      <c r="H6" s="36">
        <v>110.172532673408</v>
      </c>
      <c r="I6" s="36">
        <v>126.4571433231085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90.42786853539711</v>
      </c>
      <c r="C7" s="36">
        <v>105.398121567084</v>
      </c>
      <c r="D7" s="36">
        <v>124.98892317916609</v>
      </c>
      <c r="E7" s="36">
        <v>147.082820183048</v>
      </c>
      <c r="F7" s="36">
        <v>82.13829188916705</v>
      </c>
      <c r="G7" s="36">
        <v>96.009494279172088</v>
      </c>
      <c r="H7" s="36">
        <v>114.3523511006908</v>
      </c>
      <c r="I7" s="36">
        <v>134.9815228122057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91.369198231432648</v>
      </c>
      <c r="C8" s="36">
        <v>109.1866393454906</v>
      </c>
      <c r="D8" s="36">
        <v>132.898534851976</v>
      </c>
      <c r="E8" s="36">
        <v>159.97581582226579</v>
      </c>
      <c r="F8" s="36">
        <v>81.549877876853301</v>
      </c>
      <c r="G8" s="36">
        <v>97.32633481900659</v>
      </c>
      <c r="H8" s="36">
        <v>118.94104161299239</v>
      </c>
      <c r="I8" s="36">
        <v>143.81494842674709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92.173075244339728</v>
      </c>
      <c r="C9" s="36">
        <v>113.09197920309791</v>
      </c>
      <c r="D9" s="36">
        <v>140.7688812629919</v>
      </c>
      <c r="E9" s="36">
        <v>172.9234416891949</v>
      </c>
      <c r="F9" s="36">
        <v>80.40280160608043</v>
      </c>
      <c r="G9" s="36">
        <v>98.598670542218926</v>
      </c>
      <c r="H9" s="36">
        <v>123.44725259105221</v>
      </c>
      <c r="I9" s="36">
        <v>152.12768802624149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91.064145706205579</v>
      </c>
      <c r="C10" s="36">
        <v>116.0626830575069</v>
      </c>
      <c r="D10" s="36">
        <v>149.36102878932289</v>
      </c>
      <c r="E10" s="36">
        <v>187.42408538105241</v>
      </c>
      <c r="F10" s="36">
        <v>78.25787929641443</v>
      </c>
      <c r="G10" s="36">
        <v>99.337505925042677</v>
      </c>
      <c r="H10" s="36">
        <v>128.2246174574569</v>
      </c>
      <c r="I10" s="36">
        <v>161.49801238406221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92.498179650755802</v>
      </c>
      <c r="C11" s="36">
        <v>119.33159211006409</v>
      </c>
      <c r="D11" s="36">
        <v>158.2136613573862</v>
      </c>
      <c r="E11" s="36">
        <v>202.8969653662061</v>
      </c>
      <c r="F11" s="36">
        <v>77.685825880984837</v>
      </c>
      <c r="G11" s="36">
        <v>100.2398836893494</v>
      </c>
      <c r="H11" s="36">
        <v>133.08611384272001</v>
      </c>
      <c r="I11" s="36">
        <v>171.48035918072711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91.512380784642389</v>
      </c>
      <c r="C12" s="36">
        <v>122.4295446271361</v>
      </c>
      <c r="D12" s="36">
        <v>166.8426238446261</v>
      </c>
      <c r="E12" s="36">
        <v>219.07229317005891</v>
      </c>
      <c r="F12" s="36">
        <v>76.198094733240652</v>
      </c>
      <c r="G12" s="36">
        <v>100.9225431869304</v>
      </c>
      <c r="H12" s="36">
        <v>137.65238528149089</v>
      </c>
      <c r="I12" s="36">
        <v>181.19234999553399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92.934747749398539</v>
      </c>
      <c r="C13" s="36">
        <v>126.25256184610031</v>
      </c>
      <c r="D13" s="36">
        <v>175.8287661816199</v>
      </c>
      <c r="E13" s="36">
        <v>235.5684906843498</v>
      </c>
      <c r="F13" s="36">
        <v>75.423080243046371</v>
      </c>
      <c r="G13" s="36">
        <v>101.92611202814849</v>
      </c>
      <c r="H13" s="36">
        <v>141.9303377299826</v>
      </c>
      <c r="I13" s="36">
        <v>191.00776799537371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93.814016252111855</v>
      </c>
      <c r="C14" s="36">
        <v>129.33699057122999</v>
      </c>
      <c r="D14" s="36">
        <v>185.18393079225339</v>
      </c>
      <c r="E14" s="36">
        <v>253.54931883777991</v>
      </c>
      <c r="F14" s="36">
        <v>75.678130435135131</v>
      </c>
      <c r="G14" s="36">
        <v>102.6938700582825</v>
      </c>
      <c r="H14" s="36">
        <v>146.89472652466119</v>
      </c>
      <c r="I14" s="36">
        <v>201.21541603913079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95.92752207205757</v>
      </c>
      <c r="C15" s="36">
        <v>133.53381482939361</v>
      </c>
      <c r="D15" s="36">
        <v>194.80417584260289</v>
      </c>
      <c r="E15" s="36">
        <v>273.48578434558391</v>
      </c>
      <c r="F15" s="36">
        <v>75.064350566601632</v>
      </c>
      <c r="G15" s="36">
        <v>103.8231447508433</v>
      </c>
      <c r="H15" s="36">
        <v>151.2647476460927</v>
      </c>
      <c r="I15" s="36">
        <v>212.8758606443985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97.112830179337351</v>
      </c>
      <c r="C16" s="36">
        <v>137.38246120196499</v>
      </c>
      <c r="D16" s="36">
        <v>204.20383875683149</v>
      </c>
      <c r="E16" s="36">
        <v>293.87272469413108</v>
      </c>
      <c r="F16" s="36">
        <v>74.024301538455532</v>
      </c>
      <c r="G16" s="36">
        <v>104.99812825737681</v>
      </c>
      <c r="H16" s="36">
        <v>156.01683448409241</v>
      </c>
      <c r="I16" s="36">
        <v>223.60113739748229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98.468382394765342</v>
      </c>
      <c r="C17" s="36">
        <v>142.37204958074079</v>
      </c>
      <c r="D17" s="36">
        <v>215.6296724950476</v>
      </c>
      <c r="E17" s="36">
        <v>314.9033622075309</v>
      </c>
      <c r="F17" s="36">
        <v>74.633923165407225</v>
      </c>
      <c r="G17" s="36">
        <v>106.68681910779129</v>
      </c>
      <c r="H17" s="36">
        <v>161.2031090108153</v>
      </c>
      <c r="I17" s="36">
        <v>235.23014222444101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99.308266105457449</v>
      </c>
      <c r="C18" s="36">
        <v>146.59654335179761</v>
      </c>
      <c r="D18" s="36">
        <v>226.1906998647797</v>
      </c>
      <c r="E18" s="36">
        <v>338.17804620613862</v>
      </c>
      <c r="F18" s="36">
        <v>74.182997099231969</v>
      </c>
      <c r="G18" s="36">
        <v>108.1823758828707</v>
      </c>
      <c r="H18" s="36">
        <v>165.70740200275449</v>
      </c>
      <c r="I18" s="36">
        <v>247.3015784953663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100.8967731299779</v>
      </c>
      <c r="C19" s="36">
        <v>151.4291687475654</v>
      </c>
      <c r="D19" s="36">
        <v>237.695043221585</v>
      </c>
      <c r="E19" s="36">
        <v>362.59622389555551</v>
      </c>
      <c r="F19" s="36">
        <v>73.312668878138098</v>
      </c>
      <c r="G19" s="36">
        <v>109.6351805549494</v>
      </c>
      <c r="H19" s="36">
        <v>170.96418675985419</v>
      </c>
      <c r="I19" s="36">
        <v>259.80425289121058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103.00293094916751</v>
      </c>
      <c r="C20" s="36">
        <v>156.48495492891101</v>
      </c>
      <c r="D20" s="36">
        <v>249.60345768630489</v>
      </c>
      <c r="E20" s="36">
        <v>390.14871332644481</v>
      </c>
      <c r="F20" s="36">
        <v>73.94485093469126</v>
      </c>
      <c r="G20" s="36">
        <v>110.85121285783841</v>
      </c>
      <c r="H20" s="36">
        <v>176.09562331023659</v>
      </c>
      <c r="I20" s="36">
        <v>272.99269968346641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105.1794933587548</v>
      </c>
      <c r="C21" s="36">
        <v>161.88677722153639</v>
      </c>
      <c r="D21" s="36">
        <v>263.31841545216491</v>
      </c>
      <c r="E21" s="36">
        <v>418.65926805038453</v>
      </c>
      <c r="F21" s="36">
        <v>74.576581864937339</v>
      </c>
      <c r="G21" s="36">
        <v>112.4313657577416</v>
      </c>
      <c r="H21" s="36">
        <v>181.90767396690319</v>
      </c>
      <c r="I21" s="36">
        <v>287.57515692195602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107.9186017702071</v>
      </c>
      <c r="C22" s="36">
        <v>167.6515969034825</v>
      </c>
      <c r="D22" s="36">
        <v>277.03201954530692</v>
      </c>
      <c r="E22" s="36">
        <v>445.76435801146158</v>
      </c>
      <c r="F22" s="36">
        <v>74.864305403667643</v>
      </c>
      <c r="G22" s="36">
        <v>113.57045695861591</v>
      </c>
      <c r="H22" s="36">
        <v>187.911553553403</v>
      </c>
      <c r="I22" s="36">
        <v>299.87145958742929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110.67117834453801</v>
      </c>
      <c r="C23" s="36">
        <v>173.23977525078459</v>
      </c>
      <c r="D23" s="36">
        <v>290.67048422949279</v>
      </c>
      <c r="E23" s="36">
        <v>475.19458292480039</v>
      </c>
      <c r="F23" s="36">
        <v>75.081858895213188</v>
      </c>
      <c r="G23" s="36">
        <v>115.6684166229964</v>
      </c>
      <c r="H23" s="36">
        <v>193.38003253472721</v>
      </c>
      <c r="I23" s="36">
        <v>313.2132588407361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89.446560433306118</v>
      </c>
      <c r="C4" s="36">
        <v>98.858175026421335</v>
      </c>
      <c r="D4" s="36">
        <v>108.48365176377</v>
      </c>
      <c r="E4" s="36">
        <v>117.8356037813021</v>
      </c>
      <c r="F4" s="36">
        <v>86.462851019670865</v>
      </c>
      <c r="G4" s="36">
        <v>96.379696345544232</v>
      </c>
      <c r="H4" s="36">
        <v>106.1321206961444</v>
      </c>
      <c r="I4" s="36">
        <v>115.57243768367699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91.985033550386575</v>
      </c>
      <c r="C5" s="36">
        <v>102.58062169853351</v>
      </c>
      <c r="D5" s="36">
        <v>116.741268996798</v>
      </c>
      <c r="E5" s="36">
        <v>130.3741768702406</v>
      </c>
      <c r="F5" s="36">
        <v>86.749517589110752</v>
      </c>
      <c r="G5" s="36">
        <v>97.463528734861796</v>
      </c>
      <c r="H5" s="36">
        <v>111.55131000440871</v>
      </c>
      <c r="I5" s="36">
        <v>125.097428900534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94.708050875976056</v>
      </c>
      <c r="C6" s="36">
        <v>108.14586110724041</v>
      </c>
      <c r="D6" s="36">
        <v>125.15531171836059</v>
      </c>
      <c r="E6" s="36">
        <v>143.18542371900031</v>
      </c>
      <c r="F6" s="36">
        <v>87.317404582042926</v>
      </c>
      <c r="G6" s="36">
        <v>100.4370036894929</v>
      </c>
      <c r="H6" s="36">
        <v>117.0043663893933</v>
      </c>
      <c r="I6" s="36">
        <v>134.4807084785335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96.13809859503715</v>
      </c>
      <c r="C7" s="36">
        <v>112.819240549293</v>
      </c>
      <c r="D7" s="36">
        <v>134.66200611352519</v>
      </c>
      <c r="E7" s="36">
        <v>158.31421517115641</v>
      </c>
      <c r="F7" s="36">
        <v>86.953393469421343</v>
      </c>
      <c r="G7" s="36">
        <v>102.37128783873359</v>
      </c>
      <c r="H7" s="36">
        <v>123.3497754742065</v>
      </c>
      <c r="I7" s="36">
        <v>145.79844719015611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99.274995222119742</v>
      </c>
      <c r="C8" s="36">
        <v>118.7562051613415</v>
      </c>
      <c r="D8" s="36">
        <v>145.3465814306374</v>
      </c>
      <c r="E8" s="36">
        <v>174.8362234168813</v>
      </c>
      <c r="F8" s="36">
        <v>87.67985405110484</v>
      </c>
      <c r="G8" s="36">
        <v>105.5654319052789</v>
      </c>
      <c r="H8" s="36">
        <v>130.06268836939299</v>
      </c>
      <c r="I8" s="36">
        <v>157.5592946179367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102.04907931623291</v>
      </c>
      <c r="C9" s="36">
        <v>125.1214650642746</v>
      </c>
      <c r="D9" s="36">
        <v>156.21164596289159</v>
      </c>
      <c r="E9" s="36">
        <v>191.49952664401289</v>
      </c>
      <c r="F9" s="36">
        <v>88.638802866553561</v>
      </c>
      <c r="G9" s="36">
        <v>108.6897131606401</v>
      </c>
      <c r="H9" s="36">
        <v>136.9614051112639</v>
      </c>
      <c r="I9" s="36">
        <v>169.07401405165299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102.2015107283851</v>
      </c>
      <c r="C10" s="36">
        <v>130.05536831993311</v>
      </c>
      <c r="D10" s="36">
        <v>167.30604758594791</v>
      </c>
      <c r="E10" s="36">
        <v>209.97519192327479</v>
      </c>
      <c r="F10" s="36">
        <v>87.406930938506704</v>
      </c>
      <c r="G10" s="36">
        <v>110.9007647660333</v>
      </c>
      <c r="H10" s="36">
        <v>143.6469756673921</v>
      </c>
      <c r="I10" s="36">
        <v>181.50179595183721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104.34468019387749</v>
      </c>
      <c r="C11" s="36">
        <v>135.34179960997849</v>
      </c>
      <c r="D11" s="36">
        <v>178.94989036721341</v>
      </c>
      <c r="E11" s="36">
        <v>229.65758566962799</v>
      </c>
      <c r="F11" s="36">
        <v>87.427485326462914</v>
      </c>
      <c r="G11" s="36">
        <v>113.2384801105795</v>
      </c>
      <c r="H11" s="36">
        <v>150.66486381779549</v>
      </c>
      <c r="I11" s="36">
        <v>194.51833363699271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105.00371544340869</v>
      </c>
      <c r="C12" s="36">
        <v>140.2732769153462</v>
      </c>
      <c r="D12" s="36">
        <v>190.6360913756063</v>
      </c>
      <c r="E12" s="36">
        <v>250.50891005114761</v>
      </c>
      <c r="F12" s="36">
        <v>86.943496965912658</v>
      </c>
      <c r="G12" s="36">
        <v>114.9645900168229</v>
      </c>
      <c r="H12" s="36">
        <v>157.06760210266239</v>
      </c>
      <c r="I12" s="36">
        <v>208.7626980137529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107.7766126622341</v>
      </c>
      <c r="C13" s="36">
        <v>146.2720273108209</v>
      </c>
      <c r="D13" s="36">
        <v>203.03647193071541</v>
      </c>
      <c r="E13" s="36">
        <v>272.55817518201161</v>
      </c>
      <c r="F13" s="36">
        <v>86.923584673752345</v>
      </c>
      <c r="G13" s="36">
        <v>117.9484156572494</v>
      </c>
      <c r="H13" s="36">
        <v>163.9129648619307</v>
      </c>
      <c r="I13" s="36">
        <v>222.26538177933159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110.1244437782657</v>
      </c>
      <c r="C14" s="36">
        <v>152.6268327342645</v>
      </c>
      <c r="D14" s="36">
        <v>216.03297469322641</v>
      </c>
      <c r="E14" s="36">
        <v>295.78322878211281</v>
      </c>
      <c r="F14" s="36">
        <v>87.372800531113228</v>
      </c>
      <c r="G14" s="36">
        <v>120.4161980577114</v>
      </c>
      <c r="H14" s="36">
        <v>170.97199168793429</v>
      </c>
      <c r="I14" s="36">
        <v>236.00644492616229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113.5482175087263</v>
      </c>
      <c r="C15" s="36">
        <v>158.99956843788661</v>
      </c>
      <c r="D15" s="36">
        <v>229.2267327633283</v>
      </c>
      <c r="E15" s="36">
        <v>322.25684371006548</v>
      </c>
      <c r="F15" s="36">
        <v>88.414018101650768</v>
      </c>
      <c r="G15" s="36">
        <v>122.9996968837776</v>
      </c>
      <c r="H15" s="36">
        <v>178.0986815006778</v>
      </c>
      <c r="I15" s="36">
        <v>251.90173153071501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116.40225318058</v>
      </c>
      <c r="C16" s="36">
        <v>165.53237988743919</v>
      </c>
      <c r="D16" s="36">
        <v>243.62794512377309</v>
      </c>
      <c r="E16" s="36">
        <v>347.85396132402241</v>
      </c>
      <c r="F16" s="36">
        <v>88.947434760689362</v>
      </c>
      <c r="G16" s="36">
        <v>125.671198115306</v>
      </c>
      <c r="H16" s="36">
        <v>185.7978931291162</v>
      </c>
      <c r="I16" s="36">
        <v>267.13298105093111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119.3651124863491</v>
      </c>
      <c r="C17" s="36">
        <v>173.13971182530111</v>
      </c>
      <c r="D17" s="36">
        <v>259.1391798813296</v>
      </c>
      <c r="E17" s="36">
        <v>378.22431759716</v>
      </c>
      <c r="F17" s="36">
        <v>89.997895930526582</v>
      </c>
      <c r="G17" s="36">
        <v>128.97960781396111</v>
      </c>
      <c r="H17" s="36">
        <v>193.68762746404539</v>
      </c>
      <c r="I17" s="36">
        <v>283.86514381852749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122.8719035681774</v>
      </c>
      <c r="C18" s="36">
        <v>180.54816034496119</v>
      </c>
      <c r="D18" s="36">
        <v>275.20599003812549</v>
      </c>
      <c r="E18" s="36">
        <v>410.14700054880598</v>
      </c>
      <c r="F18" s="36">
        <v>90.685189558918253</v>
      </c>
      <c r="G18" s="36">
        <v>131.88616317528229</v>
      </c>
      <c r="H18" s="36">
        <v>201.34586350369429</v>
      </c>
      <c r="I18" s="36">
        <v>302.08827364893688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125.47627140873951</v>
      </c>
      <c r="C19" s="36">
        <v>188.42441134122899</v>
      </c>
      <c r="D19" s="36">
        <v>292.09681363946908</v>
      </c>
      <c r="E19" s="36">
        <v>444.28572890116311</v>
      </c>
      <c r="F19" s="36">
        <v>91.069022716297553</v>
      </c>
      <c r="G19" s="36">
        <v>135.1688043470873</v>
      </c>
      <c r="H19" s="36">
        <v>210.25393280885851</v>
      </c>
      <c r="I19" s="36">
        <v>319.86295737695212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130.80421838189241</v>
      </c>
      <c r="C20" s="36">
        <v>197.07251332540861</v>
      </c>
      <c r="D20" s="36">
        <v>310.02659663084489</v>
      </c>
      <c r="E20" s="36">
        <v>480.15148175674142</v>
      </c>
      <c r="F20" s="36">
        <v>93.375906382456208</v>
      </c>
      <c r="G20" s="36">
        <v>138.31608088057979</v>
      </c>
      <c r="H20" s="36">
        <v>218.7703297665808</v>
      </c>
      <c r="I20" s="36">
        <v>339.52214303507571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136.1086813374103</v>
      </c>
      <c r="C21" s="36">
        <v>205.66061205582139</v>
      </c>
      <c r="D21" s="36">
        <v>330.14531950277558</v>
      </c>
      <c r="E21" s="36">
        <v>518.83828705523467</v>
      </c>
      <c r="F21" s="36">
        <v>94.585901563012229</v>
      </c>
      <c r="G21" s="36">
        <v>141.5240231960955</v>
      </c>
      <c r="H21" s="36">
        <v>228.5537705621492</v>
      </c>
      <c r="I21" s="36">
        <v>358.84000000154418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141.4834482767682</v>
      </c>
      <c r="C22" s="36">
        <v>214.62147020633691</v>
      </c>
      <c r="D22" s="36">
        <v>350.97323890564792</v>
      </c>
      <c r="E22" s="36">
        <v>559.71321391758181</v>
      </c>
      <c r="F22" s="36">
        <v>97.03414926575698</v>
      </c>
      <c r="G22" s="36">
        <v>145.01906660579249</v>
      </c>
      <c r="H22" s="36">
        <v>238.69794325154811</v>
      </c>
      <c r="I22" s="36">
        <v>378.97772774903387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145.49740433556741</v>
      </c>
      <c r="C23" s="36">
        <v>224.8128402379343</v>
      </c>
      <c r="D23" s="36">
        <v>373.66774769142347</v>
      </c>
      <c r="E23" s="36">
        <v>603.63565748309179</v>
      </c>
      <c r="F23" s="36">
        <v>98.279846491800896</v>
      </c>
      <c r="G23" s="36">
        <v>149.01081121998629</v>
      </c>
      <c r="H23" s="36">
        <v>248.85259191909631</v>
      </c>
      <c r="I23" s="36">
        <v>400.07936915436238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6"/>
      <c r="B1" s="36" t="s">
        <v>92</v>
      </c>
      <c r="C1" s="36" t="s">
        <v>92</v>
      </c>
      <c r="D1" s="36" t="s">
        <v>92</v>
      </c>
      <c r="E1" s="36" t="s">
        <v>92</v>
      </c>
      <c r="F1" s="36" t="s">
        <v>93</v>
      </c>
      <c r="G1" s="36" t="s">
        <v>93</v>
      </c>
      <c r="H1" s="36" t="s">
        <v>93</v>
      </c>
      <c r="I1" s="36" t="s">
        <v>93</v>
      </c>
      <c r="J1" s="36" t="s">
        <v>94</v>
      </c>
      <c r="K1" s="36" t="s">
        <v>94</v>
      </c>
      <c r="L1" s="36" t="s">
        <v>94</v>
      </c>
      <c r="M1" s="36" t="s">
        <v>94</v>
      </c>
      <c r="N1" s="36" t="s">
        <v>95</v>
      </c>
      <c r="O1" s="36" t="s">
        <v>95</v>
      </c>
      <c r="P1" s="36" t="s">
        <v>95</v>
      </c>
      <c r="Q1" s="36" t="s">
        <v>95</v>
      </c>
    </row>
    <row r="2" spans="1:17" x14ac:dyDescent="0.2">
      <c r="A2" s="36"/>
      <c r="B2" s="36" t="s">
        <v>96</v>
      </c>
      <c r="C2" s="36" t="s">
        <v>97</v>
      </c>
      <c r="D2" s="36" t="s">
        <v>98</v>
      </c>
      <c r="E2" s="36" t="s">
        <v>99</v>
      </c>
      <c r="F2" s="36" t="s">
        <v>96</v>
      </c>
      <c r="G2" s="36" t="s">
        <v>97</v>
      </c>
      <c r="H2" s="36" t="s">
        <v>98</v>
      </c>
      <c r="I2" s="36" t="s">
        <v>99</v>
      </c>
      <c r="J2" s="36" t="s">
        <v>96</v>
      </c>
      <c r="K2" s="36" t="s">
        <v>97</v>
      </c>
      <c r="L2" s="36" t="s">
        <v>98</v>
      </c>
      <c r="M2" s="36" t="s">
        <v>99</v>
      </c>
      <c r="N2" s="36" t="s">
        <v>96</v>
      </c>
      <c r="O2" s="36" t="s">
        <v>97</v>
      </c>
      <c r="P2" s="36" t="s">
        <v>98</v>
      </c>
      <c r="Q2" s="36" t="s">
        <v>99</v>
      </c>
    </row>
    <row r="3" spans="1:17" x14ac:dyDescent="0.2">
      <c r="A3" s="36">
        <v>0</v>
      </c>
      <c r="B3" s="36">
        <v>100</v>
      </c>
      <c r="C3" s="36">
        <v>100</v>
      </c>
      <c r="D3" s="36">
        <v>100</v>
      </c>
      <c r="E3" s="36">
        <v>100</v>
      </c>
      <c r="F3" s="36">
        <v>100</v>
      </c>
      <c r="G3" s="36">
        <v>100</v>
      </c>
      <c r="H3" s="36">
        <v>100</v>
      </c>
      <c r="I3" s="36">
        <v>100</v>
      </c>
      <c r="J3" s="36">
        <v>0</v>
      </c>
      <c r="K3" s="36">
        <v>0</v>
      </c>
      <c r="L3" s="36">
        <v>0</v>
      </c>
      <c r="M3" s="36">
        <v>0</v>
      </c>
      <c r="N3" s="36">
        <v>0</v>
      </c>
      <c r="O3" s="36">
        <v>0</v>
      </c>
      <c r="P3" s="36">
        <v>0</v>
      </c>
      <c r="Q3" s="36">
        <v>0</v>
      </c>
    </row>
    <row r="4" spans="1:17" x14ac:dyDescent="0.2">
      <c r="A4" s="36">
        <v>1</v>
      </c>
      <c r="B4" s="36">
        <v>88.78870287021401</v>
      </c>
      <c r="C4" s="36">
        <v>97.955454560520309</v>
      </c>
      <c r="D4" s="36">
        <v>107.9202328797786</v>
      </c>
      <c r="E4" s="36">
        <v>116.8880475873022</v>
      </c>
      <c r="F4" s="36">
        <v>85.794805975418853</v>
      </c>
      <c r="G4" s="36">
        <v>95.48558101555183</v>
      </c>
      <c r="H4" s="36">
        <v>105.5817610592929</v>
      </c>
      <c r="I4" s="36">
        <v>114.5878754944319</v>
      </c>
      <c r="J4" s="36">
        <v>0</v>
      </c>
      <c r="K4" s="36">
        <v>0</v>
      </c>
      <c r="L4" s="36">
        <v>0</v>
      </c>
      <c r="M4" s="36">
        <v>0</v>
      </c>
      <c r="N4" s="36">
        <v>0</v>
      </c>
      <c r="O4" s="36">
        <v>0</v>
      </c>
      <c r="P4" s="36">
        <v>0</v>
      </c>
      <c r="Q4" s="36">
        <v>0</v>
      </c>
    </row>
    <row r="5" spans="1:17" x14ac:dyDescent="0.2">
      <c r="A5" s="36">
        <v>2</v>
      </c>
      <c r="B5" s="36">
        <v>90.980495654495485</v>
      </c>
      <c r="C5" s="36">
        <v>101.02782095219651</v>
      </c>
      <c r="D5" s="36">
        <v>115.0732719894862</v>
      </c>
      <c r="E5" s="36">
        <v>128.958030302748</v>
      </c>
      <c r="F5" s="36">
        <v>85.574298025145694</v>
      </c>
      <c r="G5" s="36">
        <v>95.986304525704142</v>
      </c>
      <c r="H5" s="36">
        <v>109.9623937888615</v>
      </c>
      <c r="I5" s="36">
        <v>123.5975143463035</v>
      </c>
      <c r="J5" s="36">
        <v>0</v>
      </c>
      <c r="K5" s="36">
        <v>0</v>
      </c>
      <c r="L5" s="36">
        <v>0</v>
      </c>
      <c r="M5" s="36">
        <v>0</v>
      </c>
      <c r="N5" s="36">
        <v>0</v>
      </c>
      <c r="O5" s="36">
        <v>0</v>
      </c>
      <c r="P5" s="36">
        <v>0</v>
      </c>
      <c r="Q5" s="36">
        <v>0</v>
      </c>
    </row>
    <row r="6" spans="1:17" x14ac:dyDescent="0.2">
      <c r="A6" s="36">
        <v>3</v>
      </c>
      <c r="B6" s="36">
        <v>92.629258798450564</v>
      </c>
      <c r="C6" s="36">
        <v>105.57390591220781</v>
      </c>
      <c r="D6" s="36">
        <v>122.4509134155564</v>
      </c>
      <c r="E6" s="36">
        <v>140.85665151766671</v>
      </c>
      <c r="F6" s="36">
        <v>85.394518053763477</v>
      </c>
      <c r="G6" s="36">
        <v>98.172932110591617</v>
      </c>
      <c r="H6" s="36">
        <v>114.50076126591441</v>
      </c>
      <c r="I6" s="36">
        <v>132.16006270302</v>
      </c>
      <c r="J6" s="36">
        <v>0</v>
      </c>
      <c r="K6" s="36">
        <v>0</v>
      </c>
      <c r="L6" s="36">
        <v>0</v>
      </c>
      <c r="M6" s="36">
        <v>0</v>
      </c>
      <c r="N6" s="36">
        <v>0</v>
      </c>
      <c r="O6" s="36">
        <v>0</v>
      </c>
      <c r="P6" s="36">
        <v>0</v>
      </c>
      <c r="Q6" s="36">
        <v>0</v>
      </c>
    </row>
    <row r="7" spans="1:17" x14ac:dyDescent="0.2">
      <c r="A7" s="36">
        <v>4</v>
      </c>
      <c r="B7" s="36">
        <v>93.598860530473843</v>
      </c>
      <c r="C7" s="36">
        <v>109.8425668688603</v>
      </c>
      <c r="D7" s="36">
        <v>131.12578764206981</v>
      </c>
      <c r="E7" s="36">
        <v>154.81514385478201</v>
      </c>
      <c r="F7" s="36">
        <v>84.406626053492005</v>
      </c>
      <c r="G7" s="36">
        <v>99.733647780275092</v>
      </c>
      <c r="H7" s="36">
        <v>120.00778248059621</v>
      </c>
      <c r="I7" s="36">
        <v>142.40923659349949</v>
      </c>
      <c r="J7" s="36">
        <v>0</v>
      </c>
      <c r="K7" s="36">
        <v>0</v>
      </c>
      <c r="L7" s="36">
        <v>0</v>
      </c>
      <c r="M7" s="36">
        <v>0</v>
      </c>
      <c r="N7" s="36">
        <v>0</v>
      </c>
      <c r="O7" s="36">
        <v>0</v>
      </c>
      <c r="P7" s="36">
        <v>0</v>
      </c>
      <c r="Q7" s="36">
        <v>0</v>
      </c>
    </row>
    <row r="8" spans="1:17" x14ac:dyDescent="0.2">
      <c r="A8" s="36">
        <v>5</v>
      </c>
      <c r="B8" s="36">
        <v>95.68006208892497</v>
      </c>
      <c r="C8" s="36">
        <v>114.83679547673481</v>
      </c>
      <c r="D8" s="36">
        <v>140.7102376622349</v>
      </c>
      <c r="E8" s="36">
        <v>169.88756742584869</v>
      </c>
      <c r="F8" s="36">
        <v>84.642110335260597</v>
      </c>
      <c r="G8" s="36">
        <v>102.19148038768211</v>
      </c>
      <c r="H8" s="36">
        <v>126.0177897925422</v>
      </c>
      <c r="I8" s="36">
        <v>153.17421028907569</v>
      </c>
      <c r="J8" s="36">
        <v>0</v>
      </c>
      <c r="K8" s="36">
        <v>0</v>
      </c>
      <c r="L8" s="36">
        <v>0</v>
      </c>
      <c r="M8" s="36">
        <v>0</v>
      </c>
      <c r="N8" s="36">
        <v>0</v>
      </c>
      <c r="O8" s="36">
        <v>0</v>
      </c>
      <c r="P8" s="36">
        <v>0</v>
      </c>
      <c r="Q8" s="36">
        <v>0</v>
      </c>
    </row>
    <row r="9" spans="1:17" x14ac:dyDescent="0.2">
      <c r="A9" s="36">
        <v>6</v>
      </c>
      <c r="B9" s="36">
        <v>97.957408754182183</v>
      </c>
      <c r="C9" s="36">
        <v>120.17276861227219</v>
      </c>
      <c r="D9" s="36">
        <v>150.47222436516969</v>
      </c>
      <c r="E9" s="36">
        <v>185.2074390816224</v>
      </c>
      <c r="F9" s="36">
        <v>85.10961864352717</v>
      </c>
      <c r="G9" s="36">
        <v>104.7035731638496</v>
      </c>
      <c r="H9" s="36">
        <v>132.06060501547589</v>
      </c>
      <c r="I9" s="36">
        <v>163.4520000675835</v>
      </c>
      <c r="J9" s="36">
        <v>0</v>
      </c>
      <c r="K9" s="36">
        <v>0</v>
      </c>
      <c r="L9" s="36">
        <v>0</v>
      </c>
      <c r="M9" s="36">
        <v>0</v>
      </c>
      <c r="N9" s="36">
        <v>0</v>
      </c>
      <c r="O9" s="36">
        <v>0</v>
      </c>
      <c r="P9" s="36">
        <v>0</v>
      </c>
      <c r="Q9" s="36">
        <v>0</v>
      </c>
    </row>
    <row r="10" spans="1:17" x14ac:dyDescent="0.2">
      <c r="A10" s="36">
        <v>7</v>
      </c>
      <c r="B10" s="36">
        <v>97.889818939353745</v>
      </c>
      <c r="C10" s="36">
        <v>124.4139595771961</v>
      </c>
      <c r="D10" s="36">
        <v>160.70684275515049</v>
      </c>
      <c r="E10" s="36">
        <v>202.4667945083302</v>
      </c>
      <c r="F10" s="36">
        <v>83.409706520407113</v>
      </c>
      <c r="G10" s="36">
        <v>106.3827021299914</v>
      </c>
      <c r="H10" s="36">
        <v>138.04066903452511</v>
      </c>
      <c r="I10" s="36">
        <v>174.8637560084394</v>
      </c>
      <c r="J10" s="36">
        <v>0</v>
      </c>
      <c r="K10" s="36">
        <v>0</v>
      </c>
      <c r="L10" s="36">
        <v>0</v>
      </c>
      <c r="M10" s="36">
        <v>0</v>
      </c>
      <c r="N10" s="36">
        <v>0</v>
      </c>
      <c r="O10" s="36">
        <v>0</v>
      </c>
      <c r="P10" s="36">
        <v>0</v>
      </c>
      <c r="Q10" s="36">
        <v>0</v>
      </c>
    </row>
    <row r="11" spans="1:17" x14ac:dyDescent="0.2">
      <c r="A11" s="36">
        <v>8</v>
      </c>
      <c r="B11" s="36">
        <v>99.72214500946869</v>
      </c>
      <c r="C11" s="36">
        <v>129.17913946608309</v>
      </c>
      <c r="D11" s="36">
        <v>170.98270815070981</v>
      </c>
      <c r="E11" s="36">
        <v>219.9550756354574</v>
      </c>
      <c r="F11" s="36">
        <v>83.865829370544958</v>
      </c>
      <c r="G11" s="36">
        <v>108.153167677909</v>
      </c>
      <c r="H11" s="36">
        <v>143.9804036234373</v>
      </c>
      <c r="I11" s="36">
        <v>186.33388348056721</v>
      </c>
      <c r="J11" s="36">
        <v>0</v>
      </c>
      <c r="K11" s="36">
        <v>0</v>
      </c>
      <c r="L11" s="36">
        <v>0</v>
      </c>
      <c r="M11" s="36">
        <v>0</v>
      </c>
      <c r="N11" s="36">
        <v>0</v>
      </c>
      <c r="O11" s="36">
        <v>0</v>
      </c>
      <c r="P11" s="36">
        <v>0</v>
      </c>
      <c r="Q11" s="36">
        <v>0</v>
      </c>
    </row>
    <row r="12" spans="1:17" x14ac:dyDescent="0.2">
      <c r="A12" s="36">
        <v>9</v>
      </c>
      <c r="B12" s="36">
        <v>100.1780445967311</v>
      </c>
      <c r="C12" s="36">
        <v>133.2313096062289</v>
      </c>
      <c r="D12" s="36">
        <v>181.71047130623049</v>
      </c>
      <c r="E12" s="36">
        <v>239.21557644643369</v>
      </c>
      <c r="F12" s="36">
        <v>82.605368645305987</v>
      </c>
      <c r="G12" s="36">
        <v>109.348983238637</v>
      </c>
      <c r="H12" s="36">
        <v>149.82209337476451</v>
      </c>
      <c r="I12" s="36">
        <v>199.0154407013074</v>
      </c>
      <c r="J12" s="36">
        <v>0</v>
      </c>
      <c r="K12" s="36">
        <v>0</v>
      </c>
      <c r="L12" s="36">
        <v>0</v>
      </c>
      <c r="M12" s="36">
        <v>0</v>
      </c>
      <c r="N12" s="36">
        <v>0</v>
      </c>
      <c r="O12" s="36">
        <v>0</v>
      </c>
      <c r="P12" s="36">
        <v>0</v>
      </c>
      <c r="Q12" s="36">
        <v>0</v>
      </c>
    </row>
    <row r="13" spans="1:17" x14ac:dyDescent="0.2">
      <c r="A13" s="36">
        <v>10</v>
      </c>
      <c r="B13" s="36">
        <v>102.2060291956479</v>
      </c>
      <c r="C13" s="36">
        <v>138.7120258510536</v>
      </c>
      <c r="D13" s="36">
        <v>192.89801288143349</v>
      </c>
      <c r="E13" s="36">
        <v>258.63495377587782</v>
      </c>
      <c r="F13" s="36">
        <v>82.688842536913057</v>
      </c>
      <c r="G13" s="36">
        <v>111.49685227354441</v>
      </c>
      <c r="H13" s="36">
        <v>155.7562548024398</v>
      </c>
      <c r="I13" s="36">
        <v>210.65332118535849</v>
      </c>
      <c r="J13" s="36">
        <v>0</v>
      </c>
      <c r="K13" s="36">
        <v>0</v>
      </c>
      <c r="L13" s="36">
        <v>0</v>
      </c>
      <c r="M13" s="36">
        <v>0</v>
      </c>
      <c r="N13" s="36">
        <v>0</v>
      </c>
      <c r="O13" s="36">
        <v>0</v>
      </c>
      <c r="P13" s="36">
        <v>0</v>
      </c>
      <c r="Q13" s="36">
        <v>0</v>
      </c>
    </row>
    <row r="14" spans="1:17" x14ac:dyDescent="0.2">
      <c r="A14" s="36">
        <v>11</v>
      </c>
      <c r="B14" s="36">
        <v>104.0099910468406</v>
      </c>
      <c r="C14" s="36">
        <v>143.43723205751081</v>
      </c>
      <c r="D14" s="36">
        <v>204.31601522643211</v>
      </c>
      <c r="E14" s="36">
        <v>279.144213746795</v>
      </c>
      <c r="F14" s="36">
        <v>82.500059701241454</v>
      </c>
      <c r="G14" s="36">
        <v>113.28729621316501</v>
      </c>
      <c r="H14" s="36">
        <v>161.84638509495741</v>
      </c>
      <c r="I14" s="36">
        <v>222.89019120129419</v>
      </c>
      <c r="J14" s="36">
        <v>0</v>
      </c>
      <c r="K14" s="36">
        <v>0</v>
      </c>
      <c r="L14" s="36">
        <v>0</v>
      </c>
      <c r="M14" s="36">
        <v>0</v>
      </c>
      <c r="N14" s="36">
        <v>0</v>
      </c>
      <c r="O14" s="36">
        <v>0</v>
      </c>
      <c r="P14" s="36">
        <v>0</v>
      </c>
      <c r="Q14" s="36">
        <v>0</v>
      </c>
    </row>
    <row r="15" spans="1:17" x14ac:dyDescent="0.2">
      <c r="A15" s="36">
        <v>12</v>
      </c>
      <c r="B15" s="36">
        <v>106.949243522123</v>
      </c>
      <c r="C15" s="36">
        <v>148.86968964460789</v>
      </c>
      <c r="D15" s="36">
        <v>216.1115119081702</v>
      </c>
      <c r="E15" s="36">
        <v>303.05194342946248</v>
      </c>
      <c r="F15" s="36">
        <v>82.943296375087726</v>
      </c>
      <c r="G15" s="36">
        <v>115.4296873992722</v>
      </c>
      <c r="H15" s="36">
        <v>167.98589924875819</v>
      </c>
      <c r="I15" s="36">
        <v>236.70380005659331</v>
      </c>
      <c r="J15" s="36">
        <v>0</v>
      </c>
      <c r="K15" s="36">
        <v>0</v>
      </c>
      <c r="L15" s="36">
        <v>0</v>
      </c>
      <c r="M15" s="36">
        <v>0</v>
      </c>
      <c r="N15" s="36">
        <v>0</v>
      </c>
      <c r="O15" s="36">
        <v>0</v>
      </c>
      <c r="P15" s="36">
        <v>0</v>
      </c>
      <c r="Q15" s="36">
        <v>0</v>
      </c>
    </row>
    <row r="16" spans="1:17" x14ac:dyDescent="0.2">
      <c r="A16" s="36">
        <v>13</v>
      </c>
      <c r="B16" s="36">
        <v>108.2198771369024</v>
      </c>
      <c r="C16" s="36">
        <v>154.51427784400559</v>
      </c>
      <c r="D16" s="36">
        <v>228.8953019440568</v>
      </c>
      <c r="E16" s="36">
        <v>327.42888085023128</v>
      </c>
      <c r="F16" s="36">
        <v>82.832393791319433</v>
      </c>
      <c r="G16" s="36">
        <v>117.5775917904293</v>
      </c>
      <c r="H16" s="36">
        <v>174.58216787263601</v>
      </c>
      <c r="I16" s="36">
        <v>250.044095147761</v>
      </c>
      <c r="J16" s="36">
        <v>0</v>
      </c>
      <c r="K16" s="36">
        <v>0</v>
      </c>
      <c r="L16" s="36">
        <v>0</v>
      </c>
      <c r="M16" s="36">
        <v>0</v>
      </c>
      <c r="N16" s="36">
        <v>0</v>
      </c>
      <c r="O16" s="36">
        <v>0</v>
      </c>
      <c r="P16" s="36">
        <v>0</v>
      </c>
      <c r="Q16" s="36">
        <v>0</v>
      </c>
    </row>
    <row r="17" spans="1:17" x14ac:dyDescent="0.2">
      <c r="A17" s="36">
        <v>14</v>
      </c>
      <c r="B17" s="36">
        <v>110.9313538044029</v>
      </c>
      <c r="C17" s="36">
        <v>161.0317302185928</v>
      </c>
      <c r="D17" s="36">
        <v>242.88943969409689</v>
      </c>
      <c r="E17" s="36">
        <v>354.16531021540032</v>
      </c>
      <c r="F17" s="36">
        <v>83.370270579299032</v>
      </c>
      <c r="G17" s="36">
        <v>119.65970466740271</v>
      </c>
      <c r="H17" s="36">
        <v>181.2565208720514</v>
      </c>
      <c r="I17" s="36">
        <v>265.86532631685799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</row>
    <row r="18" spans="1:17" x14ac:dyDescent="0.2">
      <c r="A18" s="36">
        <v>15</v>
      </c>
      <c r="B18" s="36">
        <v>113.11786492806409</v>
      </c>
      <c r="C18" s="36">
        <v>166.99480053213259</v>
      </c>
      <c r="D18" s="36">
        <v>256.47061525783653</v>
      </c>
      <c r="E18" s="36">
        <v>382.99449192924362</v>
      </c>
      <c r="F18" s="36">
        <v>83.606431964979151</v>
      </c>
      <c r="G18" s="36">
        <v>122.54476787948239</v>
      </c>
      <c r="H18" s="36">
        <v>187.79019103293541</v>
      </c>
      <c r="I18" s="36">
        <v>280.86191368000652</v>
      </c>
      <c r="J18" s="36">
        <v>0</v>
      </c>
      <c r="K18" s="36">
        <v>0</v>
      </c>
      <c r="L18" s="36">
        <v>0</v>
      </c>
      <c r="M18" s="36">
        <v>0</v>
      </c>
      <c r="N18" s="36">
        <v>0</v>
      </c>
      <c r="O18" s="36">
        <v>0</v>
      </c>
      <c r="P18" s="36">
        <v>0</v>
      </c>
      <c r="Q18" s="36">
        <v>0</v>
      </c>
    </row>
    <row r="19" spans="1:17" x14ac:dyDescent="0.2">
      <c r="A19" s="36">
        <v>16</v>
      </c>
      <c r="B19" s="36">
        <v>116.1069601458137</v>
      </c>
      <c r="C19" s="36">
        <v>173.70672488629859</v>
      </c>
      <c r="D19" s="36">
        <v>271.01571559024319</v>
      </c>
      <c r="E19" s="36">
        <v>412.55773650692379</v>
      </c>
      <c r="F19" s="36">
        <v>84.737455160850246</v>
      </c>
      <c r="G19" s="36">
        <v>124.9782682906562</v>
      </c>
      <c r="H19" s="36">
        <v>194.9175256832219</v>
      </c>
      <c r="I19" s="36">
        <v>296.49371379607243</v>
      </c>
      <c r="J19" s="36">
        <v>0</v>
      </c>
      <c r="K19" s="36">
        <v>0</v>
      </c>
      <c r="L19" s="36">
        <v>0</v>
      </c>
      <c r="M19" s="36">
        <v>0</v>
      </c>
      <c r="N19" s="36">
        <v>0</v>
      </c>
      <c r="O19" s="36">
        <v>0</v>
      </c>
      <c r="P19" s="36">
        <v>0</v>
      </c>
      <c r="Q19" s="36">
        <v>0</v>
      </c>
    </row>
    <row r="20" spans="1:17" x14ac:dyDescent="0.2">
      <c r="A20" s="36">
        <v>17</v>
      </c>
      <c r="B20" s="36">
        <v>120.5276803838193</v>
      </c>
      <c r="C20" s="36">
        <v>181.49077249667391</v>
      </c>
      <c r="D20" s="36">
        <v>287.063110916921</v>
      </c>
      <c r="E20" s="36">
        <v>444.97934423595427</v>
      </c>
      <c r="F20" s="36">
        <v>85.794488545128758</v>
      </c>
      <c r="G20" s="36">
        <v>127.3561293182445</v>
      </c>
      <c r="H20" s="36">
        <v>202.47196812640951</v>
      </c>
      <c r="I20" s="36">
        <v>313.97850667079871</v>
      </c>
      <c r="J20" s="36">
        <v>0</v>
      </c>
      <c r="K20" s="36">
        <v>0</v>
      </c>
      <c r="L20" s="36">
        <v>0</v>
      </c>
      <c r="M20" s="36">
        <v>0</v>
      </c>
      <c r="N20" s="36">
        <v>0</v>
      </c>
      <c r="O20" s="36">
        <v>0</v>
      </c>
      <c r="P20" s="36">
        <v>0</v>
      </c>
      <c r="Q20" s="36">
        <v>0</v>
      </c>
    </row>
    <row r="21" spans="1:17" x14ac:dyDescent="0.2">
      <c r="A21" s="36">
        <v>18</v>
      </c>
      <c r="B21" s="36">
        <v>124.0550338093267</v>
      </c>
      <c r="C21" s="36">
        <v>188.2215172862349</v>
      </c>
      <c r="D21" s="36">
        <v>304.04885767723653</v>
      </c>
      <c r="E21" s="36">
        <v>479.14007475070639</v>
      </c>
      <c r="F21" s="36">
        <v>86.102252423319428</v>
      </c>
      <c r="G21" s="36">
        <v>129.94963126507099</v>
      </c>
      <c r="H21" s="36">
        <v>210.32273546034409</v>
      </c>
      <c r="I21" s="36">
        <v>331.2584261008505</v>
      </c>
      <c r="J21" s="36">
        <v>0</v>
      </c>
      <c r="K21" s="36">
        <v>0</v>
      </c>
      <c r="L21" s="36">
        <v>0</v>
      </c>
      <c r="M21" s="36">
        <v>0</v>
      </c>
      <c r="N21" s="36">
        <v>0</v>
      </c>
      <c r="O21" s="36">
        <v>0</v>
      </c>
      <c r="P21" s="36">
        <v>0</v>
      </c>
      <c r="Q21" s="36">
        <v>0</v>
      </c>
    </row>
    <row r="22" spans="1:17" x14ac:dyDescent="0.2">
      <c r="A22" s="36">
        <v>19</v>
      </c>
      <c r="B22" s="36">
        <v>128.3834563298015</v>
      </c>
      <c r="C22" s="36">
        <v>195.44320515173149</v>
      </c>
      <c r="D22" s="36">
        <v>322.43121048359029</v>
      </c>
      <c r="E22" s="36">
        <v>515.84879245195373</v>
      </c>
      <c r="F22" s="36">
        <v>87.768286877362797</v>
      </c>
      <c r="G22" s="36">
        <v>132.08393981795811</v>
      </c>
      <c r="H22" s="36">
        <v>218.56499144155501</v>
      </c>
      <c r="I22" s="36">
        <v>347.21731761650079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0</v>
      </c>
      <c r="Q22" s="36">
        <v>0</v>
      </c>
    </row>
    <row r="23" spans="1:17" x14ac:dyDescent="0.2">
      <c r="A23" s="36">
        <v>20</v>
      </c>
      <c r="B23" s="36">
        <v>131.04352144164659</v>
      </c>
      <c r="C23" s="36">
        <v>204.308120947503</v>
      </c>
      <c r="D23" s="36">
        <v>341.08689380403467</v>
      </c>
      <c r="E23" s="36">
        <v>552.49763446723193</v>
      </c>
      <c r="F23" s="36">
        <v>88.828716845438336</v>
      </c>
      <c r="G23" s="36">
        <v>135.5011516381318</v>
      </c>
      <c r="H23" s="36">
        <v>227.0582429212933</v>
      </c>
      <c r="I23" s="36">
        <v>366.6691713074697</v>
      </c>
      <c r="J23" s="36">
        <v>0</v>
      </c>
      <c r="K23" s="36">
        <v>0</v>
      </c>
      <c r="L23" s="36">
        <v>0</v>
      </c>
      <c r="M23" s="36">
        <v>0</v>
      </c>
      <c r="N23" s="36">
        <v>0</v>
      </c>
      <c r="O23" s="36">
        <v>0</v>
      </c>
      <c r="P23" s="36">
        <v>0</v>
      </c>
      <c r="Q23" s="36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portfolios</vt:lpstr>
      <vt:lpstr>risk_dashboard</vt:lpstr>
      <vt:lpstr>assumptions</vt:lpstr>
      <vt:lpstr>ws_Current_Portfolio</vt:lpstr>
      <vt:lpstr>ws_Volatility_Matched</vt:lpstr>
      <vt:lpstr>ws_Volatility_Matched_(No_Priva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2025-07-06T20:15:22Z</dcterms:created>
  <dcterms:modified xsi:type="dcterms:W3CDTF">2025-07-07T08:37:34Z</dcterms:modified>
</cp:coreProperties>
</file>