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Private Assets/"/>
    </mc:Choice>
  </mc:AlternateContent>
  <xr:revisionPtr revIDLastSave="0" documentId="13_ncr:1_{236615EE-30A7-C74D-8494-52B5F229817A}" xr6:coauthVersionLast="47" xr6:coauthVersionMax="47" xr10:uidLastSave="{00000000-0000-0000-0000-000000000000}"/>
  <bookViews>
    <workbookView xWindow="26680" yWindow="1900" windowWidth="28040" windowHeight="17440" activeTab="3" xr2:uid="{98DD0C7C-FC4E-7943-83E9-6FD42A55B3FD}"/>
  </bookViews>
  <sheets>
    <sheet name="Buyout Fund" sheetId="2" r:id="rId1"/>
    <sheet name="Portfolio" sheetId="3" r:id="rId2"/>
    <sheet name="Table of Metrics" sheetId="5" r:id="rId3"/>
    <sheet name="Flow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J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F25" i="3"/>
  <c r="E25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F2" i="3"/>
  <c r="E2" i="3"/>
  <c r="I3" i="2"/>
  <c r="J4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" i="2"/>
</calcChain>
</file>

<file path=xl/sharedStrings.xml><?xml version="1.0" encoding="utf-8"?>
<sst xmlns="http://schemas.openxmlformats.org/spreadsheetml/2006/main" count="41" uniqueCount="22">
  <si>
    <t>Liquid</t>
  </si>
  <si>
    <t>PE_BUYOUT</t>
  </si>
  <si>
    <t>PRIVATE_CREDIT</t>
  </si>
  <si>
    <t>Total</t>
  </si>
  <si>
    <t>Market Values</t>
  </si>
  <si>
    <t>Capital Calls (LHS)</t>
  </si>
  <si>
    <t>Distributions (LHS)</t>
  </si>
  <si>
    <t>Cumulative Net Cash-Flow (RHS)</t>
  </si>
  <si>
    <t>Fund Net Asset Value</t>
  </si>
  <si>
    <t>Bonds</t>
  </si>
  <si>
    <t>Equity</t>
  </si>
  <si>
    <t>Buyout</t>
  </si>
  <si>
    <t>Private Credit</t>
  </si>
  <si>
    <t>Volatility</t>
  </si>
  <si>
    <t>calls</t>
  </si>
  <si>
    <t>distributions</t>
  </si>
  <si>
    <t>Estimated Mean Return</t>
  </si>
  <si>
    <t>Sharpe Ratio</t>
  </si>
  <si>
    <t>99% Value at Risk</t>
  </si>
  <si>
    <t>Year</t>
  </si>
  <si>
    <t>Liquid Assets Weight</t>
  </si>
  <si>
    <t>Private Markets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</si>
</sst>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"/>
    </font>
    <font>
      <sz val="14"/>
      <color theme="1"/>
      <name val="Aptos"/>
    </font>
    <font>
      <sz val="14"/>
      <color theme="1"/>
      <name val="Aptos Narrow"/>
      <family val="2"/>
      <scheme val="minor"/>
    </font>
    <font>
      <sz val="12"/>
      <color theme="0"/>
      <name val="Aptos"/>
    </font>
    <font>
      <sz val="14"/>
      <color theme="0"/>
      <name val="Aptos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24994659260841701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thin">
        <color indexed="64"/>
      </bottom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/>
      <right style="hair">
        <color theme="0" tint="-0.24994659260841701"/>
      </right>
      <top/>
      <bottom style="hair">
        <color theme="0" tint="-0.499984740745262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499984740745262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hair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9" fontId="0" fillId="2" borderId="0" xfId="1" applyFont="1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11" fontId="0" fillId="2" borderId="0" xfId="0" applyNumberForma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9" fontId="4" fillId="2" borderId="11" xfId="1" applyFont="1" applyFill="1" applyBorder="1" applyAlignment="1">
      <alignment vertical="center"/>
    </xf>
    <xf numFmtId="9" fontId="4" fillId="2" borderId="0" xfId="1" applyFont="1" applyFill="1" applyBorder="1" applyAlignment="1">
      <alignment vertical="center"/>
    </xf>
    <xf numFmtId="9" fontId="4" fillId="2" borderId="0" xfId="1" applyFont="1" applyFill="1" applyBorder="1"/>
    <xf numFmtId="9" fontId="4" fillId="2" borderId="13" xfId="1" applyFont="1" applyFill="1" applyBorder="1" applyAlignment="1">
      <alignment vertical="center"/>
    </xf>
    <xf numFmtId="9" fontId="4" fillId="2" borderId="7" xfId="1" applyFont="1" applyFill="1" applyBorder="1" applyAlignment="1">
      <alignment horizontal="right" vertical="center"/>
    </xf>
    <xf numFmtId="9" fontId="4" fillId="2" borderId="7" xfId="1" applyFont="1" applyFill="1" applyBorder="1"/>
    <xf numFmtId="165" fontId="5" fillId="2" borderId="11" xfId="1" applyNumberFormat="1" applyFont="1" applyFill="1" applyBorder="1"/>
    <xf numFmtId="165" fontId="5" fillId="2" borderId="0" xfId="1" applyNumberFormat="1" applyFont="1" applyFill="1"/>
    <xf numFmtId="0" fontId="5" fillId="2" borderId="0" xfId="0" applyFont="1" applyFill="1"/>
    <xf numFmtId="2" fontId="5" fillId="2" borderId="11" xfId="1" applyNumberFormat="1" applyFont="1" applyFill="1" applyBorder="1"/>
    <xf numFmtId="2" fontId="5" fillId="2" borderId="0" xfId="1" applyNumberFormat="1" applyFont="1" applyFill="1"/>
    <xf numFmtId="9" fontId="5" fillId="2" borderId="9" xfId="1" applyFont="1" applyFill="1" applyBorder="1"/>
    <xf numFmtId="9" fontId="5" fillId="2" borderId="1" xfId="1" applyFont="1" applyFill="1" applyBorder="1"/>
    <xf numFmtId="0" fontId="5" fillId="2" borderId="1" xfId="0" applyFont="1" applyFill="1" applyBorder="1"/>
    <xf numFmtId="9" fontId="3" fillId="2" borderId="10" xfId="1" applyFont="1" applyFill="1" applyBorder="1" applyAlignment="1">
      <alignment vertical="center"/>
    </xf>
    <xf numFmtId="9" fontId="3" fillId="2" borderId="11" xfId="1" applyFont="1" applyFill="1" applyBorder="1" applyAlignment="1">
      <alignment vertical="center"/>
    </xf>
    <xf numFmtId="9" fontId="3" fillId="2" borderId="12" xfId="1" applyFont="1" applyFill="1" applyBorder="1" applyAlignment="1">
      <alignment vertical="center"/>
    </xf>
    <xf numFmtId="9" fontId="3" fillId="2" borderId="13" xfId="1" applyFont="1" applyFill="1" applyBorder="1" applyAlignment="1">
      <alignment vertical="center"/>
    </xf>
    <xf numFmtId="165" fontId="0" fillId="2" borderId="10" xfId="1" applyNumberFormat="1" applyFont="1" applyFill="1" applyBorder="1"/>
    <xf numFmtId="165" fontId="0" fillId="2" borderId="11" xfId="1" applyNumberFormat="1" applyFont="1" applyFill="1" applyBorder="1"/>
    <xf numFmtId="2" fontId="0" fillId="2" borderId="10" xfId="1" applyNumberFormat="1" applyFont="1" applyFill="1" applyBorder="1"/>
    <xf numFmtId="2" fontId="0" fillId="2" borderId="11" xfId="1" applyNumberFormat="1" applyFont="1" applyFill="1" applyBorder="1"/>
    <xf numFmtId="9" fontId="0" fillId="2" borderId="8" xfId="1" applyFont="1" applyFill="1" applyBorder="1"/>
    <xf numFmtId="9" fontId="0" fillId="2" borderId="9" xfId="1" applyFont="1" applyFill="1" applyBorder="1"/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6" fillId="3" borderId="14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'Buyout Fund'!$G$2</c:f>
              <c:strCache>
                <c:ptCount val="1"/>
                <c:pt idx="0">
                  <c:v>Capital Calls (LHS)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val>
            <c:numRef>
              <c:f>'Buyout Fund'!$G$3:$G$18</c:f>
              <c:numCache>
                <c:formatCode>0</c:formatCode>
                <c:ptCount val="16"/>
                <c:pt idx="0">
                  <c:v>-18</c:v>
                </c:pt>
                <c:pt idx="1">
                  <c:v>-18</c:v>
                </c:pt>
                <c:pt idx="2">
                  <c:v>-18</c:v>
                </c:pt>
                <c:pt idx="3">
                  <c:v>-10.27</c:v>
                </c:pt>
                <c:pt idx="4">
                  <c:v>-7.9799999999999898</c:v>
                </c:pt>
                <c:pt idx="5">
                  <c:v>-6.2</c:v>
                </c:pt>
                <c:pt idx="6">
                  <c:v>-4.8099999999999996</c:v>
                </c:pt>
                <c:pt idx="7">
                  <c:v>-3.74</c:v>
                </c:pt>
                <c:pt idx="8">
                  <c:v>-2.9</c:v>
                </c:pt>
                <c:pt idx="9">
                  <c:v>-2.2599999999999998</c:v>
                </c:pt>
                <c:pt idx="10">
                  <c:v>-1.75</c:v>
                </c:pt>
                <c:pt idx="11">
                  <c:v>-1.3599999999999901</c:v>
                </c:pt>
                <c:pt idx="12">
                  <c:v>-1.06</c:v>
                </c:pt>
                <c:pt idx="13">
                  <c:v>-0.82</c:v>
                </c:pt>
                <c:pt idx="14">
                  <c:v>-0.64</c:v>
                </c:pt>
                <c:pt idx="15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5-B841-8E70-22F00F1A687B}"/>
            </c:ext>
          </c:extLst>
        </c:ser>
        <c:ser>
          <c:idx val="1"/>
          <c:order val="1"/>
          <c:tx>
            <c:strRef>
              <c:f>'Buyout Fund'!$H$2</c:f>
              <c:strCache>
                <c:ptCount val="1"/>
                <c:pt idx="0">
                  <c:v>Distributions (LHS)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 w="3175"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val>
            <c:numRef>
              <c:f>'Buyout Fund'!$H$3:$H$18</c:f>
              <c:numCache>
                <c:formatCode>0</c:formatCode>
                <c:ptCount val="16"/>
                <c:pt idx="0">
                  <c:v>0</c:v>
                </c:pt>
                <c:pt idx="1">
                  <c:v>1.9914736035214898E-3</c:v>
                </c:pt>
                <c:pt idx="2">
                  <c:v>0.100152808988374</c:v>
                </c:pt>
                <c:pt idx="3">
                  <c:v>0.77378583477353302</c:v>
                </c:pt>
                <c:pt idx="4">
                  <c:v>3.0020131795507901</c:v>
                </c:pt>
                <c:pt idx="5">
                  <c:v>7.8612581501884398</c:v>
                </c:pt>
                <c:pt idx="6">
                  <c:v>15.8924543584201</c:v>
                </c:pt>
                <c:pt idx="7">
                  <c:v>25.761393209589599</c:v>
                </c:pt>
                <c:pt idx="8">
                  <c:v>33.244047658918902</c:v>
                </c:pt>
                <c:pt idx="9">
                  <c:v>33.064035733599802</c:v>
                </c:pt>
                <c:pt idx="10">
                  <c:v>24.4067560203029</c:v>
                </c:pt>
                <c:pt idx="11">
                  <c:v>12.8708820888759</c:v>
                </c:pt>
                <c:pt idx="12">
                  <c:v>5.0437863441690398</c:v>
                </c:pt>
                <c:pt idx="13">
                  <c:v>1.9592199440649001</c:v>
                </c:pt>
                <c:pt idx="14">
                  <c:v>1.1183975741079</c:v>
                </c:pt>
                <c:pt idx="15">
                  <c:v>0.81383436186790503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85-B841-8E70-22F00F1A6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100"/>
        <c:axId val="992583327"/>
        <c:axId val="992271455"/>
      </c:barChart>
      <c:lineChart>
        <c:grouping val="standard"/>
        <c:varyColors val="0"/>
        <c:ser>
          <c:idx val="2"/>
          <c:order val="2"/>
          <c:tx>
            <c:strRef>
              <c:f>'Buyout Fund'!$I$2</c:f>
              <c:strCache>
                <c:ptCount val="1"/>
                <c:pt idx="0">
                  <c:v>Cumulative Net Cash-Flow (RHS)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6"/>
              <c:spPr>
                <a:solidFill>
                  <a:srgbClr val="C0000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385-B841-8E70-22F00F1A687B}"/>
              </c:ext>
            </c:extLst>
          </c:dPt>
          <c:val>
            <c:numRef>
              <c:f>'Buyout Fund'!$I$3:$I$18</c:f>
              <c:numCache>
                <c:formatCode>0</c:formatCode>
                <c:ptCount val="16"/>
                <c:pt idx="0">
                  <c:v>-18</c:v>
                </c:pt>
                <c:pt idx="1">
                  <c:v>-35.998008526396475</c:v>
                </c:pt>
                <c:pt idx="2">
                  <c:v>-53.897855717408106</c:v>
                </c:pt>
                <c:pt idx="3">
                  <c:v>-63.394069882634575</c:v>
                </c:pt>
                <c:pt idx="4">
                  <c:v>-68.372056703083771</c:v>
                </c:pt>
                <c:pt idx="5">
                  <c:v>-66.710798552895326</c:v>
                </c:pt>
                <c:pt idx="6">
                  <c:v>-55.628344194475225</c:v>
                </c:pt>
                <c:pt idx="7">
                  <c:v>-33.606950984885628</c:v>
                </c:pt>
                <c:pt idx="8">
                  <c:v>-3.2629033259667253</c:v>
                </c:pt>
                <c:pt idx="9">
                  <c:v>27.541132407633079</c:v>
                </c:pt>
                <c:pt idx="10">
                  <c:v>50.197888427935979</c:v>
                </c:pt>
                <c:pt idx="11">
                  <c:v>61.708770516811889</c:v>
                </c:pt>
                <c:pt idx="12">
                  <c:v>65.692556860980929</c:v>
                </c:pt>
                <c:pt idx="13">
                  <c:v>66.831776805045834</c:v>
                </c:pt>
                <c:pt idx="14">
                  <c:v>67.310174379153736</c:v>
                </c:pt>
                <c:pt idx="15">
                  <c:v>67.62400874102164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85-B841-8E70-22F00F1A6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5499583"/>
        <c:axId val="675300639"/>
      </c:lineChart>
      <c:catAx>
        <c:axId val="99258332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92271455"/>
        <c:crosses val="autoZero"/>
        <c:auto val="1"/>
        <c:lblAlgn val="ctr"/>
        <c:lblOffset val="100"/>
        <c:noMultiLvlLbl val="0"/>
      </c:catAx>
      <c:valAx>
        <c:axId val="99227145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92583327"/>
        <c:crosses val="autoZero"/>
        <c:crossBetween val="between"/>
      </c:valAx>
      <c:valAx>
        <c:axId val="675300639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75499583"/>
        <c:crosses val="max"/>
        <c:crossBetween val="between"/>
      </c:valAx>
      <c:catAx>
        <c:axId val="675499583"/>
        <c:scaling>
          <c:orientation val="minMax"/>
        </c:scaling>
        <c:delete val="1"/>
        <c:axPos val="b"/>
        <c:majorTickMark val="out"/>
        <c:minorTickMark val="none"/>
        <c:tickLblPos val="nextTo"/>
        <c:crossAx val="675300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286201267524486E-2"/>
          <c:y val="2.6200873362445413E-2"/>
          <c:w val="0.89022193584289488"/>
          <c:h val="7.3690472097101403E-2"/>
        </c:manualLayout>
      </c:layout>
      <c:overlay val="0"/>
      <c:spPr>
        <a:noFill/>
        <a:ln w="3175"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025597675961571E-2"/>
          <c:y val="0.14524269623993635"/>
          <c:w val="0.91876849234110691"/>
          <c:h val="0.755999670361643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'Buyout Fund'!$B$2</c:f>
              <c:strCache>
                <c:ptCount val="1"/>
                <c:pt idx="0">
                  <c:v>Fund Net Asset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'Buyout Fund'!$A$3:$A$18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'Buyout Fund'!$B$3:$B$18</c:f>
              <c:numCache>
                <c:formatCode>0</c:formatCode>
                <c:ptCount val="16"/>
                <c:pt idx="0">
                  <c:v>0</c:v>
                </c:pt>
                <c:pt idx="1">
                  <c:v>18</c:v>
                </c:pt>
                <c:pt idx="2">
                  <c:v>37.912744561611397</c:v>
                </c:pt>
                <c:pt idx="3">
                  <c:v>59.6301842695011</c:v>
                </c:pt>
                <c:pt idx="4">
                  <c:v>75.071284908746193</c:v>
                </c:pt>
                <c:pt idx="5">
                  <c:v>87.906527692018201</c:v>
                </c:pt>
                <c:pt idx="6">
                  <c:v>95.631540738282297</c:v>
                </c:pt>
                <c:pt idx="7">
                  <c:v>94.305174013066207</c:v>
                </c:pt>
                <c:pt idx="8">
                  <c:v>81.939031365025599</c:v>
                </c:pt>
                <c:pt idx="9">
                  <c:v>59.943968796591498</c:v>
                </c:pt>
                <c:pt idx="10">
                  <c:v>34.929633716896802</c:v>
                </c:pt>
                <c:pt idx="11">
                  <c:v>15.6403662459812</c:v>
                </c:pt>
                <c:pt idx="12">
                  <c:v>5.6137614567280201</c:v>
                </c:pt>
                <c:pt idx="13">
                  <c:v>2.1656727440643602</c:v>
                </c:pt>
                <c:pt idx="14">
                  <c:v>1.2324299095422899</c:v>
                </c:pt>
                <c:pt idx="15">
                  <c:v>0.87363044101286902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7-FC42-92D0-5CB140B38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100"/>
        <c:axId val="992583327"/>
        <c:axId val="992271455"/>
      </c:barChart>
      <c:catAx>
        <c:axId val="99258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92271455"/>
        <c:crosses val="autoZero"/>
        <c:auto val="1"/>
        <c:lblAlgn val="ctr"/>
        <c:lblOffset val="100"/>
        <c:noMultiLvlLbl val="0"/>
      </c:catAx>
      <c:valAx>
        <c:axId val="99227145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99258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Portfolio!$C$1</c:f>
              <c:strCache>
                <c:ptCount val="1"/>
                <c:pt idx="0">
                  <c:v>Buyout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Portfolio!$C$2:$C$17</c:f>
              <c:numCache>
                <c:formatCode>0</c:formatCode>
                <c:ptCount val="16"/>
                <c:pt idx="0">
                  <c:v>0</c:v>
                </c:pt>
                <c:pt idx="1">
                  <c:v>9</c:v>
                </c:pt>
                <c:pt idx="2">
                  <c:v>18.956372280805699</c:v>
                </c:pt>
                <c:pt idx="3">
                  <c:v>29.8150921347505</c:v>
                </c:pt>
                <c:pt idx="4">
                  <c:v>37.535642454373097</c:v>
                </c:pt>
                <c:pt idx="5">
                  <c:v>43.953263846009101</c:v>
                </c:pt>
                <c:pt idx="6">
                  <c:v>47.815770369141099</c:v>
                </c:pt>
                <c:pt idx="7">
                  <c:v>47.152587006533103</c:v>
                </c:pt>
                <c:pt idx="8">
                  <c:v>40.9695156825128</c:v>
                </c:pt>
                <c:pt idx="9">
                  <c:v>29.971984398295699</c:v>
                </c:pt>
                <c:pt idx="10">
                  <c:v>17.464816858448401</c:v>
                </c:pt>
                <c:pt idx="11">
                  <c:v>7.8201831229906302</c:v>
                </c:pt>
                <c:pt idx="12">
                  <c:v>2.80688072836401</c:v>
                </c:pt>
                <c:pt idx="13">
                  <c:v>1.0828363720321801</c:v>
                </c:pt>
                <c:pt idx="14">
                  <c:v>0.61621495477114596</c:v>
                </c:pt>
                <c:pt idx="15">
                  <c:v>0.43681522050643401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9-7442-A151-5FE9EE34DAFB}"/>
            </c:ext>
          </c:extLst>
        </c:ser>
        <c:ser>
          <c:idx val="1"/>
          <c:order val="1"/>
          <c:tx>
            <c:strRef>
              <c:f>Portfolio!$D$1</c:f>
              <c:strCache>
                <c:ptCount val="1"/>
                <c:pt idx="0">
                  <c:v>Private Credit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Portfolio!$D$2:$D$17</c:f>
              <c:numCache>
                <c:formatCode>0</c:formatCode>
                <c:ptCount val="16"/>
                <c:pt idx="0">
                  <c:v>0</c:v>
                </c:pt>
                <c:pt idx="1">
                  <c:v>17.5</c:v>
                </c:pt>
                <c:pt idx="2">
                  <c:v>36.093853879797898</c:v>
                </c:pt>
                <c:pt idx="3">
                  <c:v>41.898697244794199</c:v>
                </c:pt>
                <c:pt idx="4">
                  <c:v>42.574171725141603</c:v>
                </c:pt>
                <c:pt idx="5">
                  <c:v>32.685842868221897</c:v>
                </c:pt>
                <c:pt idx="6">
                  <c:v>16.2090134034103</c:v>
                </c:pt>
                <c:pt idx="7">
                  <c:v>3.6017267318893</c:v>
                </c:pt>
                <c:pt idx="8">
                  <c:v>0.19229829087153</c:v>
                </c:pt>
                <c:pt idx="9">
                  <c:v>8.4111761690525101E-4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9-7442-A151-5FE9EE34DAFB}"/>
            </c:ext>
          </c:extLst>
        </c:ser>
        <c:ser>
          <c:idx val="2"/>
          <c:order val="2"/>
          <c:tx>
            <c:strRef>
              <c:f>Portfolio!$E$1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Portfolio!$E$2:$E$17</c:f>
              <c:numCache>
                <c:formatCode>0</c:formatCode>
                <c:ptCount val="16"/>
                <c:pt idx="0">
                  <c:v>40</c:v>
                </c:pt>
                <c:pt idx="1">
                  <c:v>29.400000000000002</c:v>
                </c:pt>
                <c:pt idx="2">
                  <c:v>21.101731495978484</c:v>
                </c:pt>
                <c:pt idx="3">
                  <c:v>18.191985991830482</c:v>
                </c:pt>
                <c:pt idx="4">
                  <c:v>19.094987173295518</c:v>
                </c:pt>
                <c:pt idx="5">
                  <c:v>25.18993742006224</c:v>
                </c:pt>
                <c:pt idx="6">
                  <c:v>35.167182662085445</c:v>
                </c:pt>
                <c:pt idx="7">
                  <c:v>45.156469968036802</c:v>
                </c:pt>
                <c:pt idx="8">
                  <c:v>53.579057596901606</c:v>
                </c:pt>
                <c:pt idx="9">
                  <c:v>62.584864865614804</c:v>
                </c:pt>
                <c:pt idx="10">
                  <c:v>72.04684952169201</c:v>
                </c:pt>
                <c:pt idx="11">
                  <c:v>80.309920108377611</c:v>
                </c:pt>
                <c:pt idx="12">
                  <c:v>86.770245810288813</c:v>
                </c:pt>
                <c:pt idx="13">
                  <c:v>92.060242153123212</c:v>
                </c:pt>
                <c:pt idx="14">
                  <c:v>97.122472019898396</c:v>
                </c:pt>
                <c:pt idx="15">
                  <c:v>102.19884996177801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5A-714E-ADA9-3D42D7AA2758}"/>
            </c:ext>
          </c:extLst>
        </c:ser>
        <c:ser>
          <c:idx val="3"/>
          <c:order val="3"/>
          <c:tx>
            <c:strRef>
              <c:f>Portfolio!$F$1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Portfolio!$F$2:$F$17</c:f>
              <c:numCache>
                <c:formatCode>0</c:formatCode>
                <c:ptCount val="16"/>
                <c:pt idx="0">
                  <c:v>60</c:v>
                </c:pt>
                <c:pt idx="1">
                  <c:v>44.1</c:v>
                </c:pt>
                <c:pt idx="2">
                  <c:v>31.652597243967719</c:v>
                </c:pt>
                <c:pt idx="3">
                  <c:v>27.287978987745721</c:v>
                </c:pt>
                <c:pt idx="4">
                  <c:v>28.642480759943279</c:v>
                </c:pt>
                <c:pt idx="5">
                  <c:v>37.784906130093354</c:v>
                </c:pt>
                <c:pt idx="6">
                  <c:v>52.750773993128156</c:v>
                </c:pt>
                <c:pt idx="7">
                  <c:v>67.734704952055196</c:v>
                </c:pt>
                <c:pt idx="8">
                  <c:v>80.368586395352395</c:v>
                </c:pt>
                <c:pt idx="9">
                  <c:v>93.877297298422206</c:v>
                </c:pt>
                <c:pt idx="10">
                  <c:v>108.07027428253799</c:v>
                </c:pt>
                <c:pt idx="11">
                  <c:v>120.4648801625664</c:v>
                </c:pt>
                <c:pt idx="12">
                  <c:v>130.15536871543321</c:v>
                </c:pt>
                <c:pt idx="13">
                  <c:v>138.09036322968481</c:v>
                </c:pt>
                <c:pt idx="14">
                  <c:v>145.68370802984759</c:v>
                </c:pt>
                <c:pt idx="15">
                  <c:v>153.29827494266701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5A-714E-ADA9-3D42D7AA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1566592"/>
        <c:axId val="1362008480"/>
      </c:barChart>
      <c:lineChart>
        <c:grouping val="standard"/>
        <c:varyColors val="0"/>
        <c:ser>
          <c:idx val="4"/>
          <c:order val="4"/>
          <c:tx>
            <c:strRef>
              <c:f>Portfolio!$G$1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Portfolio!$G$2:$G$17</c:f>
              <c:numCache>
                <c:formatCode>0%</c:formatCode>
                <c:ptCount val="16"/>
                <c:pt idx="0">
                  <c:v>1</c:v>
                </c:pt>
                <c:pt idx="1">
                  <c:v>0.73499999999999999</c:v>
                </c:pt>
                <c:pt idx="2">
                  <c:v>0.48935157506667698</c:v>
                </c:pt>
                <c:pt idx="3">
                  <c:v>0.38807498939073398</c:v>
                </c:pt>
                <c:pt idx="4">
                  <c:v>0.37339446834025902</c:v>
                </c:pt>
                <c:pt idx="5">
                  <c:v>0.45106411953032099</c:v>
                </c:pt>
                <c:pt idx="6">
                  <c:v>0.57862558229302496</c:v>
                </c:pt>
                <c:pt idx="7">
                  <c:v>0.68985204447442205</c:v>
                </c:pt>
                <c:pt idx="8">
                  <c:v>0.76493666046604103</c:v>
                </c:pt>
                <c:pt idx="9">
                  <c:v>0.83923175639453196</c:v>
                </c:pt>
                <c:pt idx="10">
                  <c:v>0.91160722078205902</c:v>
                </c:pt>
                <c:pt idx="11">
                  <c:v>0.96251020520363095</c:v>
                </c:pt>
                <c:pt idx="12">
                  <c:v>0.98722591883772903</c:v>
                </c:pt>
                <c:pt idx="13">
                  <c:v>0.995317129028506</c:v>
                </c:pt>
                <c:pt idx="14">
                  <c:v>0.99746853630801002</c:v>
                </c:pt>
                <c:pt idx="15">
                  <c:v>0.99829325012425796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5A-714E-ADA9-3D42D7AA2758}"/>
            </c:ext>
          </c:extLst>
        </c:ser>
        <c:ser>
          <c:idx val="5"/>
          <c:order val="5"/>
          <c:tx>
            <c:strRef>
              <c:f>Portfolio!$H$1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Portfolio!$H$2:$H$17</c:f>
              <c:numCache>
                <c:formatCode>0%</c:formatCode>
                <c:ptCount val="16"/>
                <c:pt idx="0">
                  <c:v>0</c:v>
                </c:pt>
                <c:pt idx="1">
                  <c:v>0.26500000000000001</c:v>
                </c:pt>
                <c:pt idx="2">
                  <c:v>0.51064842493332296</c:v>
                </c:pt>
                <c:pt idx="3">
                  <c:v>0.61192501060926596</c:v>
                </c:pt>
                <c:pt idx="4">
                  <c:v>0.62660553165974098</c:v>
                </c:pt>
                <c:pt idx="5">
                  <c:v>0.54893588046967901</c:v>
                </c:pt>
                <c:pt idx="6">
                  <c:v>0.42137441770697504</c:v>
                </c:pt>
                <c:pt idx="7">
                  <c:v>0.31014795552557795</c:v>
                </c:pt>
                <c:pt idx="8">
                  <c:v>0.23506333953395897</c:v>
                </c:pt>
                <c:pt idx="9">
                  <c:v>0.16076824360546804</c:v>
                </c:pt>
                <c:pt idx="10">
                  <c:v>8.8392779217940975E-2</c:v>
                </c:pt>
                <c:pt idx="11">
                  <c:v>3.7489794796369047E-2</c:v>
                </c:pt>
                <c:pt idx="12">
                  <c:v>1.2774081162270967E-2</c:v>
                </c:pt>
                <c:pt idx="13">
                  <c:v>4.682870971494002E-3</c:v>
                </c:pt>
                <c:pt idx="14">
                  <c:v>2.5314636919899769E-3</c:v>
                </c:pt>
                <c:pt idx="15">
                  <c:v>1.7067498757420418E-3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5A-714E-ADA9-3D42D7AA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674991"/>
        <c:axId val="691314079"/>
      </c:lineChart>
      <c:catAx>
        <c:axId val="691674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14079"/>
        <c:crosses val="autoZero"/>
        <c:auto val="1"/>
        <c:lblAlgn val="ctr"/>
        <c:lblOffset val="100"/>
        <c:noMultiLvlLbl val="0"/>
      </c:catAx>
      <c:valAx>
        <c:axId val="69131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74991"/>
        <c:crosses val="autoZero"/>
        <c:crossBetween val="between"/>
      </c:valAx>
      <c:valAx>
        <c:axId val="136200848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66592"/>
        <c:crosses val="max"/>
        <c:crossBetween val="between"/>
      </c:valAx>
      <c:catAx>
        <c:axId val="1361566592"/>
        <c:scaling>
          <c:orientation val="minMax"/>
        </c:scaling>
        <c:delete val="1"/>
        <c:axPos val="b"/>
        <c:majorTickMark val="out"/>
        <c:minorTickMark val="none"/>
        <c:tickLblPos val="nextTo"/>
        <c:crossAx val="1362008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83042183944605E-2"/>
          <c:y val="9.0323150183598794E-2"/>
          <c:w val="0.96433915632110789"/>
          <c:h val="0.74036259431727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Portfolio!$C$24</c:f>
              <c:strCache>
                <c:ptCount val="1"/>
                <c:pt idx="0">
                  <c:v>Buyout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317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208-C248-A9AA-1D3426C376D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08-C248-A9AA-1D3426C376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208-C248-A9AA-1D3426C376D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08-C248-A9AA-1D3426C376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208-C248-A9AA-1D3426C376D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08-C248-A9AA-1D3426C376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208-C248-A9AA-1D3426C376D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08-C248-A9AA-1D3426C376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208-C248-A9AA-1D3426C376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Portfolio!$C$25:$C$44</c:f>
              <c:numCache>
                <c:formatCode>0%</c:formatCode>
                <c:ptCount val="20"/>
                <c:pt idx="0">
                  <c:v>0</c:v>
                </c:pt>
                <c:pt idx="1">
                  <c:v>0.09</c:v>
                </c:pt>
                <c:pt idx="2">
                  <c:v>0.17584017946452299</c:v>
                </c:pt>
                <c:pt idx="3">
                  <c:v>0.25440854163087101</c:v>
                </c:pt>
                <c:pt idx="4">
                  <c:v>0.293597500346303</c:v>
                </c:pt>
                <c:pt idx="5">
                  <c:v>0.31482000017028999</c:v>
                </c:pt>
                <c:pt idx="6">
                  <c:v>0.31469598504361002</c:v>
                </c:pt>
                <c:pt idx="7">
                  <c:v>0.28813863060367101</c:v>
                </c:pt>
                <c:pt idx="8">
                  <c:v>0.23396517902849201</c:v>
                </c:pt>
                <c:pt idx="9">
                  <c:v>0.16076373201873501</c:v>
                </c:pt>
                <c:pt idx="10">
                  <c:v>8.8392779217940504E-2</c:v>
                </c:pt>
                <c:pt idx="11">
                  <c:v>3.7489794796368998E-2</c:v>
                </c:pt>
                <c:pt idx="12">
                  <c:v>1.2774081162270899E-2</c:v>
                </c:pt>
                <c:pt idx="13">
                  <c:v>4.6828709714930904E-3</c:v>
                </c:pt>
                <c:pt idx="14">
                  <c:v>2.5314636919898299E-3</c:v>
                </c:pt>
                <c:pt idx="15">
                  <c:v>1.7067498757420399E-3</c:v>
                </c:pt>
                <c:pt idx="16">
                  <c:v>1.19416696838182E-3</c:v>
                </c:pt>
                <c:pt idx="17">
                  <c:v>8.2768922216432605E-4</c:v>
                </c:pt>
                <c:pt idx="18">
                  <c:v>5.9529513878498505E-4</c:v>
                </c:pt>
                <c:pt idx="19">
                  <c:v>4.2329030108824401E-4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8-C248-A9AA-1D3426C376D0}"/>
            </c:ext>
          </c:extLst>
        </c:ser>
        <c:ser>
          <c:idx val="1"/>
          <c:order val="1"/>
          <c:tx>
            <c:strRef>
              <c:f>Portfolio!$D$24</c:f>
              <c:strCache>
                <c:ptCount val="1"/>
                <c:pt idx="0">
                  <c:v>Private Credit</c:v>
                </c:pt>
              </c:strCache>
            </c:strRef>
          </c:tx>
          <c:spPr>
            <a:solidFill>
              <a:schemeClr val="accent6"/>
            </a:solidFill>
            <a:ln w="317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208-C248-A9AA-1D3426C376D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208-C248-A9AA-1D3426C376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208-C248-A9AA-1D3426C376D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208-C248-A9AA-1D3426C376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208-C248-A9AA-1D3426C376D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208-C248-A9AA-1D3426C376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208-C248-A9AA-1D3426C376D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208-C248-A9AA-1D3426C376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208-C248-A9AA-1D3426C376D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208-C248-A9AA-1D3426C376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208-C248-A9AA-1D3426C376D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208-C248-A9AA-1D3426C376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208-C248-A9AA-1D3426C376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Portfolio!$D$25:$D$44</c:f>
              <c:numCache>
                <c:formatCode>0%</c:formatCode>
                <c:ptCount val="20"/>
                <c:pt idx="0">
                  <c:v>0</c:v>
                </c:pt>
                <c:pt idx="1">
                  <c:v>0.17499999999999999</c:v>
                </c:pt>
                <c:pt idx="2">
                  <c:v>0.334808245468799</c:v>
                </c:pt>
                <c:pt idx="3">
                  <c:v>0.35751646897839301</c:v>
                </c:pt>
                <c:pt idx="4">
                  <c:v>0.33300803131343698</c:v>
                </c:pt>
                <c:pt idx="5">
                  <c:v>0.23411588029938801</c:v>
                </c:pt>
                <c:pt idx="6">
                  <c:v>0.10667843266336401</c:v>
                </c:pt>
                <c:pt idx="7">
                  <c:v>2.2009324921905798E-2</c:v>
                </c:pt>
                <c:pt idx="8">
                  <c:v>1.0981605054666099E-3</c:v>
                </c:pt>
                <c:pt idx="9">
                  <c:v>4.5115867325782396E-6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8-C248-A9AA-1D3426C376D0}"/>
            </c:ext>
          </c:extLst>
        </c:ser>
        <c:ser>
          <c:idx val="2"/>
          <c:order val="2"/>
          <c:tx>
            <c:strRef>
              <c:f>Portfolio!$E$24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 w="317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Portfolio!$E$25:$E$44</c:f>
              <c:numCache>
                <c:formatCode>0%</c:formatCode>
                <c:ptCount val="20"/>
                <c:pt idx="0">
                  <c:v>0.4</c:v>
                </c:pt>
                <c:pt idx="1">
                  <c:v>0.29399999999999998</c:v>
                </c:pt>
                <c:pt idx="2">
                  <c:v>0.1957406300266708</c:v>
                </c:pt>
                <c:pt idx="3">
                  <c:v>0.15522999575629359</c:v>
                </c:pt>
                <c:pt idx="4">
                  <c:v>0.14935778733610361</c:v>
                </c:pt>
                <c:pt idx="5">
                  <c:v>0.18042564781212841</c:v>
                </c:pt>
                <c:pt idx="6">
                  <c:v>0.23145023291721001</c:v>
                </c:pt>
                <c:pt idx="7">
                  <c:v>0.27594081778976881</c:v>
                </c:pt>
                <c:pt idx="8">
                  <c:v>0.30597466418641645</c:v>
                </c:pt>
                <c:pt idx="9">
                  <c:v>0.33569270255781281</c:v>
                </c:pt>
                <c:pt idx="10">
                  <c:v>0.36464288831282365</c:v>
                </c:pt>
                <c:pt idx="11">
                  <c:v>0.38500408208145243</c:v>
                </c:pt>
                <c:pt idx="12">
                  <c:v>0.39489036753509166</c:v>
                </c:pt>
                <c:pt idx="13">
                  <c:v>0.39812685161140243</c:v>
                </c:pt>
                <c:pt idx="14">
                  <c:v>0.39898741452320402</c:v>
                </c:pt>
                <c:pt idx="15">
                  <c:v>0.39931730004970323</c:v>
                </c:pt>
                <c:pt idx="16">
                  <c:v>0.39952233321264718</c:v>
                </c:pt>
                <c:pt idx="17">
                  <c:v>0.39966892431113399</c:v>
                </c:pt>
                <c:pt idx="18">
                  <c:v>0.39976188194448603</c:v>
                </c:pt>
                <c:pt idx="19">
                  <c:v>0.39983068387956444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08-C248-A9AA-1D3426C376D0}"/>
            </c:ext>
          </c:extLst>
        </c:ser>
        <c:ser>
          <c:idx val="3"/>
          <c:order val="3"/>
          <c:tx>
            <c:strRef>
              <c:f>Portfolio!$F$24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317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Portfolio!$F$25:$F$44</c:f>
              <c:numCache>
                <c:formatCode>0%</c:formatCode>
                <c:ptCount val="20"/>
                <c:pt idx="0">
                  <c:v>0.6</c:v>
                </c:pt>
                <c:pt idx="1">
                  <c:v>0.441</c:v>
                </c:pt>
                <c:pt idx="2">
                  <c:v>0.29361094504000618</c:v>
                </c:pt>
                <c:pt idx="3">
                  <c:v>0.23284499363444039</c:v>
                </c:pt>
                <c:pt idx="4">
                  <c:v>0.22403668100415541</c:v>
                </c:pt>
                <c:pt idx="5">
                  <c:v>0.27063847171819261</c:v>
                </c:pt>
                <c:pt idx="6">
                  <c:v>0.34717534937581496</c:v>
                </c:pt>
                <c:pt idx="7">
                  <c:v>0.41391122668465324</c:v>
                </c:pt>
                <c:pt idx="8">
                  <c:v>0.45896199627962458</c:v>
                </c:pt>
                <c:pt idx="9">
                  <c:v>0.50353905383671915</c:v>
                </c:pt>
                <c:pt idx="10">
                  <c:v>0.54696433246923537</c:v>
                </c:pt>
                <c:pt idx="11">
                  <c:v>0.57750612312217853</c:v>
                </c:pt>
                <c:pt idx="12">
                  <c:v>0.59233555130263738</c:v>
                </c:pt>
                <c:pt idx="13">
                  <c:v>0.59719027741710362</c:v>
                </c:pt>
                <c:pt idx="14">
                  <c:v>0.59848112178480595</c:v>
                </c:pt>
                <c:pt idx="15">
                  <c:v>0.59897595007455473</c:v>
                </c:pt>
                <c:pt idx="16">
                  <c:v>0.59928349981897078</c:v>
                </c:pt>
                <c:pt idx="17">
                  <c:v>0.59950338646670098</c:v>
                </c:pt>
                <c:pt idx="18">
                  <c:v>0.59964282291672899</c:v>
                </c:pt>
                <c:pt idx="19">
                  <c:v>0.59974602581934655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08-C248-A9AA-1D3426C37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100"/>
        <c:axId val="942282511"/>
        <c:axId val="421461151"/>
      </c:barChart>
      <c:catAx>
        <c:axId val="94228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21461151"/>
        <c:crosses val="autoZero"/>
        <c:auto val="1"/>
        <c:lblAlgn val="ctr"/>
        <c:lblOffset val="100"/>
        <c:noMultiLvlLbl val="0"/>
      </c:catAx>
      <c:valAx>
        <c:axId val="421461151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94228251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 b="0" i="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394215170339894E-2"/>
          <c:y val="0.13831073199183436"/>
          <c:w val="0.87375486355662824"/>
          <c:h val="0.754660250801983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Flows!$B$1</c:f>
              <c:strCache>
                <c:ptCount val="1"/>
                <c:pt idx="0">
                  <c:v>Buyout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Flows!$B$3:$B$22</c:f>
              <c:numCache>
                <c:formatCode>0</c:formatCode>
                <c:ptCount val="20"/>
                <c:pt idx="0">
                  <c:v>-9</c:v>
                </c:pt>
                <c:pt idx="1">
                  <c:v>-9</c:v>
                </c:pt>
                <c:pt idx="2">
                  <c:v>-9</c:v>
                </c:pt>
                <c:pt idx="3">
                  <c:v>-5.1349999999999998</c:v>
                </c:pt>
                <c:pt idx="4">
                  <c:v>-3.98999999999999</c:v>
                </c:pt>
                <c:pt idx="5">
                  <c:v>-3.1</c:v>
                </c:pt>
                <c:pt idx="6">
                  <c:v>-2.4049999999999998</c:v>
                </c:pt>
                <c:pt idx="7">
                  <c:v>-1.87</c:v>
                </c:pt>
                <c:pt idx="8">
                  <c:v>-1.45</c:v>
                </c:pt>
                <c:pt idx="9">
                  <c:v>-1.1299999999999999</c:v>
                </c:pt>
                <c:pt idx="10">
                  <c:v>-0.875</c:v>
                </c:pt>
                <c:pt idx="11">
                  <c:v>-0.67999999999999905</c:v>
                </c:pt>
                <c:pt idx="12">
                  <c:v>-0.53</c:v>
                </c:pt>
                <c:pt idx="13">
                  <c:v>-0.41</c:v>
                </c:pt>
                <c:pt idx="14">
                  <c:v>-0.32</c:v>
                </c:pt>
                <c:pt idx="15">
                  <c:v>-0.25</c:v>
                </c:pt>
                <c:pt idx="16">
                  <c:v>-0.19</c:v>
                </c:pt>
                <c:pt idx="17">
                  <c:v>-0.15</c:v>
                </c:pt>
                <c:pt idx="18">
                  <c:v>-0.11499999999999901</c:v>
                </c:pt>
                <c:pt idx="19">
                  <c:v>-0.09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2-C843-A012-37995ADF1B41}"/>
            </c:ext>
          </c:extLst>
        </c:ser>
        <c:ser>
          <c:idx val="1"/>
          <c:order val="1"/>
          <c:tx>
            <c:strRef>
              <c:f>Flows!$C$1</c:f>
              <c:strCache>
                <c:ptCount val="1"/>
                <c:pt idx="0">
                  <c:v>Private Credit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Flows!$C$3:$C$22</c:f>
              <c:numCache>
                <c:formatCode>0</c:formatCode>
                <c:ptCount val="20"/>
                <c:pt idx="0">
                  <c:v>-17.5</c:v>
                </c:pt>
                <c:pt idx="1">
                  <c:v>-17.5</c:v>
                </c:pt>
                <c:pt idx="2">
                  <c:v>-5.0149999999999997</c:v>
                </c:pt>
                <c:pt idx="3">
                  <c:v>-3.34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2-C843-A012-37995ADF1B41}"/>
            </c:ext>
          </c:extLst>
        </c:ser>
        <c:ser>
          <c:idx val="2"/>
          <c:order val="2"/>
          <c:tx>
            <c:strRef>
              <c:f>Flows!$D$1</c:f>
              <c:strCache>
                <c:ptCount val="1"/>
                <c:pt idx="0">
                  <c:v>Buyout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Flows!$D$3:$D$22</c:f>
              <c:numCache>
                <c:formatCode>0</c:formatCode>
                <c:ptCount val="20"/>
                <c:pt idx="0">
                  <c:v>0</c:v>
                </c:pt>
                <c:pt idx="1">
                  <c:v>9.9573680176074796E-4</c:v>
                </c:pt>
                <c:pt idx="2">
                  <c:v>5.0076404494187397E-2</c:v>
                </c:pt>
                <c:pt idx="3">
                  <c:v>0.38689291738676601</c:v>
                </c:pt>
                <c:pt idx="4">
                  <c:v>1.5010065897753899</c:v>
                </c:pt>
                <c:pt idx="5">
                  <c:v>3.9306290750942199</c:v>
                </c:pt>
                <c:pt idx="6">
                  <c:v>7.9462271792100596</c:v>
                </c:pt>
                <c:pt idx="7">
                  <c:v>12.880696604794799</c:v>
                </c:pt>
                <c:pt idx="8">
                  <c:v>16.622023829459401</c:v>
                </c:pt>
                <c:pt idx="9">
                  <c:v>16.532017866799901</c:v>
                </c:pt>
                <c:pt idx="10">
                  <c:v>12.2033780101514</c:v>
                </c:pt>
                <c:pt idx="11">
                  <c:v>6.4354410444379697</c:v>
                </c:pt>
                <c:pt idx="12">
                  <c:v>2.5218931720845199</c:v>
                </c:pt>
                <c:pt idx="13">
                  <c:v>0.97960997203245304</c:v>
                </c:pt>
                <c:pt idx="14">
                  <c:v>0.55919878705395099</c:v>
                </c:pt>
                <c:pt idx="15">
                  <c:v>0.40691718093395202</c:v>
                </c:pt>
                <c:pt idx="16">
                  <c:v>0.30777414196385799</c:v>
                </c:pt>
                <c:pt idx="17">
                  <c:v>0.22923661422851899</c:v>
                </c:pt>
                <c:pt idx="18">
                  <c:v>0.176892494795687</c:v>
                </c:pt>
                <c:pt idx="19">
                  <c:v>0.134042989368375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2-C843-A012-37995ADF1B41}"/>
            </c:ext>
          </c:extLst>
        </c:ser>
        <c:ser>
          <c:idx val="3"/>
          <c:order val="3"/>
          <c:tx>
            <c:strRef>
              <c:f>Flows!$E$1</c:f>
              <c:strCache>
                <c:ptCount val="1"/>
                <c:pt idx="0">
                  <c:v>Private Credit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Flows!$E$3:$E$22</c:f>
              <c:numCache>
                <c:formatCode>0</c:formatCode>
                <c:ptCount val="20"/>
                <c:pt idx="0">
                  <c:v>0</c:v>
                </c:pt>
                <c:pt idx="1">
                  <c:v>1.0075101090255201</c:v>
                </c:pt>
                <c:pt idx="2">
                  <c:v>3.3208997083278802</c:v>
                </c:pt>
                <c:pt idx="3">
                  <c:v>7.4010020834184997</c:v>
                </c:pt>
                <c:pt idx="4">
                  <c:v>14.5207470627745</c:v>
                </c:pt>
                <c:pt idx="5">
                  <c:v>20.101500493118198</c:v>
                </c:pt>
                <c:pt idx="6">
                  <c:v>14.335159383097199</c:v>
                </c:pt>
                <c:pt idx="7">
                  <c:v>3.74824045649589</c:v>
                </c:pt>
                <c:pt idx="8">
                  <c:v>0.209438286609408</c:v>
                </c:pt>
                <c:pt idx="9">
                  <c:v>9.1636005485734801E-4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B2-C843-A012-37995ADF1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2515376"/>
        <c:axId val="1806156704"/>
      </c:barChart>
      <c:catAx>
        <c:axId val="158251537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806156704"/>
        <c:crosses val="autoZero"/>
        <c:auto val="1"/>
        <c:lblAlgn val="ctr"/>
        <c:lblOffset val="100"/>
        <c:noMultiLvlLbl val="0"/>
      </c:catAx>
      <c:valAx>
        <c:axId val="18061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Light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8251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Light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0" i="0">
          <a:latin typeface="Aptos Light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469900</xdr:colOff>
      <xdr:row>23</xdr:row>
      <xdr:rowOff>177800</xdr:rowOff>
    </xdr:from>
    <xdr:to>
      <xdr:col>18</xdr:col>
      <xdr:colOff>114300</xdr:colOff>
      <xdr:row>38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A11C38-4160-19DC-F65E-77798B394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472209</xdr:colOff>
      <xdr:row>23</xdr:row>
      <xdr:rowOff>197426</xdr:rowOff>
    </xdr:from>
    <xdr:to>
      <xdr:col>9</xdr:col>
      <xdr:colOff>655782</xdr:colOff>
      <xdr:row>38</xdr:row>
      <xdr:rowOff>53108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83BCA-84CB-7B43-AF58-7E37DB108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817336</xdr:colOff>
      <xdr:row>1</xdr:row>
      <xdr:rowOff>145144</xdr:rowOff>
    </xdr:from>
    <xdr:to>
      <xdr:col>13</xdr:col>
      <xdr:colOff>436336</xdr:colOff>
      <xdr:row>15</xdr:row>
      <xdr:rowOff>47172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3E5404-DD8B-3986-AB7C-0E9B96B42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399839</xdr:colOff>
      <xdr:row>19</xdr:row>
      <xdr:rowOff>33494</xdr:rowOff>
    </xdr:from>
    <xdr:to>
      <xdr:col>20</xdr:col>
      <xdr:colOff>616856</xdr:colOff>
      <xdr:row>38</xdr:row>
      <xdr:rowOff>136072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389CD0-EA99-4544-3B71-82793AD91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730250</xdr:colOff>
      <xdr:row>3</xdr:row>
      <xdr:rowOff>88900</xdr:rowOff>
    </xdr:from>
    <xdr:to>
      <xdr:col>10</xdr:col>
      <xdr:colOff>393700</xdr:colOff>
      <xdr:row>16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702E8-F294-A8A2-6F03-B4839EAD3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6AC7-2913-5B49-858B-FCBF041D907D}">
  <dimension ref="A1:AZ134"/>
  <sheetViews>
    <sheetView topLeftCell="A5" zoomScale="110" zoomScaleNormal="110" workbookViewId="0">
      <selection activeCell="L24" sqref="L24"/>
    </sheetView>
  </sheetViews>
  <sheetFormatPr baseColWidth="10" defaultRowHeight="16" x14ac:dyDescent="0.2"/>
  <cols>
    <col min="1" max="1" width="10.83203125" style="1"/>
    <col min="2" max="2" width="10.6640625" style="1" bestFit="1" customWidth="1"/>
    <col min="3" max="3" width="14.6640625" style="1" bestFit="1" customWidth="1"/>
    <col min="4" max="4" width="10.83203125" style="1"/>
    <col min="7" max="10" width="10.83203125" style="1"/>
  </cols>
  <sheetData>
    <row r="1" spans="1:52" x14ac:dyDescent="0.2">
      <c r="A1" s="9"/>
      <c r="B1" s="48" t="s">
        <v>4</v>
      </c>
      <c r="C1" s="48"/>
      <c r="D1" s="49"/>
      <c r="E1" s="2"/>
      <c r="F1" s="2"/>
      <c r="G1" s="3" t="s">
        <v>1</v>
      </c>
      <c r="H1" s="3" t="s">
        <v>1</v>
      </c>
      <c r="I1" s="3"/>
      <c r="J1" s="3"/>
      <c r="K1" s="2"/>
      <c r="L1" s="2"/>
      <c r="M1" s="2"/>
      <c r="N1" s="2"/>
      <c r="O1" s="2"/>
      <c r="P1" s="2"/>
      <c r="Q1" s="2"/>
      <c r="R1" s="2"/>
    </row>
    <row r="2" spans="1:52" ht="20" customHeight="1" x14ac:dyDescent="0.2">
      <c r="A2" s="7"/>
      <c r="B2" s="6" t="s">
        <v>8</v>
      </c>
      <c r="C2" s="6" t="s">
        <v>2</v>
      </c>
      <c r="D2" s="8" t="s">
        <v>3</v>
      </c>
      <c r="E2" s="2"/>
      <c r="F2" s="2"/>
      <c r="G2" s="3" t="s">
        <v>5</v>
      </c>
      <c r="H2" s="3" t="s">
        <v>6</v>
      </c>
      <c r="I2" s="3" t="s">
        <v>7</v>
      </c>
      <c r="J2" s="3"/>
      <c r="K2" s="2"/>
      <c r="L2" s="2"/>
      <c r="M2" s="2"/>
      <c r="N2" s="2"/>
      <c r="O2" s="2"/>
      <c r="P2" s="2"/>
      <c r="Q2" s="2"/>
      <c r="R2" s="2"/>
    </row>
    <row r="3" spans="1:52" x14ac:dyDescent="0.2">
      <c r="A3" s="3">
        <v>0</v>
      </c>
      <c r="B3" s="4">
        <v>0</v>
      </c>
      <c r="C3" s="5">
        <v>0</v>
      </c>
      <c r="D3" s="5">
        <v>0</v>
      </c>
      <c r="E3" s="2"/>
      <c r="F3" s="2">
        <v>0</v>
      </c>
      <c r="G3" s="4">
        <v>-18</v>
      </c>
      <c r="H3" s="4">
        <v>0</v>
      </c>
      <c r="I3" s="4">
        <f>J3</f>
        <v>-18</v>
      </c>
      <c r="J3" s="4">
        <f>G3+H3</f>
        <v>-18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3">
        <v>1</v>
      </c>
      <c r="B4" s="4">
        <v>18</v>
      </c>
      <c r="C4" s="5">
        <v>35</v>
      </c>
      <c r="D4" s="5">
        <v>53</v>
      </c>
      <c r="E4" s="2"/>
      <c r="F4" s="2">
        <v>1</v>
      </c>
      <c r="G4" s="4">
        <v>-18</v>
      </c>
      <c r="H4" s="4">
        <v>1.9914736035214898E-3</v>
      </c>
      <c r="I4" s="4">
        <f>I3+J4</f>
        <v>-35.998008526396475</v>
      </c>
      <c r="J4" s="4">
        <f t="shared" ref="J4:J22" si="0">G4+H4</f>
        <v>-17.998008526396479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3">
        <v>2</v>
      </c>
      <c r="B5" s="4">
        <v>37.912744561611397</v>
      </c>
      <c r="C5" s="5">
        <v>72.187707759595796</v>
      </c>
      <c r="D5" s="5">
        <v>110.100452321207</v>
      </c>
      <c r="E5" s="2"/>
      <c r="F5" s="2">
        <v>2</v>
      </c>
      <c r="G5" s="4">
        <v>-18</v>
      </c>
      <c r="H5" s="4">
        <v>0.100152808988374</v>
      </c>
      <c r="I5" s="4">
        <f t="shared" ref="I5:I22" si="1">I4+J5</f>
        <v>-53.897855717408106</v>
      </c>
      <c r="J5" s="4">
        <f t="shared" si="0"/>
        <v>-17.899847191011627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3">
        <v>3</v>
      </c>
      <c r="B6" s="4">
        <v>59.6301842695011</v>
      </c>
      <c r="C6" s="5">
        <v>83.797394489588399</v>
      </c>
      <c r="D6" s="5">
        <v>143.42757875908899</v>
      </c>
      <c r="E6" s="2"/>
      <c r="F6" s="2">
        <v>3</v>
      </c>
      <c r="G6" s="4">
        <v>-10.27</v>
      </c>
      <c r="H6" s="4">
        <v>0.77378583477353302</v>
      </c>
      <c r="I6" s="4">
        <f t="shared" si="1"/>
        <v>-63.394069882634575</v>
      </c>
      <c r="J6" s="4">
        <f t="shared" si="0"/>
        <v>-9.4962141652264673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3">
        <v>4</v>
      </c>
      <c r="B7" s="4">
        <v>75.071284908746193</v>
      </c>
      <c r="C7" s="5">
        <v>85.148343450283306</v>
      </c>
      <c r="D7" s="5">
        <v>160.219628359029</v>
      </c>
      <c r="E7" s="2"/>
      <c r="F7" s="2">
        <v>4</v>
      </c>
      <c r="G7" s="4">
        <v>-7.9799999999999898</v>
      </c>
      <c r="H7" s="4">
        <v>3.0020131795507901</v>
      </c>
      <c r="I7" s="4">
        <f t="shared" si="1"/>
        <v>-68.372056703083771</v>
      </c>
      <c r="J7" s="4">
        <f t="shared" si="0"/>
        <v>-4.9779868204491997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3">
        <v>5</v>
      </c>
      <c r="B8" s="4">
        <v>87.906527692018201</v>
      </c>
      <c r="C8" s="5">
        <v>65.371685736443794</v>
      </c>
      <c r="D8" s="5">
        <v>153.27821342846201</v>
      </c>
      <c r="E8" s="2"/>
      <c r="F8" s="2">
        <v>5</v>
      </c>
      <c r="G8" s="4">
        <v>-6.2</v>
      </c>
      <c r="H8" s="4">
        <v>7.8612581501884398</v>
      </c>
      <c r="I8" s="4">
        <f t="shared" si="1"/>
        <v>-66.710798552895326</v>
      </c>
      <c r="J8" s="4">
        <f t="shared" si="0"/>
        <v>1.6612581501884396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3">
        <v>6</v>
      </c>
      <c r="B9" s="4">
        <v>95.631540738282297</v>
      </c>
      <c r="C9" s="5">
        <v>32.418026806820698</v>
      </c>
      <c r="D9" s="5">
        <v>128.049567545103</v>
      </c>
      <c r="E9" s="2"/>
      <c r="F9" s="2">
        <v>6</v>
      </c>
      <c r="G9" s="4">
        <v>-4.8099999999999996</v>
      </c>
      <c r="H9" s="4">
        <v>15.8924543584201</v>
      </c>
      <c r="I9" s="4">
        <f t="shared" si="1"/>
        <v>-55.628344194475225</v>
      </c>
      <c r="J9" s="4">
        <f t="shared" si="0"/>
        <v>11.082454358420101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3">
        <v>7</v>
      </c>
      <c r="B10" s="4">
        <v>94.305174013066207</v>
      </c>
      <c r="C10" s="5">
        <v>7.2034534637786098</v>
      </c>
      <c r="D10" s="5">
        <v>101.508627476844</v>
      </c>
      <c r="E10" s="2"/>
      <c r="F10" s="2">
        <v>7</v>
      </c>
      <c r="G10" s="4">
        <v>-3.74</v>
      </c>
      <c r="H10" s="4">
        <v>25.761393209589599</v>
      </c>
      <c r="I10" s="4">
        <f t="shared" si="1"/>
        <v>-33.606950984885628</v>
      </c>
      <c r="J10" s="4">
        <f t="shared" si="0"/>
        <v>22.021393209589597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3">
        <v>8</v>
      </c>
      <c r="B11" s="4">
        <v>81.939031365025599</v>
      </c>
      <c r="C11" s="5">
        <v>0.38459658174306099</v>
      </c>
      <c r="D11" s="5">
        <v>82.323627946768696</v>
      </c>
      <c r="E11" s="2"/>
      <c r="F11" s="2">
        <v>8</v>
      </c>
      <c r="G11" s="4">
        <v>-2.9</v>
      </c>
      <c r="H11" s="4">
        <v>33.244047658918902</v>
      </c>
      <c r="I11" s="4">
        <f t="shared" si="1"/>
        <v>-3.2629033259667253</v>
      </c>
      <c r="J11" s="4">
        <f t="shared" si="0"/>
        <v>30.344047658918903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3">
        <v>9</v>
      </c>
      <c r="B12" s="4">
        <v>59.943968796591498</v>
      </c>
      <c r="C12" s="5">
        <v>1.6822352338105001E-3</v>
      </c>
      <c r="D12" s="5">
        <v>59.9456510318253</v>
      </c>
      <c r="E12" s="2"/>
      <c r="F12" s="2">
        <v>9</v>
      </c>
      <c r="G12" s="4">
        <v>-2.2599999999999998</v>
      </c>
      <c r="H12" s="4">
        <v>33.064035733599802</v>
      </c>
      <c r="I12" s="4">
        <f t="shared" si="1"/>
        <v>27.541132407633079</v>
      </c>
      <c r="J12" s="4">
        <f t="shared" si="0"/>
        <v>30.804035733599804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3">
        <v>10</v>
      </c>
      <c r="B13" s="4">
        <v>34.929633716896802</v>
      </c>
      <c r="C13" s="5">
        <v>0</v>
      </c>
      <c r="D13" s="5">
        <v>34.929633716896802</v>
      </c>
      <c r="E13" s="2"/>
      <c r="F13" s="2">
        <v>10</v>
      </c>
      <c r="G13" s="4">
        <v>-1.75</v>
      </c>
      <c r="H13" s="4">
        <v>24.4067560203029</v>
      </c>
      <c r="I13" s="4">
        <f t="shared" si="1"/>
        <v>50.197888427935979</v>
      </c>
      <c r="J13" s="4">
        <f t="shared" si="0"/>
        <v>22.6567560203029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3">
        <v>11</v>
      </c>
      <c r="B14" s="4">
        <v>15.6403662459812</v>
      </c>
      <c r="C14" s="5">
        <v>0</v>
      </c>
      <c r="D14" s="5">
        <v>15.6403662459812</v>
      </c>
      <c r="E14" s="2"/>
      <c r="F14" s="2">
        <v>11</v>
      </c>
      <c r="G14" s="4">
        <v>-1.3599999999999901</v>
      </c>
      <c r="H14" s="4">
        <v>12.8708820888759</v>
      </c>
      <c r="I14" s="4">
        <f t="shared" si="1"/>
        <v>61.708770516811889</v>
      </c>
      <c r="J14" s="4">
        <f t="shared" si="0"/>
        <v>11.51088208887591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3">
        <v>12</v>
      </c>
      <c r="B15" s="4">
        <v>5.6137614567280201</v>
      </c>
      <c r="C15" s="5">
        <v>0</v>
      </c>
      <c r="D15" s="5">
        <v>5.6137614567280201</v>
      </c>
      <c r="E15" s="2"/>
      <c r="F15" s="2">
        <v>12</v>
      </c>
      <c r="G15" s="4">
        <v>-1.06</v>
      </c>
      <c r="H15" s="4">
        <v>5.0437863441690398</v>
      </c>
      <c r="I15" s="4">
        <f t="shared" si="1"/>
        <v>65.692556860980929</v>
      </c>
      <c r="J15" s="4">
        <f t="shared" si="0"/>
        <v>3.9837863441690398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3">
        <v>13</v>
      </c>
      <c r="B16" s="4">
        <v>2.1656727440643602</v>
      </c>
      <c r="C16" s="5">
        <v>0</v>
      </c>
      <c r="D16" s="5">
        <v>2.1656727440643602</v>
      </c>
      <c r="E16" s="2"/>
      <c r="F16" s="2">
        <v>13</v>
      </c>
      <c r="G16" s="4">
        <v>-0.82</v>
      </c>
      <c r="H16" s="4">
        <v>1.9592199440649001</v>
      </c>
      <c r="I16" s="4">
        <f t="shared" si="1"/>
        <v>66.831776805045834</v>
      </c>
      <c r="J16" s="4">
        <f t="shared" si="0"/>
        <v>1.1392199440649002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3">
        <v>14</v>
      </c>
      <c r="B17" s="4">
        <v>1.2324299095422899</v>
      </c>
      <c r="C17" s="5">
        <v>0</v>
      </c>
      <c r="D17" s="5">
        <v>1.2324299095422899</v>
      </c>
      <c r="E17" s="2"/>
      <c r="F17" s="2">
        <v>14</v>
      </c>
      <c r="G17" s="4">
        <v>-0.64</v>
      </c>
      <c r="H17" s="4">
        <v>1.1183975741079</v>
      </c>
      <c r="I17" s="4">
        <f t="shared" si="1"/>
        <v>67.310174379153736</v>
      </c>
      <c r="J17" s="4">
        <f t="shared" si="0"/>
        <v>0.47839757410789996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3">
        <v>15</v>
      </c>
      <c r="B18" s="4">
        <v>0.87363044101286902</v>
      </c>
      <c r="C18" s="5">
        <v>0</v>
      </c>
      <c r="D18" s="5">
        <v>0.87363044101286902</v>
      </c>
      <c r="E18" s="2"/>
      <c r="F18" s="2">
        <v>15</v>
      </c>
      <c r="G18" s="4">
        <v>-0.5</v>
      </c>
      <c r="H18" s="4">
        <v>0.81383436186790503</v>
      </c>
      <c r="I18" s="4">
        <f t="shared" si="1"/>
        <v>67.62400874102164</v>
      </c>
      <c r="J18" s="4">
        <f t="shared" si="0"/>
        <v>0.31383436186790503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3">
        <v>16</v>
      </c>
      <c r="B19" s="4">
        <v>0.64271754441783102</v>
      </c>
      <c r="C19" s="5">
        <v>0</v>
      </c>
      <c r="D19" s="5">
        <v>0.64271754441783102</v>
      </c>
      <c r="E19" s="2"/>
      <c r="F19" s="2">
        <v>16</v>
      </c>
      <c r="G19" s="4">
        <v>-0.38</v>
      </c>
      <c r="H19" s="4">
        <v>0.61554828392771599</v>
      </c>
      <c r="I19" s="4">
        <f t="shared" si="1"/>
        <v>67.859557024949353</v>
      </c>
      <c r="J19" s="4">
        <f t="shared" si="0"/>
        <v>0.23554828392771598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3">
        <v>17</v>
      </c>
      <c r="B20" s="4">
        <v>0.46833768968888301</v>
      </c>
      <c r="C20" s="5">
        <v>0</v>
      </c>
      <c r="D20" s="5">
        <v>0.46833768968888301</v>
      </c>
      <c r="E20" s="2"/>
      <c r="F20" s="2">
        <v>17</v>
      </c>
      <c r="G20" s="4">
        <v>-0.3</v>
      </c>
      <c r="H20" s="4">
        <v>0.45847322845703797</v>
      </c>
      <c r="I20" s="4">
        <f t="shared" si="1"/>
        <v>68.018030253406394</v>
      </c>
      <c r="J20" s="4">
        <f t="shared" si="0"/>
        <v>0.15847322845703798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3">
        <v>18</v>
      </c>
      <c r="B21" s="4">
        <v>0.35430300290079397</v>
      </c>
      <c r="C21" s="5">
        <v>0</v>
      </c>
      <c r="D21" s="5">
        <v>0.35430300290079397</v>
      </c>
      <c r="E21" s="2"/>
      <c r="F21" s="2">
        <v>18</v>
      </c>
      <c r="G21" s="4">
        <v>-0.22999999999999901</v>
      </c>
      <c r="H21" s="4">
        <v>0.353784989591374</v>
      </c>
      <c r="I21" s="4">
        <f t="shared" si="1"/>
        <v>68.141815242997765</v>
      </c>
      <c r="J21" s="4">
        <f t="shared" si="0"/>
        <v>0.12378498959137499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3">
        <v>19</v>
      </c>
      <c r="B22" s="4">
        <v>0.26486159899631501</v>
      </c>
      <c r="C22" s="5">
        <v>0</v>
      </c>
      <c r="D22" s="5">
        <v>0.26486159899631501</v>
      </c>
      <c r="E22" s="2"/>
      <c r="F22" s="2">
        <v>19</v>
      </c>
      <c r="G22" s="4">
        <v>-0.18</v>
      </c>
      <c r="H22" s="4">
        <v>0.26808597873675</v>
      </c>
      <c r="I22" s="4">
        <f t="shared" si="1"/>
        <v>68.229901221734522</v>
      </c>
      <c r="J22" s="4">
        <f t="shared" si="0"/>
        <v>8.8085978736750004E-2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3"/>
      <c r="B23" s="3"/>
      <c r="C23" s="3"/>
      <c r="D23" s="3"/>
      <c r="E23" s="2"/>
      <c r="F23" s="2"/>
      <c r="G23" s="3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3"/>
      <c r="B24" s="3"/>
      <c r="C24" s="3"/>
      <c r="D24" s="3"/>
      <c r="E24" s="2"/>
      <c r="F24" s="2"/>
      <c r="G24" s="3"/>
      <c r="H24" s="3"/>
      <c r="I24" s="3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3"/>
      <c r="B25" s="3"/>
      <c r="C25" s="3"/>
      <c r="D25" s="3"/>
      <c r="E25" s="2"/>
      <c r="F25" s="2"/>
      <c r="G25" s="3"/>
      <c r="H25" s="3"/>
      <c r="I25" s="3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3"/>
      <c r="B26" s="3"/>
      <c r="C26" s="3"/>
      <c r="D26" s="3"/>
      <c r="E26" s="2"/>
      <c r="F26" s="2"/>
      <c r="G26" s="3"/>
      <c r="H26" s="3"/>
      <c r="I26" s="3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3"/>
      <c r="B27" s="3"/>
      <c r="C27" s="3"/>
      <c r="D27" s="3"/>
      <c r="E27" s="2"/>
      <c r="F27" s="2"/>
      <c r="G27" s="3"/>
      <c r="H27" s="3"/>
      <c r="I27" s="3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3"/>
      <c r="B28" s="3"/>
      <c r="C28" s="3"/>
      <c r="D28" s="3"/>
      <c r="E28" s="2"/>
      <c r="F28" s="2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3"/>
      <c r="B29" s="3"/>
      <c r="C29" s="3"/>
      <c r="D29" s="3"/>
      <c r="E29" s="2"/>
      <c r="F29" s="2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3"/>
      <c r="B30" s="3"/>
      <c r="C30" s="3"/>
      <c r="D30" s="3"/>
      <c r="E30" s="2"/>
      <c r="F30" s="2"/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3"/>
      <c r="B31" s="3"/>
      <c r="C31" s="3"/>
      <c r="D31" s="3"/>
      <c r="E31" s="2"/>
      <c r="F31" s="2"/>
      <c r="G31" s="3"/>
      <c r="H31" s="3"/>
      <c r="I31" s="3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3"/>
      <c r="B32" s="3"/>
      <c r="C32" s="3"/>
      <c r="D32" s="3"/>
      <c r="E32" s="2"/>
      <c r="F32" s="2"/>
      <c r="G32" s="3"/>
      <c r="H32" s="3"/>
      <c r="I32" s="3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3"/>
      <c r="B33" s="3"/>
      <c r="C33" s="3"/>
      <c r="D33" s="3"/>
      <c r="E33" s="2"/>
      <c r="F33" s="2"/>
      <c r="G33" s="3"/>
      <c r="H33" s="3"/>
      <c r="I33" s="3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3"/>
      <c r="B34" s="3"/>
      <c r="C34" s="3"/>
      <c r="D34" s="3"/>
      <c r="E34" s="2"/>
      <c r="F34" s="2"/>
      <c r="G34" s="3"/>
      <c r="H34" s="3"/>
      <c r="I34" s="3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3"/>
      <c r="B35" s="3"/>
      <c r="C35" s="3"/>
      <c r="D35" s="3"/>
      <c r="E35" s="2"/>
      <c r="F35" s="2"/>
      <c r="G35" s="3"/>
      <c r="H35" s="3"/>
      <c r="I35" s="3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3"/>
      <c r="B36" s="3"/>
      <c r="C36" s="3"/>
      <c r="D36" s="3"/>
      <c r="E36" s="2"/>
      <c r="F36" s="2"/>
      <c r="G36" s="3"/>
      <c r="H36" s="3"/>
      <c r="I36" s="3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3"/>
      <c r="B37" s="3"/>
      <c r="C37" s="3"/>
      <c r="D37" s="3"/>
      <c r="E37" s="2"/>
      <c r="F37" s="2"/>
      <c r="G37" s="3"/>
      <c r="H37" s="3"/>
      <c r="I37" s="3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3"/>
      <c r="B38" s="3"/>
      <c r="C38" s="3"/>
      <c r="D38" s="3"/>
      <c r="E38" s="2"/>
      <c r="F38" s="2"/>
      <c r="G38" s="3"/>
      <c r="H38" s="3"/>
      <c r="I38" s="3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3"/>
      <c r="B39" s="3"/>
      <c r="C39" s="3"/>
      <c r="D39" s="3"/>
      <c r="E39" s="2"/>
      <c r="F39" s="2"/>
      <c r="G39" s="3"/>
      <c r="H39" s="3"/>
      <c r="I39" s="3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3"/>
      <c r="B40" s="3"/>
      <c r="C40" s="3"/>
      <c r="D40" s="3"/>
      <c r="E40" s="2"/>
      <c r="F40" s="2"/>
      <c r="G40" s="3"/>
      <c r="H40" s="3"/>
      <c r="I40" s="3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3"/>
      <c r="B41" s="3"/>
      <c r="C41" s="3"/>
      <c r="D41" s="3"/>
      <c r="E41" s="2"/>
      <c r="F41" s="2"/>
      <c r="G41" s="3"/>
      <c r="H41" s="3"/>
      <c r="I41" s="3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3"/>
      <c r="B42" s="3"/>
      <c r="C42" s="3"/>
      <c r="D42" s="3"/>
      <c r="E42" s="2"/>
      <c r="F42" s="2"/>
      <c r="G42" s="3"/>
      <c r="H42" s="3"/>
      <c r="I42" s="3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3"/>
      <c r="B43" s="3"/>
      <c r="C43" s="3"/>
      <c r="D43" s="3"/>
      <c r="E43" s="2"/>
      <c r="F43" s="2"/>
      <c r="G43" s="3"/>
      <c r="H43" s="3"/>
      <c r="I43" s="3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3"/>
      <c r="B44" s="3"/>
      <c r="C44" s="3"/>
      <c r="D44" s="3"/>
      <c r="E44" s="2"/>
      <c r="F44" s="2"/>
      <c r="G44" s="3"/>
      <c r="H44" s="3"/>
      <c r="I44" s="3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3"/>
      <c r="B45" s="3"/>
      <c r="C45" s="3"/>
      <c r="D45" s="3"/>
      <c r="E45" s="2"/>
      <c r="F45" s="2"/>
      <c r="G45" s="3"/>
      <c r="H45" s="3"/>
      <c r="I45" s="3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3"/>
      <c r="B46" s="3"/>
      <c r="C46" s="3"/>
      <c r="D46" s="3"/>
      <c r="E46" s="2"/>
      <c r="F46" s="2"/>
      <c r="G46" s="3"/>
      <c r="H46" s="3"/>
      <c r="I46" s="3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3"/>
      <c r="B47" s="3"/>
      <c r="C47" s="3"/>
      <c r="D47" s="3"/>
      <c r="E47" s="2"/>
      <c r="F47" s="2"/>
      <c r="G47" s="3"/>
      <c r="H47" s="3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3"/>
      <c r="B48" s="3"/>
      <c r="C48" s="3"/>
      <c r="D48" s="3"/>
      <c r="E48" s="2"/>
      <c r="F48" s="2"/>
      <c r="G48" s="3"/>
      <c r="H48" s="3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3"/>
      <c r="B49" s="3"/>
      <c r="C49" s="3"/>
      <c r="D49" s="3"/>
      <c r="E49" s="2"/>
      <c r="F49" s="2"/>
      <c r="G49" s="3"/>
      <c r="H49" s="3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3"/>
      <c r="B50" s="3"/>
      <c r="C50" s="3"/>
      <c r="D50" s="3"/>
      <c r="E50" s="2"/>
      <c r="F50" s="2"/>
      <c r="G50" s="3"/>
      <c r="H50" s="3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3"/>
      <c r="B51" s="3"/>
      <c r="C51" s="3"/>
      <c r="D51" s="3"/>
      <c r="E51" s="2"/>
      <c r="F51" s="2"/>
      <c r="G51" s="3"/>
      <c r="H51" s="3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3"/>
      <c r="B52" s="3"/>
      <c r="C52" s="3"/>
      <c r="D52" s="3"/>
      <c r="E52" s="2"/>
      <c r="F52" s="2"/>
      <c r="G52" s="3"/>
      <c r="H52" s="3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3"/>
      <c r="B53" s="3"/>
      <c r="C53" s="3"/>
      <c r="D53" s="3"/>
      <c r="E53" s="2"/>
      <c r="F53" s="2"/>
      <c r="G53" s="3"/>
      <c r="H53" s="3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3"/>
      <c r="B54" s="3"/>
      <c r="C54" s="3"/>
      <c r="D54" s="3"/>
      <c r="E54" s="2"/>
      <c r="F54" s="2"/>
      <c r="G54" s="3"/>
      <c r="H54" s="3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3"/>
      <c r="B55" s="3"/>
      <c r="C55" s="3"/>
      <c r="D55" s="3"/>
      <c r="E55" s="2"/>
      <c r="F55" s="2"/>
      <c r="G55" s="3"/>
      <c r="H55" s="3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3"/>
      <c r="B56" s="3"/>
      <c r="C56" s="3"/>
      <c r="D56" s="3"/>
      <c r="E56" s="2"/>
      <c r="F56" s="2"/>
      <c r="G56" s="3"/>
      <c r="H56" s="3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3"/>
      <c r="B57" s="3"/>
      <c r="C57" s="3"/>
      <c r="D57" s="3"/>
      <c r="E57" s="2"/>
      <c r="F57" s="2"/>
      <c r="G57" s="3"/>
      <c r="H57" s="3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3"/>
      <c r="B58" s="3"/>
      <c r="C58" s="3"/>
      <c r="D58" s="3"/>
      <c r="E58" s="2"/>
      <c r="F58" s="2"/>
      <c r="G58" s="3"/>
      <c r="H58" s="3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3"/>
      <c r="B59" s="3"/>
      <c r="C59" s="3"/>
      <c r="D59" s="3"/>
      <c r="E59" s="2"/>
      <c r="F59" s="2"/>
      <c r="G59" s="3"/>
      <c r="H59" s="3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3"/>
      <c r="B60" s="3"/>
      <c r="C60" s="3"/>
      <c r="D60" s="3"/>
      <c r="E60" s="2"/>
      <c r="F60" s="2"/>
      <c r="G60" s="3"/>
      <c r="H60" s="3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3"/>
      <c r="B61" s="3"/>
      <c r="C61" s="3"/>
      <c r="D61" s="3"/>
      <c r="E61" s="2"/>
      <c r="F61" s="2"/>
      <c r="G61" s="3"/>
      <c r="H61" s="3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3"/>
      <c r="B62" s="3"/>
      <c r="C62" s="3"/>
      <c r="D62" s="3"/>
      <c r="E62" s="2"/>
      <c r="F62" s="2"/>
      <c r="G62" s="3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3"/>
      <c r="B63" s="3"/>
      <c r="C63" s="3"/>
      <c r="D63" s="3"/>
      <c r="E63" s="2"/>
      <c r="F63" s="2"/>
      <c r="G63" s="3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3"/>
      <c r="B64" s="3"/>
      <c r="C64" s="3"/>
      <c r="D64" s="3"/>
      <c r="E64" s="2"/>
      <c r="F64" s="2"/>
      <c r="G64" s="3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3"/>
      <c r="B65" s="3"/>
      <c r="C65" s="3"/>
      <c r="D65" s="3"/>
      <c r="E65" s="2"/>
      <c r="F65" s="2"/>
      <c r="G65" s="3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3"/>
      <c r="B66" s="3"/>
      <c r="C66" s="3"/>
      <c r="D66" s="3"/>
      <c r="E66" s="2"/>
      <c r="F66" s="2"/>
      <c r="G66" s="3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3"/>
      <c r="B67" s="3"/>
      <c r="C67" s="3"/>
      <c r="D67" s="3"/>
      <c r="E67" s="2"/>
      <c r="F67" s="2"/>
      <c r="G67" s="3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3"/>
      <c r="B68" s="3"/>
      <c r="C68" s="3"/>
      <c r="D68" s="3"/>
      <c r="E68" s="2"/>
      <c r="F68" s="2"/>
      <c r="G68" s="3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3"/>
      <c r="B69" s="3"/>
      <c r="C69" s="3"/>
      <c r="D69" s="3"/>
      <c r="E69" s="2"/>
      <c r="F69" s="2"/>
      <c r="G69" s="3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3"/>
      <c r="B70" s="3"/>
      <c r="C70" s="3"/>
      <c r="D70" s="3"/>
      <c r="E70" s="2"/>
      <c r="F70" s="2"/>
      <c r="G70" s="3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3"/>
      <c r="B71" s="3"/>
      <c r="C71" s="3"/>
      <c r="D71" s="3"/>
      <c r="E71" s="2"/>
      <c r="F71" s="2"/>
      <c r="G71" s="3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3"/>
      <c r="B72" s="3"/>
      <c r="C72" s="3"/>
      <c r="D72" s="3"/>
      <c r="E72" s="2"/>
      <c r="F72" s="2"/>
      <c r="G72" s="3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3"/>
      <c r="B73" s="3"/>
      <c r="C73" s="3"/>
      <c r="D73" s="3"/>
      <c r="E73" s="2"/>
      <c r="F73" s="2"/>
      <c r="G73" s="3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3"/>
      <c r="B74" s="3"/>
      <c r="C74" s="3"/>
      <c r="D74" s="3"/>
      <c r="E74" s="2"/>
      <c r="F74" s="2"/>
      <c r="G74" s="3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3"/>
      <c r="B75" s="3"/>
      <c r="C75" s="3"/>
      <c r="D75" s="3"/>
      <c r="E75" s="2"/>
      <c r="F75" s="2"/>
      <c r="G75" s="3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3"/>
      <c r="B76" s="3"/>
      <c r="C76" s="3"/>
      <c r="D76" s="3"/>
      <c r="E76" s="2"/>
      <c r="F76" s="2"/>
      <c r="G76" s="3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3"/>
      <c r="B77" s="3"/>
      <c r="C77" s="3"/>
      <c r="D77" s="3"/>
      <c r="E77" s="2"/>
      <c r="F77" s="2"/>
      <c r="G77" s="3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">
      <c r="A78" s="3"/>
      <c r="B78" s="3"/>
      <c r="C78" s="3"/>
      <c r="D78" s="3"/>
      <c r="E78" s="2"/>
      <c r="F78" s="2"/>
      <c r="G78" s="3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">
      <c r="A79" s="3"/>
      <c r="B79" s="3"/>
      <c r="C79" s="3"/>
      <c r="D79" s="3"/>
      <c r="E79" s="2"/>
      <c r="F79" s="2"/>
      <c r="G79" s="3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">
      <c r="A80" s="3"/>
      <c r="B80" s="3"/>
      <c r="C80" s="3"/>
      <c r="D80" s="3"/>
      <c r="E80" s="2"/>
      <c r="F80" s="2"/>
      <c r="G80" s="3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">
      <c r="A81" s="3"/>
      <c r="B81" s="3"/>
      <c r="C81" s="3"/>
      <c r="D81" s="3"/>
      <c r="E81" s="2"/>
      <c r="F81" s="2"/>
      <c r="G81" s="3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">
      <c r="A82" s="3"/>
      <c r="B82" s="3"/>
      <c r="C82" s="3"/>
      <c r="D82" s="3"/>
      <c r="E82" s="2"/>
      <c r="F82" s="2"/>
      <c r="G82" s="3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">
      <c r="A83" s="3"/>
      <c r="B83" s="3"/>
      <c r="C83" s="3"/>
      <c r="D83" s="3"/>
      <c r="E83" s="2"/>
      <c r="F83" s="2"/>
      <c r="G83" s="3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">
      <c r="A84" s="3"/>
      <c r="B84" s="3"/>
      <c r="C84" s="3"/>
      <c r="D84" s="3"/>
      <c r="E84" s="2"/>
      <c r="F84" s="2"/>
      <c r="G84" s="3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">
      <c r="A85" s="3"/>
      <c r="B85" s="3"/>
      <c r="C85" s="3"/>
      <c r="D85" s="3"/>
      <c r="E85" s="2"/>
      <c r="F85" s="2"/>
      <c r="G85" s="3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">
      <c r="A86" s="3"/>
      <c r="B86" s="3"/>
      <c r="C86" s="3"/>
      <c r="D86" s="3"/>
      <c r="E86" s="2"/>
      <c r="F86" s="2"/>
      <c r="G86" s="3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">
      <c r="A87" s="3"/>
      <c r="B87" s="3"/>
      <c r="C87" s="3"/>
      <c r="D87" s="3"/>
      <c r="E87" s="2"/>
      <c r="F87" s="2"/>
      <c r="G87" s="3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">
      <c r="A88" s="3"/>
      <c r="B88" s="3"/>
      <c r="C88" s="3"/>
      <c r="D88" s="3"/>
      <c r="E88" s="2"/>
      <c r="F88" s="2"/>
      <c r="G88" s="3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">
      <c r="A89" s="3"/>
      <c r="B89" s="3"/>
      <c r="C89" s="3"/>
      <c r="D89" s="3"/>
      <c r="E89" s="2"/>
      <c r="F89" s="2"/>
      <c r="G89" s="3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">
      <c r="A90" s="3"/>
      <c r="B90" s="3"/>
      <c r="C90" s="3"/>
      <c r="D90" s="3"/>
      <c r="E90" s="2"/>
      <c r="F90" s="2"/>
      <c r="G90" s="3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">
      <c r="A91" s="3"/>
      <c r="B91" s="3"/>
      <c r="C91" s="3"/>
      <c r="D91" s="3"/>
      <c r="E91" s="2"/>
      <c r="F91" s="2"/>
      <c r="G91" s="3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">
      <c r="A92" s="3"/>
      <c r="B92" s="3"/>
      <c r="C92" s="3"/>
      <c r="D92" s="3"/>
      <c r="E92" s="2"/>
      <c r="F92" s="2"/>
      <c r="G92" s="3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">
      <c r="A93" s="3"/>
      <c r="B93" s="3"/>
      <c r="C93" s="3"/>
      <c r="D93" s="3"/>
      <c r="E93" s="2"/>
      <c r="F93" s="2"/>
      <c r="G93" s="3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">
      <c r="A94" s="3"/>
      <c r="B94" s="3"/>
      <c r="C94" s="3"/>
      <c r="D94" s="3"/>
      <c r="E94" s="2"/>
      <c r="F94" s="2"/>
      <c r="G94" s="3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">
      <c r="A95" s="3"/>
      <c r="B95" s="3"/>
      <c r="C95" s="3"/>
      <c r="D95" s="3"/>
      <c r="E95" s="2"/>
      <c r="F95" s="2"/>
      <c r="G95" s="3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">
      <c r="A96" s="3"/>
      <c r="B96" s="3"/>
      <c r="C96" s="3"/>
      <c r="D96" s="3"/>
      <c r="E96" s="2"/>
      <c r="F96" s="2"/>
      <c r="G96" s="3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">
      <c r="A97" s="3"/>
      <c r="B97" s="3"/>
      <c r="C97" s="3"/>
      <c r="D97" s="3"/>
      <c r="E97" s="2"/>
      <c r="F97" s="2"/>
      <c r="G97" s="3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">
      <c r="A98" s="3"/>
      <c r="B98" s="3"/>
      <c r="C98" s="3"/>
      <c r="D98" s="3"/>
      <c r="E98" s="2"/>
      <c r="F98" s="2"/>
      <c r="G98" s="3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">
      <c r="A99" s="3"/>
      <c r="B99" s="3"/>
      <c r="C99" s="3"/>
      <c r="D99" s="3"/>
      <c r="E99" s="2"/>
      <c r="F99" s="2"/>
      <c r="G99" s="3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">
      <c r="A100" s="3"/>
      <c r="B100" s="3"/>
      <c r="C100" s="3"/>
      <c r="D100" s="3"/>
      <c r="E100" s="2"/>
      <c r="F100" s="2"/>
      <c r="G100" s="3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">
      <c r="A101" s="3"/>
      <c r="B101" s="3"/>
      <c r="C101" s="3"/>
      <c r="D101" s="3"/>
      <c r="E101" s="2"/>
      <c r="F101" s="2"/>
      <c r="G101" s="3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">
      <c r="A102" s="3"/>
      <c r="B102" s="3"/>
      <c r="C102" s="3"/>
      <c r="D102" s="3"/>
      <c r="E102" s="2"/>
      <c r="F102" s="2"/>
      <c r="G102" s="3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">
      <c r="A103" s="3"/>
      <c r="B103" s="3"/>
      <c r="C103" s="3"/>
      <c r="D103" s="3"/>
      <c r="E103" s="2"/>
      <c r="F103" s="2"/>
      <c r="G103" s="3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">
      <c r="A104" s="3"/>
      <c r="B104" s="3"/>
      <c r="C104" s="3"/>
      <c r="D104" s="3"/>
      <c r="E104" s="2"/>
      <c r="F104" s="2"/>
      <c r="G104" s="3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">
      <c r="A105" s="3"/>
      <c r="B105" s="3"/>
      <c r="C105" s="3"/>
      <c r="D105" s="3"/>
      <c r="E105" s="2"/>
      <c r="F105" s="2"/>
      <c r="G105" s="3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">
      <c r="A106" s="3"/>
      <c r="B106" s="3"/>
      <c r="C106" s="3"/>
      <c r="D106" s="3"/>
      <c r="E106" s="2"/>
      <c r="F106" s="2"/>
      <c r="G106" s="3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">
      <c r="A107" s="3"/>
      <c r="B107" s="3"/>
      <c r="C107" s="3"/>
      <c r="D107" s="3"/>
      <c r="E107" s="2"/>
      <c r="F107" s="2"/>
      <c r="G107" s="3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">
      <c r="A108" s="3"/>
      <c r="B108" s="3"/>
      <c r="C108" s="3"/>
      <c r="D108" s="3"/>
      <c r="E108" s="2"/>
      <c r="F108" s="2"/>
      <c r="G108" s="3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">
      <c r="A109" s="3"/>
      <c r="B109" s="3"/>
      <c r="C109" s="3"/>
      <c r="D109" s="3"/>
      <c r="E109" s="2"/>
      <c r="F109" s="2"/>
      <c r="G109" s="3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">
      <c r="A110" s="3"/>
      <c r="B110" s="3"/>
      <c r="C110" s="3"/>
      <c r="D110" s="3"/>
      <c r="E110" s="2"/>
      <c r="F110" s="2"/>
      <c r="G110" s="3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">
      <c r="A111" s="3"/>
      <c r="B111" s="3"/>
      <c r="C111" s="3"/>
      <c r="D111" s="3"/>
      <c r="E111" s="2"/>
      <c r="F111" s="2"/>
      <c r="G111" s="3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">
      <c r="A112" s="3"/>
      <c r="B112" s="3"/>
      <c r="C112" s="3"/>
      <c r="D112" s="3"/>
      <c r="E112" s="2"/>
      <c r="F112" s="2"/>
      <c r="G112" s="3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">
      <c r="A113" s="3"/>
      <c r="B113" s="3"/>
      <c r="C113" s="3"/>
      <c r="D113" s="3"/>
      <c r="E113" s="2"/>
      <c r="F113" s="2"/>
      <c r="G113" s="3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">
      <c r="A114" s="3"/>
      <c r="B114" s="3"/>
      <c r="C114" s="3"/>
      <c r="D114" s="3"/>
      <c r="E114" s="2"/>
      <c r="F114" s="2"/>
      <c r="G114" s="3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">
      <c r="A115" s="3"/>
      <c r="B115" s="3"/>
      <c r="C115" s="3"/>
      <c r="D115" s="3"/>
      <c r="E115" s="2"/>
      <c r="F115" s="2"/>
      <c r="G115" s="3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">
      <c r="A116" s="3"/>
      <c r="B116" s="3"/>
      <c r="C116" s="3"/>
      <c r="D116" s="3"/>
      <c r="E116" s="2"/>
      <c r="F116" s="2"/>
      <c r="G116" s="3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">
      <c r="A117" s="3"/>
      <c r="B117" s="3"/>
      <c r="C117" s="3"/>
      <c r="D117" s="3"/>
      <c r="E117" s="2"/>
      <c r="F117" s="2"/>
      <c r="G117" s="3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">
      <c r="A118" s="3"/>
      <c r="B118" s="3"/>
      <c r="C118" s="3"/>
      <c r="D118" s="3"/>
      <c r="E118" s="2"/>
      <c r="F118" s="2"/>
      <c r="G118" s="3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">
      <c r="A119" s="3"/>
      <c r="B119" s="3"/>
      <c r="C119" s="3"/>
      <c r="D119" s="3"/>
      <c r="E119" s="2"/>
      <c r="F119" s="2"/>
      <c r="G119" s="3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">
      <c r="A120" s="3"/>
      <c r="B120" s="3"/>
      <c r="C120" s="3"/>
      <c r="D120" s="3"/>
      <c r="E120" s="2"/>
      <c r="F120" s="2"/>
      <c r="G120" s="3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">
      <c r="A121" s="3"/>
      <c r="B121" s="3"/>
      <c r="C121" s="3"/>
      <c r="D121" s="3"/>
      <c r="E121" s="2"/>
      <c r="F121" s="2"/>
      <c r="G121" s="3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">
      <c r="A122" s="3"/>
      <c r="B122" s="3"/>
      <c r="C122" s="3"/>
      <c r="D122" s="3"/>
      <c r="E122" s="2"/>
      <c r="F122" s="2"/>
      <c r="G122" s="3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">
      <c r="A123" s="3"/>
      <c r="B123" s="3"/>
      <c r="C123" s="3"/>
      <c r="D123" s="3"/>
      <c r="E123" s="2"/>
      <c r="F123" s="2"/>
      <c r="G123" s="3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x14ac:dyDescent="0.2">
      <c r="A124" s="3"/>
      <c r="B124" s="3"/>
      <c r="C124" s="3"/>
      <c r="D124" s="3"/>
      <c r="E124" s="2"/>
      <c r="F124" s="2"/>
      <c r="G124" s="3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x14ac:dyDescent="0.2">
      <c r="A125" s="3"/>
      <c r="B125" s="3"/>
      <c r="C125" s="3"/>
      <c r="D125" s="3"/>
      <c r="E125" s="2"/>
      <c r="F125" s="2"/>
      <c r="G125" s="3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x14ac:dyDescent="0.2">
      <c r="A126" s="3"/>
      <c r="B126" s="3"/>
      <c r="C126" s="3"/>
      <c r="D126" s="3"/>
      <c r="E126" s="2"/>
      <c r="F126" s="2"/>
      <c r="G126" s="3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x14ac:dyDescent="0.2">
      <c r="A127" s="3"/>
      <c r="B127" s="3"/>
      <c r="C127" s="3"/>
      <c r="D127" s="3"/>
      <c r="E127" s="2"/>
      <c r="F127" s="2"/>
      <c r="G127" s="3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x14ac:dyDescent="0.2">
      <c r="A128" s="3"/>
      <c r="B128" s="3"/>
      <c r="C128" s="3"/>
      <c r="D128" s="3"/>
      <c r="E128" s="2"/>
      <c r="F128" s="2"/>
      <c r="G128" s="3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2">
      <c r="A129" s="3"/>
      <c r="B129" s="3"/>
      <c r="C129" s="3"/>
      <c r="D129" s="3"/>
      <c r="E129" s="2"/>
      <c r="F129" s="2"/>
      <c r="G129" s="3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2">
      <c r="A130" s="3"/>
      <c r="B130" s="3"/>
      <c r="C130" s="3"/>
      <c r="D130" s="3"/>
      <c r="E130" s="2"/>
      <c r="F130" s="2"/>
      <c r="G130" s="3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x14ac:dyDescent="0.2">
      <c r="A131" s="3"/>
      <c r="B131" s="3"/>
      <c r="C131" s="3"/>
      <c r="D131" s="3"/>
      <c r="E131" s="2"/>
      <c r="F131" s="2"/>
      <c r="G131" s="3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x14ac:dyDescent="0.2">
      <c r="A132" s="3"/>
      <c r="B132" s="3"/>
      <c r="C132" s="3"/>
      <c r="D132" s="3"/>
      <c r="E132" s="2"/>
      <c r="F132" s="2"/>
      <c r="G132" s="3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x14ac:dyDescent="0.2">
      <c r="A133" s="3"/>
      <c r="B133" s="3"/>
      <c r="C133" s="3"/>
      <c r="D133" s="3"/>
      <c r="E133" s="2"/>
      <c r="F133" s="2"/>
      <c r="G133" s="3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x14ac:dyDescent="0.2">
      <c r="A134" s="3"/>
      <c r="B134" s="3"/>
      <c r="C134" s="3"/>
      <c r="D134" s="3"/>
      <c r="E134" s="2"/>
      <c r="F134" s="2"/>
      <c r="G134" s="3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</sheetData>
  <mergeCells count="1">
    <mergeCell ref="B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9212-0D6B-D84C-99CA-D5B3BEC24232}">
  <dimension ref="A1:J92"/>
  <sheetViews>
    <sheetView topLeftCell="A163" zoomScale="140" zoomScaleNormal="140" workbookViewId="0">
      <selection activeCell="G2" sqref="G2:H21"/>
    </sheetView>
  </sheetViews>
  <sheetFormatPr baseColWidth="10" defaultRowHeight="16" x14ac:dyDescent="0.2"/>
  <cols>
    <col min="1" max="1" width="10.83203125" style="2"/>
    <col min="2" max="8" width="10.83203125" style="3"/>
    <col min="9" max="16384" width="10.83203125" style="2"/>
  </cols>
  <sheetData>
    <row r="1" spans="1:8" x14ac:dyDescent="0.2">
      <c r="B1" s="3" t="s">
        <v>0</v>
      </c>
      <c r="C1" s="3" t="s">
        <v>11</v>
      </c>
      <c r="D1" s="3" t="s">
        <v>12</v>
      </c>
      <c r="E1" s="3" t="s">
        <v>9</v>
      </c>
      <c r="F1" s="3" t="s">
        <v>10</v>
      </c>
    </row>
    <row r="2" spans="1:8" x14ac:dyDescent="0.2">
      <c r="A2" s="2">
        <v>0</v>
      </c>
      <c r="B2" s="5">
        <v>100</v>
      </c>
      <c r="C2" s="4">
        <v>0</v>
      </c>
      <c r="D2" s="4">
        <v>0</v>
      </c>
      <c r="E2" s="4">
        <f>B2*0.4</f>
        <v>40</v>
      </c>
      <c r="F2" s="4">
        <f>B2*0.6</f>
        <v>60</v>
      </c>
      <c r="G2" s="10">
        <f>B25</f>
        <v>1</v>
      </c>
      <c r="H2" s="10">
        <f>1-G2</f>
        <v>0</v>
      </c>
    </row>
    <row r="3" spans="1:8" x14ac:dyDescent="0.2">
      <c r="A3" s="2">
        <v>1</v>
      </c>
      <c r="B3" s="5">
        <v>73.5</v>
      </c>
      <c r="C3" s="4">
        <v>9</v>
      </c>
      <c r="D3" s="4">
        <v>17.5</v>
      </c>
      <c r="E3" s="4">
        <f t="shared" ref="E3:E21" si="0">B3*0.4</f>
        <v>29.400000000000002</v>
      </c>
      <c r="F3" s="4">
        <f t="shared" ref="F3:F21" si="1">B3*0.6</f>
        <v>44.1</v>
      </c>
      <c r="G3" s="10">
        <f t="shared" ref="G3:G21" si="2">B26</f>
        <v>0.73499999999999999</v>
      </c>
      <c r="H3" s="10">
        <f t="shared" ref="H3:H21" si="3">1-G3</f>
        <v>0.26500000000000001</v>
      </c>
    </row>
    <row r="4" spans="1:8" x14ac:dyDescent="0.2">
      <c r="A4" s="2">
        <v>2</v>
      </c>
      <c r="B4" s="5">
        <v>52.754328739946203</v>
      </c>
      <c r="C4" s="4">
        <v>18.956372280805699</v>
      </c>
      <c r="D4" s="4">
        <v>36.093853879797898</v>
      </c>
      <c r="E4" s="4">
        <f t="shared" si="0"/>
        <v>21.101731495978484</v>
      </c>
      <c r="F4" s="4">
        <f t="shared" si="1"/>
        <v>31.652597243967719</v>
      </c>
      <c r="G4" s="10">
        <f t="shared" si="2"/>
        <v>0.48935157506667698</v>
      </c>
      <c r="H4" s="10">
        <f t="shared" si="3"/>
        <v>0.51064842493332296</v>
      </c>
    </row>
    <row r="5" spans="1:8" x14ac:dyDescent="0.2">
      <c r="A5" s="2">
        <v>3</v>
      </c>
      <c r="B5" s="5">
        <v>45.479964979576202</v>
      </c>
      <c r="C5" s="4">
        <v>29.8150921347505</v>
      </c>
      <c r="D5" s="4">
        <v>41.898697244794199</v>
      </c>
      <c r="E5" s="4">
        <f t="shared" si="0"/>
        <v>18.191985991830482</v>
      </c>
      <c r="F5" s="4">
        <f t="shared" si="1"/>
        <v>27.287978987745721</v>
      </c>
      <c r="G5" s="10">
        <f t="shared" si="2"/>
        <v>0.38807498939073398</v>
      </c>
      <c r="H5" s="10">
        <f t="shared" si="3"/>
        <v>0.61192501060926596</v>
      </c>
    </row>
    <row r="6" spans="1:8" x14ac:dyDescent="0.2">
      <c r="A6" s="2">
        <v>4</v>
      </c>
      <c r="B6" s="5">
        <v>47.737467933238797</v>
      </c>
      <c r="C6" s="4">
        <v>37.535642454373097</v>
      </c>
      <c r="D6" s="4">
        <v>42.574171725141603</v>
      </c>
      <c r="E6" s="4">
        <f t="shared" si="0"/>
        <v>19.094987173295518</v>
      </c>
      <c r="F6" s="4">
        <f t="shared" si="1"/>
        <v>28.642480759943279</v>
      </c>
      <c r="G6" s="10">
        <f t="shared" si="2"/>
        <v>0.37339446834025902</v>
      </c>
      <c r="H6" s="10">
        <f t="shared" si="3"/>
        <v>0.62660553165974098</v>
      </c>
    </row>
    <row r="7" spans="1:8" x14ac:dyDescent="0.2">
      <c r="A7" s="2">
        <v>5</v>
      </c>
      <c r="B7" s="5">
        <v>62.974843550155597</v>
      </c>
      <c r="C7" s="4">
        <v>43.953263846009101</v>
      </c>
      <c r="D7" s="4">
        <v>32.685842868221897</v>
      </c>
      <c r="E7" s="4">
        <f t="shared" si="0"/>
        <v>25.18993742006224</v>
      </c>
      <c r="F7" s="4">
        <f t="shared" si="1"/>
        <v>37.784906130093354</v>
      </c>
      <c r="G7" s="10">
        <f t="shared" si="2"/>
        <v>0.45106411953032099</v>
      </c>
      <c r="H7" s="10">
        <f t="shared" si="3"/>
        <v>0.54893588046967901</v>
      </c>
    </row>
    <row r="8" spans="1:8" x14ac:dyDescent="0.2">
      <c r="A8" s="2">
        <v>6</v>
      </c>
      <c r="B8" s="5">
        <v>87.917956655213601</v>
      </c>
      <c r="C8" s="4">
        <v>47.815770369141099</v>
      </c>
      <c r="D8" s="4">
        <v>16.2090134034103</v>
      </c>
      <c r="E8" s="4">
        <f t="shared" si="0"/>
        <v>35.167182662085445</v>
      </c>
      <c r="F8" s="4">
        <f t="shared" si="1"/>
        <v>52.750773993128156</v>
      </c>
      <c r="G8" s="10">
        <f t="shared" si="2"/>
        <v>0.57862558229302496</v>
      </c>
      <c r="H8" s="10">
        <f t="shared" si="3"/>
        <v>0.42137441770697504</v>
      </c>
    </row>
    <row r="9" spans="1:8" x14ac:dyDescent="0.2">
      <c r="A9" s="2">
        <v>7</v>
      </c>
      <c r="B9" s="5">
        <v>112.891174920092</v>
      </c>
      <c r="C9" s="4">
        <v>47.152587006533103</v>
      </c>
      <c r="D9" s="4">
        <v>3.6017267318893</v>
      </c>
      <c r="E9" s="4">
        <f t="shared" si="0"/>
        <v>45.156469968036802</v>
      </c>
      <c r="F9" s="4">
        <f t="shared" si="1"/>
        <v>67.734704952055196</v>
      </c>
      <c r="G9" s="10">
        <f t="shared" si="2"/>
        <v>0.68985204447442205</v>
      </c>
      <c r="H9" s="10">
        <f t="shared" si="3"/>
        <v>0.31014795552557795</v>
      </c>
    </row>
    <row r="10" spans="1:8" x14ac:dyDescent="0.2">
      <c r="A10" s="2">
        <v>8</v>
      </c>
      <c r="B10" s="5">
        <v>133.947643992254</v>
      </c>
      <c r="C10" s="4">
        <v>40.9695156825128</v>
      </c>
      <c r="D10" s="4">
        <v>0.19229829087153</v>
      </c>
      <c r="E10" s="4">
        <f t="shared" si="0"/>
        <v>53.579057596901606</v>
      </c>
      <c r="F10" s="4">
        <f t="shared" si="1"/>
        <v>80.368586395352395</v>
      </c>
      <c r="G10" s="10">
        <f t="shared" si="2"/>
        <v>0.76493666046604103</v>
      </c>
      <c r="H10" s="10">
        <f t="shared" si="3"/>
        <v>0.23506333953395897</v>
      </c>
    </row>
    <row r="11" spans="1:8" x14ac:dyDescent="0.2">
      <c r="A11" s="2">
        <v>9</v>
      </c>
      <c r="B11" s="5">
        <v>156.46216216403701</v>
      </c>
      <c r="C11" s="4">
        <v>29.971984398295699</v>
      </c>
      <c r="D11" s="4">
        <v>8.4111761690525101E-4</v>
      </c>
      <c r="E11" s="4">
        <f t="shared" si="0"/>
        <v>62.584864865614804</v>
      </c>
      <c r="F11" s="4">
        <f t="shared" si="1"/>
        <v>93.877297298422206</v>
      </c>
      <c r="G11" s="10">
        <f t="shared" si="2"/>
        <v>0.83923175639453196</v>
      </c>
      <c r="H11" s="10">
        <f t="shared" si="3"/>
        <v>0.16076824360546804</v>
      </c>
    </row>
    <row r="12" spans="1:8" x14ac:dyDescent="0.2">
      <c r="A12" s="2">
        <v>10</v>
      </c>
      <c r="B12" s="5">
        <v>180.11712380423</v>
      </c>
      <c r="C12" s="4">
        <v>17.464816858448401</v>
      </c>
      <c r="D12" s="4">
        <v>0</v>
      </c>
      <c r="E12" s="4">
        <f t="shared" si="0"/>
        <v>72.04684952169201</v>
      </c>
      <c r="F12" s="4">
        <f t="shared" si="1"/>
        <v>108.07027428253799</v>
      </c>
      <c r="G12" s="10">
        <f t="shared" si="2"/>
        <v>0.91160722078205902</v>
      </c>
      <c r="H12" s="10">
        <f t="shared" si="3"/>
        <v>8.8392779217940975E-2</v>
      </c>
    </row>
    <row r="13" spans="1:8" x14ac:dyDescent="0.2">
      <c r="A13" s="2">
        <v>11</v>
      </c>
      <c r="B13" s="5">
        <v>200.77480027094401</v>
      </c>
      <c r="C13" s="4">
        <v>7.8201831229906302</v>
      </c>
      <c r="D13" s="4">
        <v>0</v>
      </c>
      <c r="E13" s="4">
        <f t="shared" si="0"/>
        <v>80.309920108377611</v>
      </c>
      <c r="F13" s="4">
        <f t="shared" si="1"/>
        <v>120.4648801625664</v>
      </c>
      <c r="G13" s="10">
        <f t="shared" si="2"/>
        <v>0.96251020520363095</v>
      </c>
      <c r="H13" s="10">
        <f t="shared" si="3"/>
        <v>3.7489794796369047E-2</v>
      </c>
    </row>
    <row r="14" spans="1:8" x14ac:dyDescent="0.2">
      <c r="A14" s="2">
        <v>12</v>
      </c>
      <c r="B14" s="5">
        <v>216.92561452572201</v>
      </c>
      <c r="C14" s="4">
        <v>2.80688072836401</v>
      </c>
      <c r="D14" s="4">
        <v>0</v>
      </c>
      <c r="E14" s="4">
        <f t="shared" si="0"/>
        <v>86.770245810288813</v>
      </c>
      <c r="F14" s="4">
        <f t="shared" si="1"/>
        <v>130.15536871543321</v>
      </c>
      <c r="G14" s="10">
        <f t="shared" si="2"/>
        <v>0.98722591883772903</v>
      </c>
      <c r="H14" s="10">
        <f t="shared" si="3"/>
        <v>1.2774081162270967E-2</v>
      </c>
    </row>
    <row r="15" spans="1:8" x14ac:dyDescent="0.2">
      <c r="A15" s="2">
        <v>13</v>
      </c>
      <c r="B15" s="5">
        <v>230.15060538280801</v>
      </c>
      <c r="C15" s="4">
        <v>1.0828363720321801</v>
      </c>
      <c r="D15" s="4">
        <v>0</v>
      </c>
      <c r="E15" s="4">
        <f t="shared" si="0"/>
        <v>92.060242153123212</v>
      </c>
      <c r="F15" s="4">
        <f t="shared" si="1"/>
        <v>138.09036322968481</v>
      </c>
      <c r="G15" s="10">
        <f t="shared" si="2"/>
        <v>0.995317129028506</v>
      </c>
      <c r="H15" s="10">
        <f t="shared" si="3"/>
        <v>4.682870971494002E-3</v>
      </c>
    </row>
    <row r="16" spans="1:8" x14ac:dyDescent="0.2">
      <c r="A16" s="2">
        <v>14</v>
      </c>
      <c r="B16" s="5">
        <v>242.80618004974599</v>
      </c>
      <c r="C16" s="4">
        <v>0.61621495477114596</v>
      </c>
      <c r="D16" s="4">
        <v>0</v>
      </c>
      <c r="E16" s="4">
        <f t="shared" si="0"/>
        <v>97.122472019898396</v>
      </c>
      <c r="F16" s="4">
        <f t="shared" si="1"/>
        <v>145.68370802984759</v>
      </c>
      <c r="G16" s="10">
        <f t="shared" si="2"/>
        <v>0.99746853630801002</v>
      </c>
      <c r="H16" s="10">
        <f t="shared" si="3"/>
        <v>2.5314636919899769E-3</v>
      </c>
    </row>
    <row r="17" spans="1:10" x14ac:dyDescent="0.2">
      <c r="A17" s="2">
        <v>15</v>
      </c>
      <c r="B17" s="5">
        <v>255.497124904445</v>
      </c>
      <c r="C17" s="4">
        <v>0.43681522050643401</v>
      </c>
      <c r="D17" s="4">
        <v>0</v>
      </c>
      <c r="E17" s="4">
        <f t="shared" si="0"/>
        <v>102.19884996177801</v>
      </c>
      <c r="F17" s="4">
        <f t="shared" si="1"/>
        <v>153.29827494266701</v>
      </c>
      <c r="G17" s="10">
        <f t="shared" si="2"/>
        <v>0.99829325012425796</v>
      </c>
      <c r="H17" s="10">
        <f t="shared" si="3"/>
        <v>1.7067498757420418E-3</v>
      </c>
    </row>
    <row r="18" spans="1:10" x14ac:dyDescent="0.2">
      <c r="A18" s="2">
        <v>16</v>
      </c>
      <c r="B18" s="5">
        <v>268.78570976811301</v>
      </c>
      <c r="C18" s="4">
        <v>0.32135877220891501</v>
      </c>
      <c r="D18" s="4">
        <v>0</v>
      </c>
      <c r="E18" s="4">
        <f t="shared" si="0"/>
        <v>107.51428390724521</v>
      </c>
      <c r="F18" s="4">
        <f t="shared" si="1"/>
        <v>161.27142586086779</v>
      </c>
      <c r="G18" s="10">
        <f t="shared" si="2"/>
        <v>0.99880583303161796</v>
      </c>
      <c r="H18" s="10">
        <f t="shared" si="3"/>
        <v>1.1941669683820377E-3</v>
      </c>
    </row>
    <row r="19" spans="1:10" x14ac:dyDescent="0.2">
      <c r="A19" s="2">
        <v>17</v>
      </c>
      <c r="B19" s="5">
        <v>282.684635186592</v>
      </c>
      <c r="C19" s="4">
        <v>0.234168844844441</v>
      </c>
      <c r="D19" s="4">
        <v>0</v>
      </c>
      <c r="E19" s="4">
        <f t="shared" si="0"/>
        <v>113.07385407463681</v>
      </c>
      <c r="F19" s="4">
        <f t="shared" si="1"/>
        <v>169.61078111195519</v>
      </c>
      <c r="G19" s="10">
        <f t="shared" si="2"/>
        <v>0.99917231077783497</v>
      </c>
      <c r="H19" s="10">
        <f t="shared" si="3"/>
        <v>8.2768922216502894E-4</v>
      </c>
    </row>
    <row r="20" spans="1:10" x14ac:dyDescent="0.2">
      <c r="A20" s="2">
        <v>18</v>
      </c>
      <c r="B20" s="5">
        <v>297.40885232846199</v>
      </c>
      <c r="C20" s="4">
        <v>0.17715150145039699</v>
      </c>
      <c r="D20" s="4">
        <v>0</v>
      </c>
      <c r="E20" s="4">
        <f t="shared" si="0"/>
        <v>118.9635409313848</v>
      </c>
      <c r="F20" s="4">
        <f t="shared" si="1"/>
        <v>178.44531139707718</v>
      </c>
      <c r="G20" s="10">
        <f t="shared" si="2"/>
        <v>0.99940470486121502</v>
      </c>
      <c r="H20" s="10">
        <f t="shared" si="3"/>
        <v>5.9529513878497919E-4</v>
      </c>
    </row>
    <row r="21" spans="1:10" x14ac:dyDescent="0.2">
      <c r="A21" s="2">
        <v>19</v>
      </c>
      <c r="B21" s="5">
        <v>312.72803200271801</v>
      </c>
      <c r="C21" s="4">
        <v>0.132430799498157</v>
      </c>
      <c r="D21" s="4">
        <v>0</v>
      </c>
      <c r="E21" s="4">
        <f t="shared" si="0"/>
        <v>125.09121280108721</v>
      </c>
      <c r="F21" s="4">
        <f t="shared" si="1"/>
        <v>187.6368192016308</v>
      </c>
      <c r="G21" s="10">
        <f t="shared" si="2"/>
        <v>0.99957670969891099</v>
      </c>
      <c r="H21" s="10">
        <f t="shared" si="3"/>
        <v>4.2329030108900767E-4</v>
      </c>
    </row>
    <row r="23" spans="1:10" x14ac:dyDescent="0.2">
      <c r="E23" s="3">
        <v>0.4</v>
      </c>
      <c r="F23" s="3">
        <v>0.6</v>
      </c>
    </row>
    <row r="24" spans="1:10" x14ac:dyDescent="0.2">
      <c r="B24" s="3" t="s">
        <v>0</v>
      </c>
      <c r="C24" s="3" t="s">
        <v>11</v>
      </c>
      <c r="D24" s="3" t="s">
        <v>12</v>
      </c>
      <c r="E24" s="3" t="s">
        <v>9</v>
      </c>
      <c r="F24" s="3" t="s">
        <v>10</v>
      </c>
      <c r="H24" s="13"/>
      <c r="I24" s="13" t="s">
        <v>13</v>
      </c>
    </row>
    <row r="25" spans="1:10" x14ac:dyDescent="0.2">
      <c r="A25" s="2">
        <v>0</v>
      </c>
      <c r="B25" s="10">
        <v>1</v>
      </c>
      <c r="C25" s="10">
        <v>0</v>
      </c>
      <c r="D25" s="10">
        <v>0</v>
      </c>
      <c r="E25" s="10">
        <f>E$23*$B25</f>
        <v>0.4</v>
      </c>
      <c r="F25" s="10">
        <f>F$23*$B25</f>
        <v>0.6</v>
      </c>
      <c r="H25" s="3">
        <v>0</v>
      </c>
      <c r="I25" s="11">
        <v>6.1439658530531301E-2</v>
      </c>
      <c r="J25" s="2" t="str">
        <f>CONCATENATE(H25,"(",ROUND(100*I25,1))</f>
        <v>0(6.1</v>
      </c>
    </row>
    <row r="26" spans="1:10" x14ac:dyDescent="0.2">
      <c r="A26" s="2">
        <v>1</v>
      </c>
      <c r="B26" s="10">
        <v>0.73499999999999999</v>
      </c>
      <c r="C26" s="10">
        <v>0.09</v>
      </c>
      <c r="D26" s="10">
        <v>0.17499999999999999</v>
      </c>
      <c r="E26" s="10">
        <f t="shared" ref="E26:F44" si="4">E$23*$B26</f>
        <v>0.29399999999999998</v>
      </c>
      <c r="F26" s="10">
        <f t="shared" si="4"/>
        <v>0.441</v>
      </c>
      <c r="H26" s="3">
        <v>1</v>
      </c>
      <c r="I26" s="11">
        <v>6.8572960764587895E-2</v>
      </c>
    </row>
    <row r="27" spans="1:10" x14ac:dyDescent="0.2">
      <c r="A27" s="2">
        <v>2</v>
      </c>
      <c r="B27" s="10">
        <v>0.48935157506667698</v>
      </c>
      <c r="C27" s="10">
        <v>0.17584017946452299</v>
      </c>
      <c r="D27" s="10">
        <v>0.334808245468799</v>
      </c>
      <c r="E27" s="10">
        <f t="shared" si="4"/>
        <v>0.1957406300266708</v>
      </c>
      <c r="F27" s="10">
        <f t="shared" si="4"/>
        <v>0.29361094504000618</v>
      </c>
      <c r="H27" s="3">
        <v>2</v>
      </c>
      <c r="I27" s="11">
        <v>8.0394411787473197E-2</v>
      </c>
    </row>
    <row r="28" spans="1:10" x14ac:dyDescent="0.2">
      <c r="A28" s="2">
        <v>3</v>
      </c>
      <c r="B28" s="10">
        <v>0.38807498939073398</v>
      </c>
      <c r="C28" s="10">
        <v>0.25440854163087101</v>
      </c>
      <c r="D28" s="10">
        <v>0.35751646897839301</v>
      </c>
      <c r="E28" s="10">
        <f t="shared" si="4"/>
        <v>0.15522999575629359</v>
      </c>
      <c r="F28" s="10">
        <f t="shared" si="4"/>
        <v>0.23284499363444039</v>
      </c>
      <c r="H28" s="3">
        <v>3</v>
      </c>
      <c r="I28" s="11">
        <v>8.7444100793376903E-2</v>
      </c>
    </row>
    <row r="29" spans="1:10" x14ac:dyDescent="0.2">
      <c r="A29" s="2">
        <v>4</v>
      </c>
      <c r="B29" s="10">
        <v>0.37339446834025902</v>
      </c>
      <c r="C29" s="10">
        <v>0.293597500346303</v>
      </c>
      <c r="D29" s="10">
        <v>0.33300803131343698</v>
      </c>
      <c r="E29" s="10">
        <f t="shared" si="4"/>
        <v>0.14935778733610361</v>
      </c>
      <c r="F29" s="10">
        <f t="shared" si="4"/>
        <v>0.22403668100415541</v>
      </c>
      <c r="H29" s="3">
        <v>4</v>
      </c>
      <c r="I29" s="11">
        <v>8.93813873161972E-2</v>
      </c>
    </row>
    <row r="30" spans="1:10" x14ac:dyDescent="0.2">
      <c r="A30" s="2">
        <v>5</v>
      </c>
      <c r="B30" s="10">
        <v>0.45106411953032099</v>
      </c>
      <c r="C30" s="10">
        <v>0.31482000017028999</v>
      </c>
      <c r="D30" s="10">
        <v>0.23411588029938801</v>
      </c>
      <c r="E30" s="10">
        <f t="shared" si="4"/>
        <v>0.18042564781212841</v>
      </c>
      <c r="F30" s="10">
        <f t="shared" si="4"/>
        <v>0.27063847171819261</v>
      </c>
      <c r="H30" s="3">
        <v>5</v>
      </c>
      <c r="I30" s="11">
        <v>8.7020898031977795E-2</v>
      </c>
    </row>
    <row r="31" spans="1:10" x14ac:dyDescent="0.2">
      <c r="A31" s="2">
        <v>6</v>
      </c>
      <c r="B31" s="10">
        <v>0.57862558229302496</v>
      </c>
      <c r="C31" s="10">
        <v>0.31469598504361002</v>
      </c>
      <c r="D31" s="10">
        <v>0.10667843266336401</v>
      </c>
      <c r="E31" s="10">
        <f t="shared" si="4"/>
        <v>0.23145023291721001</v>
      </c>
      <c r="F31" s="10">
        <f t="shared" si="4"/>
        <v>0.34717534937581496</v>
      </c>
      <c r="H31" s="3">
        <v>6</v>
      </c>
      <c r="I31" s="11">
        <v>8.3242640763259199E-2</v>
      </c>
    </row>
    <row r="32" spans="1:10" x14ac:dyDescent="0.2">
      <c r="A32" s="2">
        <v>7</v>
      </c>
      <c r="B32" s="10">
        <v>0.68985204447442205</v>
      </c>
      <c r="C32" s="10">
        <v>0.28813863060367101</v>
      </c>
      <c r="D32" s="10">
        <v>2.2009324921905798E-2</v>
      </c>
      <c r="E32" s="10">
        <f t="shared" si="4"/>
        <v>0.27594081778976881</v>
      </c>
      <c r="F32" s="10">
        <f t="shared" si="4"/>
        <v>0.41391122668465324</v>
      </c>
      <c r="H32" s="3">
        <v>7</v>
      </c>
      <c r="I32" s="11">
        <v>7.9791742323711695E-2</v>
      </c>
    </row>
    <row r="33" spans="1:9" x14ac:dyDescent="0.2">
      <c r="A33" s="2">
        <v>8</v>
      </c>
      <c r="B33" s="10">
        <v>0.76493666046604103</v>
      </c>
      <c r="C33" s="10">
        <v>0.23396517902849201</v>
      </c>
      <c r="D33" s="10">
        <v>1.0981605054666099E-3</v>
      </c>
      <c r="E33" s="10">
        <f t="shared" si="4"/>
        <v>0.30597466418641645</v>
      </c>
      <c r="F33" s="10">
        <f t="shared" si="4"/>
        <v>0.45896199627962458</v>
      </c>
      <c r="H33" s="3">
        <v>8</v>
      </c>
      <c r="I33" s="11">
        <v>7.5749044773623597E-2</v>
      </c>
    </row>
    <row r="34" spans="1:9" x14ac:dyDescent="0.2">
      <c r="A34" s="2">
        <v>9</v>
      </c>
      <c r="B34" s="10">
        <v>0.83923175639453196</v>
      </c>
      <c r="C34" s="10">
        <v>0.16076373201873501</v>
      </c>
      <c r="D34" s="10">
        <v>4.5115867325782396E-6</v>
      </c>
      <c r="E34" s="10">
        <f t="shared" si="4"/>
        <v>0.33569270255781281</v>
      </c>
      <c r="F34" s="10">
        <f t="shared" si="4"/>
        <v>0.50353905383671915</v>
      </c>
      <c r="H34" s="3">
        <v>9</v>
      </c>
      <c r="I34" s="11">
        <v>7.0838952187605303E-2</v>
      </c>
    </row>
    <row r="35" spans="1:9" x14ac:dyDescent="0.2">
      <c r="A35" s="2">
        <v>10</v>
      </c>
      <c r="B35" s="10">
        <v>0.91160722078205902</v>
      </c>
      <c r="C35" s="10">
        <v>8.8392779217940504E-2</v>
      </c>
      <c r="D35" s="10">
        <v>0</v>
      </c>
      <c r="E35" s="10">
        <f t="shared" si="4"/>
        <v>0.36464288831282365</v>
      </c>
      <c r="F35" s="10">
        <f t="shared" si="4"/>
        <v>0.54696433246923537</v>
      </c>
      <c r="H35" s="3">
        <v>10</v>
      </c>
      <c r="I35" s="11">
        <v>6.6343726595398902E-2</v>
      </c>
    </row>
    <row r="36" spans="1:9" x14ac:dyDescent="0.2">
      <c r="A36" s="2">
        <v>11</v>
      </c>
      <c r="B36" s="10">
        <v>0.96251020520363095</v>
      </c>
      <c r="C36" s="10">
        <v>3.7489794796368998E-2</v>
      </c>
      <c r="D36" s="10">
        <v>0</v>
      </c>
      <c r="E36" s="10">
        <f t="shared" si="4"/>
        <v>0.38500408208145243</v>
      </c>
      <c r="F36" s="10">
        <f t="shared" si="4"/>
        <v>0.57750612312217853</v>
      </c>
      <c r="H36" s="3">
        <v>11</v>
      </c>
      <c r="I36" s="11">
        <v>6.3432034644080204E-2</v>
      </c>
    </row>
    <row r="37" spans="1:9" x14ac:dyDescent="0.2">
      <c r="A37" s="2">
        <v>12</v>
      </c>
      <c r="B37" s="10">
        <v>0.98722591883772903</v>
      </c>
      <c r="C37" s="10">
        <v>1.2774081162270899E-2</v>
      </c>
      <c r="D37" s="10">
        <v>0</v>
      </c>
      <c r="E37" s="10">
        <f t="shared" si="4"/>
        <v>0.39489036753509166</v>
      </c>
      <c r="F37" s="10">
        <f t="shared" si="4"/>
        <v>0.59233555130263738</v>
      </c>
      <c r="H37" s="3">
        <v>12</v>
      </c>
      <c r="I37" s="11">
        <v>6.2103078956678603E-2</v>
      </c>
    </row>
    <row r="38" spans="1:9" x14ac:dyDescent="0.2">
      <c r="A38" s="2">
        <v>13</v>
      </c>
      <c r="B38" s="10">
        <v>0.995317129028506</v>
      </c>
      <c r="C38" s="10">
        <v>4.6828709714930904E-3</v>
      </c>
      <c r="D38" s="10">
        <v>0</v>
      </c>
      <c r="E38" s="10">
        <f t="shared" si="4"/>
        <v>0.39812685161140243</v>
      </c>
      <c r="F38" s="10">
        <f t="shared" si="4"/>
        <v>0.59719027741710362</v>
      </c>
      <c r="H38" s="3">
        <v>13</v>
      </c>
      <c r="I38" s="11">
        <v>6.1680956585477398E-2</v>
      </c>
    </row>
    <row r="39" spans="1:9" x14ac:dyDescent="0.2">
      <c r="A39" s="2">
        <v>14</v>
      </c>
      <c r="B39" s="10">
        <v>0.99746853630801002</v>
      </c>
      <c r="C39" s="10">
        <v>2.5314636919898299E-3</v>
      </c>
      <c r="D39" s="10">
        <v>0</v>
      </c>
      <c r="E39" s="10">
        <f t="shared" si="4"/>
        <v>0.39898741452320402</v>
      </c>
      <c r="F39" s="10">
        <f t="shared" si="4"/>
        <v>0.59848112178480595</v>
      </c>
      <c r="H39" s="3">
        <v>14</v>
      </c>
      <c r="I39" s="11">
        <v>6.1569822926212998E-2</v>
      </c>
    </row>
    <row r="40" spans="1:9" x14ac:dyDescent="0.2">
      <c r="A40" s="2">
        <v>15</v>
      </c>
      <c r="B40" s="10">
        <v>0.99829325012425796</v>
      </c>
      <c r="C40" s="10">
        <v>1.7067498757420399E-3</v>
      </c>
      <c r="D40" s="10">
        <v>0</v>
      </c>
      <c r="E40" s="10">
        <f t="shared" si="4"/>
        <v>0.39931730004970323</v>
      </c>
      <c r="F40" s="10">
        <f t="shared" si="4"/>
        <v>0.59897595007455473</v>
      </c>
      <c r="H40" s="3">
        <v>15</v>
      </c>
      <c r="I40" s="11">
        <v>6.1527345665761499E-2</v>
      </c>
    </row>
    <row r="41" spans="1:9" x14ac:dyDescent="0.2">
      <c r="A41" s="2">
        <v>16</v>
      </c>
      <c r="B41" s="10">
        <v>0.99880583303161796</v>
      </c>
      <c r="C41" s="10">
        <v>1.19416696838182E-3</v>
      </c>
      <c r="D41" s="10">
        <v>0</v>
      </c>
      <c r="E41" s="10">
        <f t="shared" si="4"/>
        <v>0.39952233321264718</v>
      </c>
      <c r="F41" s="10">
        <f t="shared" si="4"/>
        <v>0.59928349981897078</v>
      </c>
      <c r="H41" s="3">
        <v>16</v>
      </c>
      <c r="I41" s="11">
        <v>6.1500979686132898E-2</v>
      </c>
    </row>
    <row r="42" spans="1:9" x14ac:dyDescent="0.2">
      <c r="A42" s="2">
        <v>17</v>
      </c>
      <c r="B42" s="10">
        <v>0.99917231077783497</v>
      </c>
      <c r="C42" s="10">
        <v>8.2768922216432605E-4</v>
      </c>
      <c r="D42" s="10">
        <v>0</v>
      </c>
      <c r="E42" s="10">
        <f t="shared" si="4"/>
        <v>0.39966892431113399</v>
      </c>
      <c r="F42" s="10">
        <f t="shared" si="4"/>
        <v>0.59950338646670098</v>
      </c>
      <c r="H42" s="3">
        <v>17</v>
      </c>
      <c r="I42" s="11">
        <v>6.1482145385210997E-2</v>
      </c>
    </row>
    <row r="43" spans="1:9" x14ac:dyDescent="0.2">
      <c r="A43" s="2">
        <v>18</v>
      </c>
      <c r="B43" s="10">
        <v>0.99940470486121502</v>
      </c>
      <c r="C43" s="10">
        <v>5.9529513878498505E-4</v>
      </c>
      <c r="D43" s="10">
        <v>0</v>
      </c>
      <c r="E43" s="10">
        <f t="shared" si="4"/>
        <v>0.39976188194448603</v>
      </c>
      <c r="F43" s="10">
        <f t="shared" si="4"/>
        <v>0.59964282291672899</v>
      </c>
      <c r="H43" s="3">
        <v>18</v>
      </c>
      <c r="I43" s="11">
        <v>6.1470209102678301E-2</v>
      </c>
    </row>
    <row r="44" spans="1:9" x14ac:dyDescent="0.2">
      <c r="A44" s="2">
        <v>19</v>
      </c>
      <c r="B44" s="10">
        <v>0.99957670969891099</v>
      </c>
      <c r="C44" s="10">
        <v>4.2329030108824401E-4</v>
      </c>
      <c r="D44" s="10">
        <v>0</v>
      </c>
      <c r="E44" s="10">
        <f t="shared" si="4"/>
        <v>0.39983068387956444</v>
      </c>
      <c r="F44" s="10">
        <f t="shared" si="4"/>
        <v>0.59974602581934655</v>
      </c>
      <c r="H44" s="3">
        <v>19</v>
      </c>
      <c r="I44" s="11">
        <v>6.1461378093180002E-2</v>
      </c>
    </row>
    <row r="45" spans="1:9" x14ac:dyDescent="0.2">
      <c r="I45" s="3"/>
    </row>
    <row r="48" spans="1:9" x14ac:dyDescent="0.2">
      <c r="A48" s="3"/>
      <c r="B48" s="3" t="s">
        <v>0</v>
      </c>
      <c r="C48" s="3" t="s">
        <v>1</v>
      </c>
      <c r="D48" s="3" t="s">
        <v>2</v>
      </c>
    </row>
    <row r="49" spans="1:4" x14ac:dyDescent="0.2">
      <c r="A49" s="3">
        <v>0</v>
      </c>
      <c r="B49" s="11">
        <v>1</v>
      </c>
      <c r="C49" s="11">
        <v>0</v>
      </c>
      <c r="D49" s="11">
        <v>0</v>
      </c>
    </row>
    <row r="50" spans="1:4" x14ac:dyDescent="0.2">
      <c r="A50" s="3">
        <v>1</v>
      </c>
      <c r="B50" s="11">
        <v>0.73499999999999999</v>
      </c>
      <c r="C50" s="11">
        <v>0.09</v>
      </c>
      <c r="D50" s="11">
        <v>0.17499999999999999</v>
      </c>
    </row>
    <row r="51" spans="1:4" x14ac:dyDescent="0.2">
      <c r="A51" s="3">
        <v>2</v>
      </c>
      <c r="B51" s="11">
        <v>0.48895835423326101</v>
      </c>
      <c r="C51" s="11">
        <v>0.175975583822083</v>
      </c>
      <c r="D51" s="11">
        <v>0.33506606194465499</v>
      </c>
    </row>
    <row r="52" spans="1:4" x14ac:dyDescent="0.2">
      <c r="A52" s="3">
        <v>3</v>
      </c>
      <c r="B52" s="11">
        <v>0.38732557320882499</v>
      </c>
      <c r="C52" s="11">
        <v>0.25472011228840002</v>
      </c>
      <c r="D52" s="11">
        <v>0.35795431450277299</v>
      </c>
    </row>
    <row r="53" spans="1:4" x14ac:dyDescent="0.2">
      <c r="A53" s="3">
        <v>4</v>
      </c>
      <c r="B53" s="11">
        <v>0.37333481297576698</v>
      </c>
      <c r="C53" s="11">
        <v>0.29362545200809298</v>
      </c>
      <c r="D53" s="11">
        <v>0.33303973501613798</v>
      </c>
    </row>
    <row r="54" spans="1:4" x14ac:dyDescent="0.2">
      <c r="A54" s="3">
        <v>5</v>
      </c>
      <c r="B54" s="11">
        <v>0.45166309491986401</v>
      </c>
      <c r="C54" s="11">
        <v>0.31447648203101902</v>
      </c>
      <c r="D54" s="11">
        <v>0.233860423049116</v>
      </c>
    </row>
    <row r="55" spans="1:4" x14ac:dyDescent="0.2">
      <c r="A55" s="3">
        <v>6</v>
      </c>
      <c r="B55" s="11">
        <v>0.57959913091095505</v>
      </c>
      <c r="C55" s="11">
        <v>0.31396890758367602</v>
      </c>
      <c r="D55" s="11">
        <v>0.106431961505367</v>
      </c>
    </row>
    <row r="56" spans="1:4" x14ac:dyDescent="0.2">
      <c r="A56" s="3">
        <v>7</v>
      </c>
      <c r="B56" s="11">
        <v>0.69184923023470302</v>
      </c>
      <c r="C56" s="11">
        <v>0.28628317303970502</v>
      </c>
      <c r="D56" s="11">
        <v>2.1867596725590799E-2</v>
      </c>
    </row>
    <row r="57" spans="1:4" x14ac:dyDescent="0.2">
      <c r="A57" s="3">
        <v>8</v>
      </c>
      <c r="B57" s="11">
        <v>0.76769245883025805</v>
      </c>
      <c r="C57" s="11">
        <v>0.231222255104544</v>
      </c>
      <c r="D57" s="11">
        <v>1.08528606519611E-3</v>
      </c>
    </row>
    <row r="58" spans="1:4" x14ac:dyDescent="0.2">
      <c r="A58" s="3">
        <v>9</v>
      </c>
      <c r="B58" s="11">
        <v>0.84196230972227404</v>
      </c>
      <c r="C58" s="11">
        <v>0.158033255317619</v>
      </c>
      <c r="D58" s="11">
        <v>4.4349601060146603E-6</v>
      </c>
    </row>
    <row r="59" spans="1:4" x14ac:dyDescent="0.2">
      <c r="A59" s="3">
        <v>10</v>
      </c>
      <c r="B59" s="11">
        <v>0.91363072526156397</v>
      </c>
      <c r="C59" s="11">
        <v>8.6369274738435503E-2</v>
      </c>
      <c r="D59" s="11">
        <v>0</v>
      </c>
    </row>
    <row r="60" spans="1:4" x14ac:dyDescent="0.2">
      <c r="A60" s="3">
        <v>11</v>
      </c>
      <c r="B60" s="11">
        <v>0.96360268860381604</v>
      </c>
      <c r="C60" s="11">
        <v>3.6397311396183303E-2</v>
      </c>
      <c r="D60" s="11">
        <v>0</v>
      </c>
    </row>
    <row r="61" spans="1:4" x14ac:dyDescent="0.2">
      <c r="A61" s="3">
        <v>12</v>
      </c>
      <c r="B61" s="11">
        <v>0.98768238465288405</v>
      </c>
      <c r="C61" s="11">
        <v>1.2317615347116E-2</v>
      </c>
      <c r="D61" s="11">
        <v>0</v>
      </c>
    </row>
    <row r="62" spans="1:4" x14ac:dyDescent="0.2">
      <c r="A62" s="3">
        <v>13</v>
      </c>
      <c r="B62" s="11">
        <v>0.99551667248651798</v>
      </c>
      <c r="C62" s="11">
        <v>4.4833275134816396E-3</v>
      </c>
      <c r="D62" s="11">
        <v>0</v>
      </c>
    </row>
    <row r="63" spans="1:4" x14ac:dyDescent="0.2">
      <c r="A63" s="3">
        <v>14</v>
      </c>
      <c r="B63" s="11">
        <v>0.99759465338060904</v>
      </c>
      <c r="C63" s="11">
        <v>2.40534661939045E-3</v>
      </c>
      <c r="D63" s="11">
        <v>0</v>
      </c>
    </row>
    <row r="64" spans="1:4" x14ac:dyDescent="0.2">
      <c r="A64" s="3">
        <v>15</v>
      </c>
      <c r="B64" s="11">
        <v>0.99838987604719898</v>
      </c>
      <c r="C64" s="11">
        <v>1.61012395280029E-3</v>
      </c>
      <c r="D64" s="11">
        <v>0</v>
      </c>
    </row>
    <row r="65" spans="1:4" x14ac:dyDescent="0.2">
      <c r="A65" s="3">
        <v>16</v>
      </c>
      <c r="B65" s="11">
        <v>0.99888154585594402</v>
      </c>
      <c r="C65" s="11">
        <v>1.1184541440558799E-3</v>
      </c>
      <c r="D65" s="11">
        <v>0</v>
      </c>
    </row>
    <row r="66" spans="1:4" x14ac:dyDescent="0.2">
      <c r="A66" s="3">
        <v>17</v>
      </c>
      <c r="B66" s="11">
        <v>0.99923037184406005</v>
      </c>
      <c r="C66" s="11">
        <v>7.6962815593929496E-4</v>
      </c>
      <c r="D66" s="11">
        <v>0</v>
      </c>
    </row>
    <row r="67" spans="1:4" x14ac:dyDescent="0.2">
      <c r="A67" s="3">
        <v>18</v>
      </c>
      <c r="B67" s="11">
        <v>0.99945046821349104</v>
      </c>
      <c r="C67" s="11">
        <v>5.4953178650854701E-4</v>
      </c>
      <c r="D67" s="11">
        <v>0</v>
      </c>
    </row>
    <row r="68" spans="1:4" x14ac:dyDescent="0.2">
      <c r="A68" s="2">
        <v>19</v>
      </c>
      <c r="B68" s="11">
        <v>0.99961201683759604</v>
      </c>
      <c r="C68" s="11">
        <v>3.8798316240335802E-4</v>
      </c>
      <c r="D68" s="11">
        <v>0</v>
      </c>
    </row>
    <row r="72" spans="1:4" x14ac:dyDescent="0.2">
      <c r="B72" s="3" t="s">
        <v>0</v>
      </c>
      <c r="C72" s="3" t="s">
        <v>1</v>
      </c>
      <c r="D72" s="3" t="s">
        <v>2</v>
      </c>
    </row>
    <row r="73" spans="1:4" x14ac:dyDescent="0.2">
      <c r="A73" s="2">
        <v>0</v>
      </c>
      <c r="B73" s="3">
        <v>1</v>
      </c>
      <c r="C73" s="3">
        <v>0</v>
      </c>
      <c r="D73" s="3">
        <v>0</v>
      </c>
    </row>
    <row r="74" spans="1:4" x14ac:dyDescent="0.2">
      <c r="A74" s="2">
        <v>1</v>
      </c>
      <c r="B74" s="3">
        <v>0.73499999999999999</v>
      </c>
      <c r="C74" s="3">
        <v>0.09</v>
      </c>
      <c r="D74" s="3">
        <v>0.17499999999999999</v>
      </c>
    </row>
    <row r="75" spans="1:4" x14ac:dyDescent="0.2">
      <c r="A75" s="2">
        <v>2</v>
      </c>
      <c r="B75" s="3">
        <v>0.48935157506667698</v>
      </c>
      <c r="C75" s="3">
        <v>0.17584017946452299</v>
      </c>
      <c r="D75" s="3">
        <v>0.334808245468799</v>
      </c>
    </row>
    <row r="76" spans="1:4" x14ac:dyDescent="0.2">
      <c r="A76" s="2">
        <v>3</v>
      </c>
      <c r="B76" s="3">
        <v>0.38807498939073398</v>
      </c>
      <c r="C76" s="3">
        <v>0.25440854163087101</v>
      </c>
      <c r="D76" s="3">
        <v>0.35751646897839301</v>
      </c>
    </row>
    <row r="77" spans="1:4" x14ac:dyDescent="0.2">
      <c r="A77" s="2">
        <v>4</v>
      </c>
      <c r="B77" s="3">
        <v>0.37339446834025902</v>
      </c>
      <c r="C77" s="3">
        <v>0.293597500346303</v>
      </c>
      <c r="D77" s="3">
        <v>0.33300803131343698</v>
      </c>
    </row>
    <row r="78" spans="1:4" x14ac:dyDescent="0.2">
      <c r="A78" s="2">
        <v>5</v>
      </c>
      <c r="B78" s="3">
        <v>0.45106411953032099</v>
      </c>
      <c r="C78" s="3">
        <v>0.31482000017028999</v>
      </c>
      <c r="D78" s="3">
        <v>0.23411588029938801</v>
      </c>
    </row>
    <row r="79" spans="1:4" x14ac:dyDescent="0.2">
      <c r="A79" s="2">
        <v>6</v>
      </c>
      <c r="B79" s="3">
        <v>0.57862558229302496</v>
      </c>
      <c r="C79" s="3">
        <v>0.31469598504361002</v>
      </c>
      <c r="D79" s="3">
        <v>0.10667843266336401</v>
      </c>
    </row>
    <row r="80" spans="1:4" x14ac:dyDescent="0.2">
      <c r="A80" s="2">
        <v>7</v>
      </c>
      <c r="B80" s="3">
        <v>0.68985204447442205</v>
      </c>
      <c r="C80" s="3">
        <v>0.28813863060367101</v>
      </c>
      <c r="D80" s="3">
        <v>2.2009324921905798E-2</v>
      </c>
    </row>
    <row r="81" spans="1:4" x14ac:dyDescent="0.2">
      <c r="A81" s="2">
        <v>8</v>
      </c>
      <c r="B81" s="3">
        <v>0.76493666046604103</v>
      </c>
      <c r="C81" s="3">
        <v>0.23396517902849201</v>
      </c>
      <c r="D81" s="3">
        <v>1.0981605054666099E-3</v>
      </c>
    </row>
    <row r="82" spans="1:4" x14ac:dyDescent="0.2">
      <c r="A82" s="2">
        <v>9</v>
      </c>
      <c r="B82" s="3">
        <v>0.83923175639453196</v>
      </c>
      <c r="C82" s="3">
        <v>0.16076373201873501</v>
      </c>
      <c r="D82" s="12">
        <v>4.5115867325782396E-6</v>
      </c>
    </row>
    <row r="83" spans="1:4" x14ac:dyDescent="0.2">
      <c r="A83" s="2">
        <v>10</v>
      </c>
      <c r="B83" s="3">
        <v>0.91160722078205902</v>
      </c>
      <c r="C83" s="3">
        <v>8.8392779217940504E-2</v>
      </c>
      <c r="D83" s="3">
        <v>0</v>
      </c>
    </row>
    <row r="84" spans="1:4" x14ac:dyDescent="0.2">
      <c r="A84" s="2">
        <v>11</v>
      </c>
      <c r="B84" s="3">
        <v>0.96251020520363095</v>
      </c>
      <c r="C84" s="3">
        <v>3.7489794796368998E-2</v>
      </c>
      <c r="D84" s="3">
        <v>0</v>
      </c>
    </row>
    <row r="85" spans="1:4" x14ac:dyDescent="0.2">
      <c r="A85" s="2">
        <v>12</v>
      </c>
      <c r="B85" s="3">
        <v>0.98722591883772903</v>
      </c>
      <c r="C85" s="3">
        <v>1.2774081162270899E-2</v>
      </c>
      <c r="D85" s="3">
        <v>0</v>
      </c>
    </row>
    <row r="86" spans="1:4" x14ac:dyDescent="0.2">
      <c r="A86" s="2">
        <v>13</v>
      </c>
      <c r="B86" s="3">
        <v>0.995317129028506</v>
      </c>
      <c r="C86" s="3">
        <v>4.6828709714930904E-3</v>
      </c>
      <c r="D86" s="3">
        <v>0</v>
      </c>
    </row>
    <row r="87" spans="1:4" x14ac:dyDescent="0.2">
      <c r="A87" s="2">
        <v>14</v>
      </c>
      <c r="B87" s="3">
        <v>0.99746853630801002</v>
      </c>
      <c r="C87" s="3">
        <v>2.5314636919898299E-3</v>
      </c>
      <c r="D87" s="3">
        <v>0</v>
      </c>
    </row>
    <row r="88" spans="1:4" x14ac:dyDescent="0.2">
      <c r="A88" s="2">
        <v>15</v>
      </c>
      <c r="B88" s="3">
        <v>0.99829325012425796</v>
      </c>
      <c r="C88" s="3">
        <v>1.7067498757420399E-3</v>
      </c>
      <c r="D88" s="3">
        <v>0</v>
      </c>
    </row>
    <row r="89" spans="1:4" x14ac:dyDescent="0.2">
      <c r="A89" s="2">
        <v>16</v>
      </c>
      <c r="B89" s="3">
        <v>0.99880583303161796</v>
      </c>
      <c r="C89" s="3">
        <v>1.19416696838182E-3</v>
      </c>
      <c r="D89" s="3">
        <v>0</v>
      </c>
    </row>
    <row r="90" spans="1:4" x14ac:dyDescent="0.2">
      <c r="A90" s="2">
        <v>17</v>
      </c>
      <c r="B90" s="3">
        <v>0.99917231077783497</v>
      </c>
      <c r="C90" s="3">
        <v>8.2768922216432605E-4</v>
      </c>
      <c r="D90" s="3">
        <v>0</v>
      </c>
    </row>
    <row r="91" spans="1:4" x14ac:dyDescent="0.2">
      <c r="A91" s="2">
        <v>18</v>
      </c>
      <c r="B91" s="3">
        <v>0.99940470486121502</v>
      </c>
      <c r="C91" s="3">
        <v>5.9529513878498505E-4</v>
      </c>
      <c r="D91" s="3">
        <v>0</v>
      </c>
    </row>
    <row r="92" spans="1:4" x14ac:dyDescent="0.2">
      <c r="A92" s="2">
        <v>19</v>
      </c>
      <c r="B92" s="3">
        <v>0.99957670969891099</v>
      </c>
      <c r="C92" s="3">
        <v>4.2329030108824401E-4</v>
      </c>
      <c r="D92" s="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3E2F-DF0D-D741-8DCA-390E0CC0045F}">
  <dimension ref="A1:X28"/>
  <sheetViews>
    <sheetView workbookViewId="0">
      <selection activeCell="Q11" sqref="C5:Q11"/>
    </sheetView>
  </sheetViews>
  <sheetFormatPr baseColWidth="10" defaultRowHeight="16" x14ac:dyDescent="0.2"/>
  <cols>
    <col min="3" max="3" width="25.1640625" style="15" bestFit="1" customWidth="1"/>
    <col min="4" max="19" width="8.1640625" customWidth="1"/>
    <col min="20" max="20" width="2.33203125" customWidth="1"/>
  </cols>
  <sheetData>
    <row r="1" spans="1:24" x14ac:dyDescent="0.2">
      <c r="A1" s="2"/>
      <c r="B1" s="2"/>
      <c r="C1" s="1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2"/>
      <c r="B2" s="2"/>
      <c r="C2" s="1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2"/>
      <c r="B3" s="2"/>
      <c r="C3" s="1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2"/>
      <c r="B4" s="2"/>
      <c r="C4" s="1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3" customHeight="1" x14ac:dyDescent="0.25">
      <c r="A5" s="2"/>
      <c r="B5" s="2"/>
      <c r="C5" s="43" t="s">
        <v>19</v>
      </c>
      <c r="D5" s="42">
        <v>0</v>
      </c>
      <c r="E5" s="42">
        <f>D5+1</f>
        <v>1</v>
      </c>
      <c r="F5" s="42">
        <f t="shared" ref="F5:Q5" si="0">E5+1</f>
        <v>2</v>
      </c>
      <c r="G5" s="42">
        <f t="shared" si="0"/>
        <v>3</v>
      </c>
      <c r="H5" s="42">
        <f t="shared" si="0"/>
        <v>4</v>
      </c>
      <c r="I5" s="42">
        <f t="shared" si="0"/>
        <v>5</v>
      </c>
      <c r="J5" s="42">
        <f t="shared" si="0"/>
        <v>6</v>
      </c>
      <c r="K5" s="42">
        <f t="shared" si="0"/>
        <v>7</v>
      </c>
      <c r="L5" s="42">
        <f t="shared" si="0"/>
        <v>8</v>
      </c>
      <c r="M5" s="42">
        <f>L5+1</f>
        <v>9</v>
      </c>
      <c r="N5" s="42">
        <f t="shared" si="0"/>
        <v>10</v>
      </c>
      <c r="O5" s="42">
        <f t="shared" si="0"/>
        <v>11</v>
      </c>
      <c r="P5" s="42">
        <f>O5+1</f>
        <v>12</v>
      </c>
      <c r="Q5" s="42">
        <f t="shared" si="0"/>
        <v>13</v>
      </c>
      <c r="R5" s="40">
        <f>Q5+1</f>
        <v>14</v>
      </c>
      <c r="S5" s="40">
        <f>R5+1</f>
        <v>15</v>
      </c>
      <c r="T5" s="41"/>
      <c r="U5" s="2"/>
      <c r="V5" s="2"/>
      <c r="W5" s="2"/>
      <c r="X5" s="2"/>
    </row>
    <row r="6" spans="1:24" s="2" customFormat="1" ht="20" customHeight="1" x14ac:dyDescent="0.25">
      <c r="C6" s="44" t="s">
        <v>20</v>
      </c>
      <c r="D6" s="30">
        <v>1</v>
      </c>
      <c r="E6" s="31">
        <v>0.73499999999999999</v>
      </c>
      <c r="F6" s="31">
        <v>0.48935157506667698</v>
      </c>
      <c r="G6" s="31">
        <v>0.38807498939073398</v>
      </c>
      <c r="H6" s="31">
        <v>0.37339446834025902</v>
      </c>
      <c r="I6" s="31">
        <v>0.45106411953032099</v>
      </c>
      <c r="J6" s="31">
        <v>0.57862558229302496</v>
      </c>
      <c r="K6" s="31">
        <v>0.68985204447442205</v>
      </c>
      <c r="L6" s="31">
        <v>0.76493666046604103</v>
      </c>
      <c r="M6" s="31">
        <v>0.83923175639453196</v>
      </c>
      <c r="N6" s="31">
        <v>0.91160722078205902</v>
      </c>
      <c r="O6" s="31">
        <v>0.96251020520363095</v>
      </c>
      <c r="P6" s="31">
        <v>0.98722591883772903</v>
      </c>
      <c r="Q6" s="31">
        <v>0.995317129028506</v>
      </c>
      <c r="R6" s="16">
        <v>0.99746853630801002</v>
      </c>
      <c r="S6" s="17">
        <v>0.99829325012425796</v>
      </c>
      <c r="T6" s="18"/>
    </row>
    <row r="7" spans="1:24" s="2" customFormat="1" ht="20" customHeight="1" x14ac:dyDescent="0.25">
      <c r="C7" s="45" t="s">
        <v>21</v>
      </c>
      <c r="D7" s="32">
        <v>0</v>
      </c>
      <c r="E7" s="33">
        <v>0.26500000000000001</v>
      </c>
      <c r="F7" s="33">
        <v>0.51064842493332296</v>
      </c>
      <c r="G7" s="33">
        <v>0.61192501060926596</v>
      </c>
      <c r="H7" s="33">
        <v>0.62660553165974098</v>
      </c>
      <c r="I7" s="33">
        <v>0.54893588046967901</v>
      </c>
      <c r="J7" s="33">
        <v>0.42137441770697504</v>
      </c>
      <c r="K7" s="33">
        <v>0.31014795552557795</v>
      </c>
      <c r="L7" s="33">
        <v>0.23506333953395897</v>
      </c>
      <c r="M7" s="33">
        <v>0.16076824360546804</v>
      </c>
      <c r="N7" s="33">
        <v>8.8392779217940975E-2</v>
      </c>
      <c r="O7" s="33">
        <v>3.7489794796369047E-2</v>
      </c>
      <c r="P7" s="33">
        <v>1.2774081162270967E-2</v>
      </c>
      <c r="Q7" s="33">
        <v>4.682870971494002E-3</v>
      </c>
      <c r="R7" s="19">
        <v>2.5314636919899769E-3</v>
      </c>
      <c r="S7" s="20">
        <v>1.7067498757420418E-3</v>
      </c>
      <c r="T7" s="21"/>
    </row>
    <row r="8" spans="1:24" ht="20" customHeight="1" x14ac:dyDescent="0.25">
      <c r="A8" s="2"/>
      <c r="B8" s="2"/>
      <c r="C8" s="46" t="s">
        <v>16</v>
      </c>
      <c r="D8" s="34">
        <v>5.0239552402097501E-2</v>
      </c>
      <c r="E8" s="35">
        <v>5.9822365290104297E-2</v>
      </c>
      <c r="F8" s="35">
        <v>6.8719644857221998E-2</v>
      </c>
      <c r="G8" s="35">
        <v>7.2642885034643001E-2</v>
      </c>
      <c r="H8" s="35">
        <v>7.3375788622089599E-2</v>
      </c>
      <c r="I8" s="35">
        <v>7.0848304739475398E-2</v>
      </c>
      <c r="J8" s="35">
        <v>6.6490652469879202E-2</v>
      </c>
      <c r="K8" s="35">
        <v>6.2534791515597404E-2</v>
      </c>
      <c r="L8" s="35">
        <v>5.96502473037036E-2</v>
      </c>
      <c r="M8" s="35">
        <v>5.6680273790183602E-2</v>
      </c>
      <c r="N8" s="35">
        <v>5.3780771777893199E-2</v>
      </c>
      <c r="O8" s="35">
        <v>5.1741480375197803E-2</v>
      </c>
      <c r="P8" s="35">
        <v>5.0751311667051602E-2</v>
      </c>
      <c r="Q8" s="35">
        <v>5.04271590546468E-2</v>
      </c>
      <c r="R8" s="22">
        <v>5.0340968698253302E-2</v>
      </c>
      <c r="S8" s="23">
        <v>5.0307928753458901E-2</v>
      </c>
      <c r="T8" s="24"/>
      <c r="U8" s="2"/>
      <c r="V8" s="2"/>
      <c r="W8" s="2"/>
      <c r="X8" s="2"/>
    </row>
    <row r="9" spans="1:24" ht="20" customHeight="1" x14ac:dyDescent="0.25">
      <c r="A9" s="2"/>
      <c r="B9" s="2"/>
      <c r="C9" s="46" t="s">
        <v>13</v>
      </c>
      <c r="D9" s="34">
        <v>6.1439658530531301E-2</v>
      </c>
      <c r="E9" s="35">
        <v>6.8572960764587895E-2</v>
      </c>
      <c r="F9" s="35">
        <v>8.0394411787473197E-2</v>
      </c>
      <c r="G9" s="35">
        <v>8.7444100793376903E-2</v>
      </c>
      <c r="H9" s="35">
        <v>8.93813873161972E-2</v>
      </c>
      <c r="I9" s="35">
        <v>8.7020898031977795E-2</v>
      </c>
      <c r="J9" s="35">
        <v>8.3242640763259199E-2</v>
      </c>
      <c r="K9" s="35">
        <v>7.9791742323711695E-2</v>
      </c>
      <c r="L9" s="35">
        <v>7.5749044773623597E-2</v>
      </c>
      <c r="M9" s="35">
        <v>7.0838952187605303E-2</v>
      </c>
      <c r="N9" s="35">
        <v>6.6343726595398902E-2</v>
      </c>
      <c r="O9" s="35">
        <v>6.3432034644080204E-2</v>
      </c>
      <c r="P9" s="35">
        <v>6.2103078956678603E-2</v>
      </c>
      <c r="Q9" s="35">
        <v>6.1680956585477398E-2</v>
      </c>
      <c r="R9" s="22">
        <v>6.1569822926212998E-2</v>
      </c>
      <c r="S9" s="23">
        <v>6.1527345665761499E-2</v>
      </c>
      <c r="T9" s="24"/>
      <c r="U9" s="2"/>
      <c r="V9" s="2"/>
      <c r="W9" s="2"/>
      <c r="X9" s="2"/>
    </row>
    <row r="10" spans="1:24" ht="20" hidden="1" customHeight="1" x14ac:dyDescent="0.25">
      <c r="A10" s="2"/>
      <c r="B10" s="2"/>
      <c r="C10" s="46" t="s">
        <v>17</v>
      </c>
      <c r="D10" s="36">
        <v>0.41080228968973198</v>
      </c>
      <c r="E10" s="37">
        <v>0.50781481362092595</v>
      </c>
      <c r="F10" s="37">
        <v>0.54381447522493398</v>
      </c>
      <c r="G10" s="37">
        <v>0.54483818350673097</v>
      </c>
      <c r="H10" s="37">
        <v>0.54122888528183799</v>
      </c>
      <c r="I10" s="37">
        <v>0.52686545159103504</v>
      </c>
      <c r="J10" s="37">
        <v>0.49843027671212398</v>
      </c>
      <c r="K10" s="37">
        <v>0.47040947374379</v>
      </c>
      <c r="L10" s="37">
        <v>0.457434775676129</v>
      </c>
      <c r="M10" s="37">
        <v>0.447215448730575</v>
      </c>
      <c r="N10" s="37">
        <v>0.43381301073746398</v>
      </c>
      <c r="O10" s="37">
        <v>0.42157689762350198</v>
      </c>
      <c r="P10" s="37">
        <v>0.41465434725088202</v>
      </c>
      <c r="Q10" s="37">
        <v>0.41223678201893399</v>
      </c>
      <c r="R10" s="25">
        <v>0.41158099039236501</v>
      </c>
      <c r="S10" s="26">
        <v>0.41132814165169101</v>
      </c>
      <c r="T10" s="24"/>
      <c r="U10" s="2"/>
      <c r="V10" s="2"/>
      <c r="W10" s="2"/>
      <c r="X10" s="2"/>
    </row>
    <row r="11" spans="1:24" ht="20" customHeight="1" x14ac:dyDescent="0.25">
      <c r="A11" s="2"/>
      <c r="B11" s="2"/>
      <c r="C11" s="47" t="s">
        <v>18</v>
      </c>
      <c r="D11" s="38">
        <v>0.15117118189928999</v>
      </c>
      <c r="E11" s="39">
        <v>0.19156495643773599</v>
      </c>
      <c r="F11" s="39">
        <v>0.237230947291456</v>
      </c>
      <c r="G11" s="39">
        <v>0.26452900511002397</v>
      </c>
      <c r="H11" s="39">
        <v>0.273175462809017</v>
      </c>
      <c r="I11" s="39">
        <v>0.26724865976902901</v>
      </c>
      <c r="J11" s="39">
        <v>0.25336532006526802</v>
      </c>
      <c r="K11" s="39">
        <v>0.23755284001319399</v>
      </c>
      <c r="L11" s="39">
        <v>0.21948026711308899</v>
      </c>
      <c r="M11" s="39">
        <v>0.197583370367614</v>
      </c>
      <c r="N11" s="39">
        <v>0.176326434423482</v>
      </c>
      <c r="O11" s="39">
        <v>0.161593291764697</v>
      </c>
      <c r="P11" s="39">
        <v>0.15465819533258701</v>
      </c>
      <c r="Q11" s="39">
        <v>0.152447398001302</v>
      </c>
      <c r="R11" s="27">
        <v>0.15185983827359101</v>
      </c>
      <c r="S11" s="28">
        <v>0.151635051233385</v>
      </c>
      <c r="T11" s="29"/>
      <c r="U11" s="2"/>
      <c r="V11" s="2"/>
      <c r="W11" s="2"/>
      <c r="X11" s="2"/>
    </row>
    <row r="12" spans="1:24" x14ac:dyDescent="0.2">
      <c r="A12" s="2"/>
      <c r="B12" s="2"/>
      <c r="C12" s="1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s="2"/>
      <c r="B13" s="2"/>
      <c r="C13" s="1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A14" s="2"/>
      <c r="B14" s="2"/>
      <c r="C14" s="1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2"/>
      <c r="B15" s="2"/>
      <c r="C15" s="14"/>
      <c r="D15" s="2"/>
      <c r="E15" s="2">
        <v>0</v>
      </c>
      <c r="F15" s="2">
        <v>1</v>
      </c>
      <c r="G15" s="2">
        <v>2</v>
      </c>
      <c r="H15" s="2">
        <v>3</v>
      </c>
      <c r="I15" s="2">
        <v>4</v>
      </c>
      <c r="J15" s="2">
        <v>5</v>
      </c>
      <c r="K15" s="2">
        <v>6</v>
      </c>
      <c r="L15" s="2">
        <v>7</v>
      </c>
      <c r="M15" s="2">
        <v>8</v>
      </c>
      <c r="N15" s="2">
        <v>9</v>
      </c>
      <c r="O15" s="2">
        <v>10</v>
      </c>
      <c r="P15" s="2">
        <v>11</v>
      </c>
      <c r="Q15" s="2">
        <v>12</v>
      </c>
      <c r="R15" s="2">
        <v>13</v>
      </c>
      <c r="S15" s="2">
        <v>14</v>
      </c>
      <c r="T15" s="2">
        <v>15</v>
      </c>
      <c r="U15" s="2">
        <v>16</v>
      </c>
      <c r="V15" s="2">
        <v>17</v>
      </c>
      <c r="W15" s="2">
        <v>18</v>
      </c>
      <c r="X15" s="2">
        <v>19</v>
      </c>
    </row>
    <row r="16" spans="1:24" x14ac:dyDescent="0.2">
      <c r="A16" s="2"/>
      <c r="B16" s="2"/>
      <c r="C16" s="14"/>
      <c r="D16" s="2">
        <v>0</v>
      </c>
      <c r="E16" s="2">
        <v>5.0239552402097501E-2</v>
      </c>
      <c r="F16" s="2">
        <v>5.9822365290104297E-2</v>
      </c>
      <c r="G16" s="2">
        <v>6.8719644857221998E-2</v>
      </c>
      <c r="H16" s="2">
        <v>7.2642885034643001E-2</v>
      </c>
      <c r="I16" s="2">
        <v>7.3375788622089599E-2</v>
      </c>
      <c r="J16" s="2">
        <v>7.0848304739475398E-2</v>
      </c>
      <c r="K16" s="2">
        <v>6.6490652469879202E-2</v>
      </c>
      <c r="L16" s="2">
        <v>6.2534791515597404E-2</v>
      </c>
      <c r="M16" s="2">
        <v>5.96502473037036E-2</v>
      </c>
      <c r="N16" s="2">
        <v>5.6680273790183602E-2</v>
      </c>
      <c r="O16" s="2">
        <v>5.3780771777893199E-2</v>
      </c>
      <c r="P16" s="2">
        <v>5.1741480375197803E-2</v>
      </c>
      <c r="Q16" s="2">
        <v>5.0751311667051602E-2</v>
      </c>
      <c r="R16" s="2">
        <v>5.04271590546468E-2</v>
      </c>
      <c r="S16" s="2">
        <v>5.0340968698253302E-2</v>
      </c>
      <c r="T16" s="2">
        <v>5.0307928753458901E-2</v>
      </c>
      <c r="U16" s="2">
        <v>5.0287393495496602E-2</v>
      </c>
      <c r="V16" s="2">
        <v>5.0272711548541398E-2</v>
      </c>
      <c r="W16" s="2">
        <v>5.0263401303539797E-2</v>
      </c>
      <c r="X16" s="2">
        <v>5.0256510391529001E-2</v>
      </c>
    </row>
    <row r="17" spans="1:24" x14ac:dyDescent="0.2">
      <c r="A17" s="2"/>
      <c r="B17" s="2"/>
      <c r="C17" s="14"/>
      <c r="D17" s="2">
        <v>1</v>
      </c>
      <c r="E17" s="2">
        <v>6.1439658530531301E-2</v>
      </c>
      <c r="F17" s="2">
        <v>6.8572960764587895E-2</v>
      </c>
      <c r="G17" s="2">
        <v>8.0394411787473197E-2</v>
      </c>
      <c r="H17" s="2">
        <v>8.7444100793376903E-2</v>
      </c>
      <c r="I17" s="2">
        <v>8.93813873161972E-2</v>
      </c>
      <c r="J17" s="2">
        <v>8.7020898031977795E-2</v>
      </c>
      <c r="K17" s="2">
        <v>8.3242640763259199E-2</v>
      </c>
      <c r="L17" s="2">
        <v>7.9791742323711695E-2</v>
      </c>
      <c r="M17" s="2">
        <v>7.5749044773623597E-2</v>
      </c>
      <c r="N17" s="2">
        <v>7.0838952187605303E-2</v>
      </c>
      <c r="O17" s="2">
        <v>6.6343726595398902E-2</v>
      </c>
      <c r="P17" s="2">
        <v>6.3432034644080204E-2</v>
      </c>
      <c r="Q17" s="2">
        <v>6.2103078956678603E-2</v>
      </c>
      <c r="R17" s="2">
        <v>6.1680956585477398E-2</v>
      </c>
      <c r="S17" s="2">
        <v>6.1569822926212998E-2</v>
      </c>
      <c r="T17" s="2">
        <v>6.1527345665761499E-2</v>
      </c>
      <c r="U17" s="2">
        <v>6.1500979686132898E-2</v>
      </c>
      <c r="V17" s="2">
        <v>6.1482145385210997E-2</v>
      </c>
      <c r="W17" s="2">
        <v>6.1470209102678301E-2</v>
      </c>
      <c r="X17" s="2">
        <v>6.1461378093180002E-2</v>
      </c>
    </row>
    <row r="18" spans="1:24" x14ac:dyDescent="0.2">
      <c r="A18" s="2"/>
      <c r="B18" s="2"/>
      <c r="C18" s="14"/>
      <c r="D18" s="2">
        <v>2</v>
      </c>
      <c r="E18" s="2">
        <v>0.41080228968973198</v>
      </c>
      <c r="F18" s="2">
        <v>0.50781481362092595</v>
      </c>
      <c r="G18" s="2">
        <v>0.54381447522493398</v>
      </c>
      <c r="H18" s="2">
        <v>0.54483818350673097</v>
      </c>
      <c r="I18" s="2">
        <v>0.54122888528183799</v>
      </c>
      <c r="J18" s="2">
        <v>0.52686545159103504</v>
      </c>
      <c r="K18" s="2">
        <v>0.49843027671212398</v>
      </c>
      <c r="L18" s="2">
        <v>0.47040947374379</v>
      </c>
      <c r="M18" s="2">
        <v>0.457434775676129</v>
      </c>
      <c r="N18" s="2">
        <v>0.447215448730575</v>
      </c>
      <c r="O18" s="2">
        <v>0.43381301073746398</v>
      </c>
      <c r="P18" s="2">
        <v>0.42157689762350198</v>
      </c>
      <c r="Q18" s="2">
        <v>0.41465434725088202</v>
      </c>
      <c r="R18" s="2">
        <v>0.41223678201893399</v>
      </c>
      <c r="S18" s="2">
        <v>0.41158099039236501</v>
      </c>
      <c r="T18" s="2">
        <v>0.41132814165169101</v>
      </c>
      <c r="U18" s="2">
        <v>0.411170580120016</v>
      </c>
      <c r="V18" s="2">
        <v>0.411057737009621</v>
      </c>
      <c r="W18" s="2">
        <v>0.41098609671785102</v>
      </c>
      <c r="X18" s="2">
        <v>0.41093303103679701</v>
      </c>
    </row>
    <row r="19" spans="1:24" x14ac:dyDescent="0.2">
      <c r="A19" s="2"/>
      <c r="B19" s="2"/>
      <c r="C19" s="14"/>
      <c r="D19" s="2">
        <v>3</v>
      </c>
      <c r="E19" s="2">
        <v>0.15117118189928999</v>
      </c>
      <c r="F19" s="2">
        <v>0.19156495643773599</v>
      </c>
      <c r="G19" s="2">
        <v>0.237230947291456</v>
      </c>
      <c r="H19" s="2">
        <v>0.26452900511002397</v>
      </c>
      <c r="I19" s="2">
        <v>0.273175462809017</v>
      </c>
      <c r="J19" s="2">
        <v>0.26724865976902901</v>
      </c>
      <c r="K19" s="2">
        <v>0.25336532006526802</v>
      </c>
      <c r="L19" s="2">
        <v>0.23755284001319399</v>
      </c>
      <c r="M19" s="2">
        <v>0.21948026711308899</v>
      </c>
      <c r="N19" s="2">
        <v>0.197583370367614</v>
      </c>
      <c r="O19" s="2">
        <v>0.176326434423482</v>
      </c>
      <c r="P19" s="2">
        <v>0.161593291764697</v>
      </c>
      <c r="Q19" s="2">
        <v>0.15465819533258701</v>
      </c>
      <c r="R19" s="2">
        <v>0.152447398001302</v>
      </c>
      <c r="S19" s="2">
        <v>0.15185983827359101</v>
      </c>
      <c r="T19" s="2">
        <v>0.151635051233385</v>
      </c>
      <c r="U19" s="2">
        <v>0.151495476772782</v>
      </c>
      <c r="V19" s="2">
        <v>0.151395770953931</v>
      </c>
      <c r="W19" s="2">
        <v>0.151332538716276</v>
      </c>
      <c r="X19" s="2">
        <v>0.15128580844443401</v>
      </c>
    </row>
    <row r="20" spans="1:24" x14ac:dyDescent="0.2">
      <c r="A20" s="2"/>
      <c r="B20" s="2"/>
      <c r="C20" s="1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s="2"/>
      <c r="B24" s="2"/>
      <c r="C24" s="1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2"/>
      <c r="B25" s="2"/>
      <c r="C25" s="1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">
      <c r="A26" s="2"/>
      <c r="B26" s="2"/>
      <c r="C26" s="1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s="2"/>
      <c r="B27" s="2"/>
      <c r="C27" s="1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U28" s="2"/>
      <c r="V28" s="2"/>
      <c r="W28" s="2"/>
      <c r="X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7141-FD43-DE47-ADF8-F44ACBD02F19}">
  <dimension ref="A1:N28"/>
  <sheetViews>
    <sheetView tabSelected="1" workbookViewId="0">
      <selection activeCell="G21" sqref="G21"/>
    </sheetView>
  </sheetViews>
  <sheetFormatPr baseColWidth="10" defaultRowHeight="16" x14ac:dyDescent="0.2"/>
  <sheetData>
    <row r="1" spans="1:14" x14ac:dyDescent="0.2">
      <c r="A1" s="3"/>
      <c r="B1" s="3" t="s">
        <v>11</v>
      </c>
      <c r="C1" s="3" t="s">
        <v>12</v>
      </c>
      <c r="D1" s="3" t="s">
        <v>11</v>
      </c>
      <c r="E1" s="3" t="s">
        <v>12</v>
      </c>
      <c r="F1" s="2"/>
      <c r="G1" s="2">
        <v>-1</v>
      </c>
      <c r="H1" s="2"/>
      <c r="I1" s="2"/>
      <c r="J1" s="2"/>
      <c r="K1" s="2"/>
      <c r="L1" s="2"/>
      <c r="M1" s="2"/>
      <c r="N1" s="2"/>
    </row>
    <row r="2" spans="1:14" x14ac:dyDescent="0.2">
      <c r="A2" s="3"/>
      <c r="B2" s="3" t="s">
        <v>14</v>
      </c>
      <c r="C2" s="3" t="s">
        <v>14</v>
      </c>
      <c r="D2" s="3" t="s">
        <v>15</v>
      </c>
      <c r="E2" s="3" t="s">
        <v>15</v>
      </c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3">
        <v>0</v>
      </c>
      <c r="B3" s="4">
        <v>-9</v>
      </c>
      <c r="C3" s="4">
        <v>-17.5</v>
      </c>
      <c r="D3" s="4">
        <v>0</v>
      </c>
      <c r="E3" s="4">
        <v>0</v>
      </c>
      <c r="F3" s="2"/>
      <c r="G3" s="2"/>
      <c r="H3" s="2"/>
      <c r="I3" s="2"/>
      <c r="J3" s="2"/>
      <c r="K3" s="2"/>
      <c r="L3" s="2"/>
      <c r="M3" s="2"/>
      <c r="N3" s="2"/>
    </row>
    <row r="4" spans="1:14" x14ac:dyDescent="0.2">
      <c r="A4" s="3">
        <v>1</v>
      </c>
      <c r="B4" s="4">
        <v>-9</v>
      </c>
      <c r="C4" s="4">
        <v>-17.5</v>
      </c>
      <c r="D4" s="4">
        <v>9.9573680176074796E-4</v>
      </c>
      <c r="E4" s="4">
        <v>1.0075101090255201</v>
      </c>
      <c r="F4" s="2"/>
      <c r="G4" s="2"/>
      <c r="H4" s="2"/>
      <c r="I4" s="2"/>
      <c r="J4" s="2"/>
      <c r="K4" s="2"/>
      <c r="L4" s="2"/>
      <c r="M4" s="2"/>
      <c r="N4" s="2"/>
    </row>
    <row r="5" spans="1:14" x14ac:dyDescent="0.2">
      <c r="A5" s="3">
        <v>2</v>
      </c>
      <c r="B5" s="4">
        <v>-9</v>
      </c>
      <c r="C5" s="4">
        <v>-5.0149999999999997</v>
      </c>
      <c r="D5" s="4">
        <v>5.0076404494187397E-2</v>
      </c>
      <c r="E5" s="4">
        <v>3.3208997083278802</v>
      </c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3">
        <v>3</v>
      </c>
      <c r="B6" s="4">
        <v>-5.1349999999999998</v>
      </c>
      <c r="C6" s="4">
        <v>-3.34</v>
      </c>
      <c r="D6" s="4">
        <v>0.38689291738676601</v>
      </c>
      <c r="E6" s="4">
        <v>7.4010020834184997</v>
      </c>
      <c r="F6" s="2"/>
      <c r="G6" s="2"/>
      <c r="H6" s="2"/>
      <c r="I6" s="2"/>
      <c r="J6" s="2"/>
      <c r="K6" s="2"/>
      <c r="L6" s="2"/>
      <c r="M6" s="2"/>
      <c r="N6" s="2"/>
    </row>
    <row r="7" spans="1:14" x14ac:dyDescent="0.2">
      <c r="A7" s="3">
        <v>4</v>
      </c>
      <c r="B7" s="4">
        <v>-3.98999999999999</v>
      </c>
      <c r="C7" s="4">
        <v>0</v>
      </c>
      <c r="D7" s="4">
        <v>1.5010065897753899</v>
      </c>
      <c r="E7" s="4">
        <v>14.5207470627745</v>
      </c>
      <c r="F7" s="2"/>
      <c r="G7" s="2"/>
      <c r="H7" s="2"/>
      <c r="I7" s="2"/>
      <c r="J7" s="2"/>
      <c r="K7" s="2"/>
      <c r="L7" s="2"/>
      <c r="M7" s="2"/>
      <c r="N7" s="2"/>
    </row>
    <row r="8" spans="1:14" x14ac:dyDescent="0.2">
      <c r="A8" s="3">
        <v>5</v>
      </c>
      <c r="B8" s="4">
        <v>-3.1</v>
      </c>
      <c r="C8" s="4">
        <v>0</v>
      </c>
      <c r="D8" s="4">
        <v>3.9306290750942199</v>
      </c>
      <c r="E8" s="4">
        <v>20.101500493118198</v>
      </c>
      <c r="F8" s="2"/>
      <c r="G8" s="2"/>
      <c r="H8" s="2"/>
      <c r="I8" s="2"/>
      <c r="J8" s="2"/>
      <c r="K8" s="2"/>
      <c r="L8" s="2"/>
      <c r="M8" s="2"/>
      <c r="N8" s="2"/>
    </row>
    <row r="9" spans="1:14" x14ac:dyDescent="0.2">
      <c r="A9" s="3">
        <v>6</v>
      </c>
      <c r="B9" s="4">
        <v>-2.4049999999999998</v>
      </c>
      <c r="C9" s="4">
        <v>0</v>
      </c>
      <c r="D9" s="4">
        <v>7.9462271792100596</v>
      </c>
      <c r="E9" s="4">
        <v>14.335159383097199</v>
      </c>
      <c r="F9" s="2"/>
      <c r="G9" s="2"/>
      <c r="H9" s="2"/>
      <c r="I9" s="2"/>
      <c r="J9" s="2"/>
      <c r="K9" s="2"/>
      <c r="L9" s="2"/>
      <c r="M9" s="2"/>
      <c r="N9" s="2"/>
    </row>
    <row r="10" spans="1:14" x14ac:dyDescent="0.2">
      <c r="A10" s="3">
        <v>7</v>
      </c>
      <c r="B10" s="4">
        <v>-1.87</v>
      </c>
      <c r="C10" s="4">
        <v>0</v>
      </c>
      <c r="D10" s="4">
        <v>12.880696604794799</v>
      </c>
      <c r="E10" s="4">
        <v>3.74824045649589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 s="3">
        <v>8</v>
      </c>
      <c r="B11" s="4">
        <v>-1.45</v>
      </c>
      <c r="C11" s="4">
        <v>0</v>
      </c>
      <c r="D11" s="4">
        <v>16.622023829459401</v>
      </c>
      <c r="E11" s="4">
        <v>0.209438286609408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">
      <c r="A12" s="3">
        <v>9</v>
      </c>
      <c r="B12" s="4">
        <v>-1.1299999999999999</v>
      </c>
      <c r="C12" s="4">
        <v>0</v>
      </c>
      <c r="D12" s="4">
        <v>16.532017866799901</v>
      </c>
      <c r="E12" s="4">
        <v>9.1636005485734801E-4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 s="3">
        <v>10</v>
      </c>
      <c r="B13" s="4">
        <v>-0.875</v>
      </c>
      <c r="C13" s="4">
        <v>0</v>
      </c>
      <c r="D13" s="4">
        <v>12.2033780101514</v>
      </c>
      <c r="E13" s="4">
        <v>0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">
      <c r="A14" s="3">
        <v>11</v>
      </c>
      <c r="B14" s="4">
        <v>-0.67999999999999905</v>
      </c>
      <c r="C14" s="4">
        <v>0</v>
      </c>
      <c r="D14" s="4">
        <v>6.4354410444379697</v>
      </c>
      <c r="E14" s="4">
        <v>0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">
      <c r="A15" s="3">
        <v>12</v>
      </c>
      <c r="B15" s="4">
        <v>-0.53</v>
      </c>
      <c r="C15" s="4">
        <v>0</v>
      </c>
      <c r="D15" s="4">
        <v>2.5218931720845199</v>
      </c>
      <c r="E15" s="4">
        <v>0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">
      <c r="A16" s="3">
        <v>13</v>
      </c>
      <c r="B16" s="4">
        <v>-0.41</v>
      </c>
      <c r="C16" s="4">
        <v>0</v>
      </c>
      <c r="D16" s="4">
        <v>0.97960997203245304</v>
      </c>
      <c r="E16" s="4">
        <v>0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 s="3">
        <v>14</v>
      </c>
      <c r="B17" s="4">
        <v>-0.32</v>
      </c>
      <c r="C17" s="4">
        <v>0</v>
      </c>
      <c r="D17" s="4">
        <v>0.55919878705395099</v>
      </c>
      <c r="E17" s="4">
        <v>0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">
      <c r="A18" s="3">
        <v>15</v>
      </c>
      <c r="B18" s="4">
        <v>-0.25</v>
      </c>
      <c r="C18" s="4">
        <v>0</v>
      </c>
      <c r="D18" s="4">
        <v>0.40691718093395202</v>
      </c>
      <c r="E18" s="4">
        <v>0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s="3">
        <v>16</v>
      </c>
      <c r="B19" s="4">
        <v>-0.19</v>
      </c>
      <c r="C19" s="4">
        <v>0</v>
      </c>
      <c r="D19" s="4">
        <v>0.30777414196385799</v>
      </c>
      <c r="E19" s="4">
        <v>0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 s="3">
        <v>17</v>
      </c>
      <c r="B20" s="4">
        <v>-0.15</v>
      </c>
      <c r="C20" s="4">
        <v>0</v>
      </c>
      <c r="D20" s="4">
        <v>0.22923661422851899</v>
      </c>
      <c r="E20" s="4">
        <v>0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">
      <c r="A21" s="3">
        <v>18</v>
      </c>
      <c r="B21" s="4">
        <v>-0.11499999999999901</v>
      </c>
      <c r="C21" s="4">
        <v>0</v>
      </c>
      <c r="D21" s="4">
        <v>0.176892494795687</v>
      </c>
      <c r="E21" s="4">
        <v>0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">
      <c r="A22" s="3">
        <v>19</v>
      </c>
      <c r="B22" s="4">
        <v>-0.09</v>
      </c>
      <c r="C22" s="4">
        <v>0</v>
      </c>
      <c r="D22" s="4">
        <v>0.134042989368375</v>
      </c>
      <c r="E22" s="4">
        <v>0</v>
      </c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">
      <c r="A23" s="3"/>
      <c r="B23" s="3"/>
      <c r="C23" s="3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Buyout Fund</vt:lpstr>
      <vt:lpstr>Portfolio</vt:lpstr>
      <vt:lpstr>Table of Metrics</vt:lpstr>
      <vt:lpstr>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Barker</dc:creator>
  <cp:lastModifiedBy>Francis Barker</cp:lastModifiedBy>
  <dcterms:created xsi:type="dcterms:W3CDTF">2025-07-05T08:21:41Z</dcterms:created>
  <dcterms:modified xsi:type="dcterms:W3CDTF">2025-07-07T14:48:53Z</dcterms:modified>
</cp:coreProperties>
</file>