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cisbarker/repo/epsilon-psi/epsilon-phi-core/src/Scripts/Case Studies/Private Assets/"/>
    </mc:Choice>
  </mc:AlternateContent>
  <xr:revisionPtr revIDLastSave="0" documentId="13_ncr:1_{8B2EB7DC-6FB3-2B46-A520-2986353A5D10}" xr6:coauthVersionLast="47" xr6:coauthVersionMax="47" xr10:uidLastSave="{00000000-0000-0000-0000-000000000000}"/>
  <bookViews>
    <workbookView xWindow="2780" yWindow="1500" windowWidth="28040" windowHeight="17440" xr2:uid="{B27BFF3F-175D-D24A-9917-E1B15F9E6B2E}"/>
  </bookViews>
  <sheets>
    <sheet name="Commitment Pacing" sheetId="1" r:id="rId1"/>
    <sheet name="Commitments Dollars" sheetId="2" r:id="rId2"/>
    <sheet name="CashFlow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3" l="1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3" i="3"/>
  <c r="J4" i="3"/>
  <c r="J5" i="3"/>
  <c r="J6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3" i="3"/>
  <c r="K3" i="3" s="1"/>
  <c r="K4" i="3" s="1"/>
  <c r="K5" i="3" s="1"/>
  <c r="K6" i="3" s="1"/>
  <c r="K7" i="3" s="1"/>
  <c r="K8" i="3" s="1"/>
  <c r="K9" i="3" s="1"/>
  <c r="K10" i="3" s="1"/>
  <c r="K11" i="3" s="1"/>
  <c r="K12" i="3" s="1"/>
  <c r="K13" i="3" s="1"/>
  <c r="K14" i="3" s="1"/>
  <c r="K15" i="3" s="1"/>
  <c r="K16" i="3" s="1"/>
  <c r="K17" i="3" s="1"/>
  <c r="K18" i="3" s="1"/>
  <c r="K19" i="3" s="1"/>
  <c r="K20" i="3" s="1"/>
  <c r="K21" i="3" s="1"/>
  <c r="K22" i="3" s="1"/>
  <c r="N6" i="2"/>
  <c r="O6" i="2"/>
  <c r="P6" i="2"/>
  <c r="Q6" i="2"/>
  <c r="M7" i="2"/>
  <c r="N7" i="2"/>
  <c r="O8" i="2"/>
  <c r="N9" i="2"/>
  <c r="O9" i="2"/>
  <c r="P9" i="2"/>
  <c r="M13" i="2"/>
  <c r="N13" i="2"/>
  <c r="O13" i="2"/>
  <c r="P13" i="2"/>
  <c r="M14" i="2"/>
  <c r="N14" i="2"/>
  <c r="O14" i="2"/>
  <c r="N15" i="2"/>
  <c r="O15" i="2"/>
  <c r="P15" i="2"/>
  <c r="M16" i="2"/>
  <c r="N16" i="2"/>
  <c r="O16" i="2"/>
  <c r="P16" i="2"/>
  <c r="Q16" i="2"/>
  <c r="N18" i="2"/>
  <c r="O18" i="2"/>
  <c r="P18" i="2"/>
  <c r="Q18" i="2"/>
  <c r="M19" i="2"/>
  <c r="N19" i="2"/>
  <c r="N21" i="2"/>
  <c r="O21" i="2"/>
  <c r="P21" i="2"/>
  <c r="Q23" i="2"/>
  <c r="N4" i="2"/>
  <c r="J5" i="2"/>
  <c r="M5" i="2" s="1"/>
  <c r="J6" i="2"/>
  <c r="M6" i="2" s="1"/>
  <c r="J7" i="2"/>
  <c r="O7" i="2" s="1"/>
  <c r="J8" i="2"/>
  <c r="M8" i="2" s="1"/>
  <c r="J9" i="2"/>
  <c r="Q9" i="2" s="1"/>
  <c r="J10" i="2"/>
  <c r="M10" i="2" s="1"/>
  <c r="J11" i="2"/>
  <c r="Q11" i="2" s="1"/>
  <c r="J12" i="2"/>
  <c r="N12" i="2" s="1"/>
  <c r="J13" i="2"/>
  <c r="J14" i="2"/>
  <c r="P14" i="2" s="1"/>
  <c r="J15" i="2"/>
  <c r="M15" i="2" s="1"/>
  <c r="J16" i="2"/>
  <c r="J17" i="2"/>
  <c r="M17" i="2" s="1"/>
  <c r="J18" i="2"/>
  <c r="M18" i="2" s="1"/>
  <c r="J19" i="2"/>
  <c r="O19" i="2" s="1"/>
  <c r="J20" i="2"/>
  <c r="M20" i="2" s="1"/>
  <c r="J21" i="2"/>
  <c r="Q21" i="2" s="1"/>
  <c r="J22" i="2"/>
  <c r="M22" i="2" s="1"/>
  <c r="J23" i="2"/>
  <c r="M23" i="2" s="1"/>
  <c r="J4" i="2"/>
  <c r="O4" i="2" s="1"/>
  <c r="F23" i="2"/>
  <c r="F22" i="2"/>
  <c r="F21" i="2"/>
  <c r="F20" i="2"/>
  <c r="F19" i="2"/>
  <c r="F18" i="2"/>
  <c r="F17" i="2"/>
  <c r="F16" i="2"/>
  <c r="F15" i="2"/>
  <c r="Q15" i="2" s="1"/>
  <c r="F14" i="2"/>
  <c r="F13" i="2"/>
  <c r="Q13" i="2" s="1"/>
  <c r="F12" i="2"/>
  <c r="F11" i="2"/>
  <c r="F10" i="2"/>
  <c r="F9" i="2"/>
  <c r="F8" i="2"/>
  <c r="F7" i="2"/>
  <c r="F6" i="2"/>
  <c r="F5" i="2"/>
  <c r="F4" i="2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42" i="1"/>
  <c r="D1" i="1"/>
  <c r="P23" i="2" l="1"/>
  <c r="P11" i="2"/>
  <c r="M9" i="2"/>
  <c r="N23" i="2"/>
  <c r="Q20" i="2"/>
  <c r="N11" i="2"/>
  <c r="Q8" i="2"/>
  <c r="P12" i="2"/>
  <c r="M12" i="2"/>
  <c r="O23" i="2"/>
  <c r="M21" i="2"/>
  <c r="O11" i="2"/>
  <c r="P20" i="2"/>
  <c r="M11" i="2"/>
  <c r="P8" i="2"/>
  <c r="Q22" i="2"/>
  <c r="O20" i="2"/>
  <c r="Q10" i="2"/>
  <c r="P10" i="2"/>
  <c r="Q4" i="2"/>
  <c r="O17" i="2"/>
  <c r="O5" i="2"/>
  <c r="P19" i="2"/>
  <c r="P22" i="2"/>
  <c r="N20" i="2"/>
  <c r="Q17" i="2"/>
  <c r="N8" i="2"/>
  <c r="Q5" i="2"/>
  <c r="M4" i="2"/>
  <c r="O22" i="2"/>
  <c r="P17" i="2"/>
  <c r="Q12" i="2"/>
  <c r="O10" i="2"/>
  <c r="P5" i="2"/>
  <c r="N22" i="2"/>
  <c r="Q19" i="2"/>
  <c r="N10" i="2"/>
  <c r="Q7" i="2"/>
  <c r="P4" i="2"/>
  <c r="N17" i="2"/>
  <c r="Q14" i="2"/>
  <c r="O12" i="2"/>
  <c r="P7" i="2"/>
  <c r="N5" i="2"/>
</calcChain>
</file>

<file path=xl/sharedStrings.xml><?xml version="1.0" encoding="utf-8"?>
<sst xmlns="http://schemas.openxmlformats.org/spreadsheetml/2006/main" count="57" uniqueCount="20">
  <si>
    <t>Liquid</t>
  </si>
  <si>
    <t>PE_BUYOUT</t>
  </si>
  <si>
    <t>PE_GROWTH</t>
  </si>
  <si>
    <t>PE_VENTURE</t>
  </si>
  <si>
    <t>PRIVATE_CREDIT</t>
  </si>
  <si>
    <t>Buyout</t>
  </si>
  <si>
    <t>Growth</t>
  </si>
  <si>
    <t>Venture</t>
  </si>
  <si>
    <t>Private Credit</t>
  </si>
  <si>
    <t>Public Equity</t>
  </si>
  <si>
    <t>I.G Bonds</t>
  </si>
  <si>
    <t>Target Weight</t>
  </si>
  <si>
    <t>Total</t>
  </si>
  <si>
    <t>Commitments (% of Liquid NAV)</t>
  </si>
  <si>
    <t>Commitments 
(% of Liquid NAV)</t>
  </si>
  <si>
    <t>calls</t>
  </si>
  <si>
    <t>distributions</t>
  </si>
  <si>
    <t>Capital Calls</t>
  </si>
  <si>
    <t>Distributions</t>
  </si>
  <si>
    <t>Cumulative Net Cash-Flow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</si>
</sst>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164" fontId="0" fillId="2" borderId="0" xfId="1" applyNumberFormat="1" applyFont="1" applyFill="1" applyAlignment="1">
      <alignment horizontal="center"/>
    </xf>
    <xf numFmtId="9" fontId="0" fillId="2" borderId="0" xfId="1" applyFont="1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/>
    <xf numFmtId="0" fontId="0" fillId="2" borderId="2" xfId="0" applyFill="1" applyBorder="1"/>
    <xf numFmtId="0" fontId="0" fillId="2" borderId="0" xfId="0" applyFill="1" applyAlignment="1">
      <alignment horizontal="center" wrapText="1"/>
    </xf>
    <xf numFmtId="165" fontId="0" fillId="2" borderId="0" xfId="1" applyNumberFormat="1" applyFont="1" applyFill="1" applyAlignment="1">
      <alignment horizontal="center"/>
    </xf>
    <xf numFmtId="1" fontId="0" fillId="2" borderId="0" xfId="0" applyNumberFormat="1" applyFill="1" applyAlignment="1">
      <alignment horizont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DCEAF7"/>
      <color rgb="FF83C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694129269476059E-2"/>
          <c:y val="0.11899788890444608"/>
          <c:w val="0.93445276467390348"/>
          <c:h val="0.7125283937594222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'Commitment Pacing'!$E$2</c:f>
              <c:strCache>
                <c:ptCount val="1"/>
                <c:pt idx="0">
                  <c:v>Buyout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 w="3175">
              <a:solidFill>
                <a:schemeClr val="dk1"/>
              </a:solidFill>
            </a:ln>
            <a:effectLst/>
          </c:spPr>
          <c:invertIfNegative val="0"/>
          <c:val>
            <c:numRef>
              <c:f>'Commitment Pacing'!$E$3:$E$22</c:f>
              <c:numCache>
                <c:formatCode>0%</c:formatCode>
                <c:ptCount val="20"/>
                <c:pt idx="0">
                  <c:v>0</c:v>
                </c:pt>
                <c:pt idx="1">
                  <c:v>4.3049926757812501E-3</c:v>
                </c:pt>
                <c:pt idx="2">
                  <c:v>1.27635315965615E-2</c:v>
                </c:pt>
                <c:pt idx="3">
                  <c:v>2.5118272555327899E-2</c:v>
                </c:pt>
                <c:pt idx="4">
                  <c:v>3.9429033788606203E-2</c:v>
                </c:pt>
                <c:pt idx="5">
                  <c:v>5.4643202209278603E-2</c:v>
                </c:pt>
                <c:pt idx="6">
                  <c:v>6.9787557775812803E-2</c:v>
                </c:pt>
                <c:pt idx="7">
                  <c:v>8.3568329092247096E-2</c:v>
                </c:pt>
                <c:pt idx="8">
                  <c:v>9.4288124395023806E-2</c:v>
                </c:pt>
                <c:pt idx="9">
                  <c:v>0.10099250292793201</c:v>
                </c:pt>
                <c:pt idx="10">
                  <c:v>0.103731308282246</c:v>
                </c:pt>
                <c:pt idx="11">
                  <c:v>0.10387299553014299</c:v>
                </c:pt>
                <c:pt idx="12">
                  <c:v>0.102916225442211</c:v>
                </c:pt>
                <c:pt idx="13">
                  <c:v>0.10184368959354299</c:v>
                </c:pt>
                <c:pt idx="14">
                  <c:v>0.100951466913132</c:v>
                </c:pt>
                <c:pt idx="15">
                  <c:v>0.100433658178836</c:v>
                </c:pt>
                <c:pt idx="16">
                  <c:v>0.10015861750112399</c:v>
                </c:pt>
                <c:pt idx="17">
                  <c:v>0.100081950296793</c:v>
                </c:pt>
                <c:pt idx="18">
                  <c:v>0.10008658070937</c:v>
                </c:pt>
                <c:pt idx="19">
                  <c:v>0.100183879956384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38-7247-80C1-1C67260B8B75}"/>
            </c:ext>
          </c:extLst>
        </c:ser>
        <c:ser>
          <c:idx val="1"/>
          <c:order val="1"/>
          <c:tx>
            <c:strRef>
              <c:f>'Commitment Pacing'!$F$2</c:f>
              <c:strCache>
                <c:ptCount val="1"/>
                <c:pt idx="0">
                  <c:v>Growth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 w="3175">
              <a:solidFill>
                <a:schemeClr val="dk1"/>
              </a:solidFill>
            </a:ln>
            <a:effectLst/>
          </c:spPr>
          <c:invertIfNegative val="0"/>
          <c:val>
            <c:numRef>
              <c:f>'Commitment Pacing'!$F$3:$F$22</c:f>
              <c:numCache>
                <c:formatCode>0%</c:formatCode>
                <c:ptCount val="20"/>
                <c:pt idx="0">
                  <c:v>0</c:v>
                </c:pt>
                <c:pt idx="1">
                  <c:v>2.0718994140624999E-3</c:v>
                </c:pt>
                <c:pt idx="2">
                  <c:v>6.1384275567630802E-3</c:v>
                </c:pt>
                <c:pt idx="3">
                  <c:v>1.1281020647672099E-2</c:v>
                </c:pt>
                <c:pt idx="4">
                  <c:v>1.7111430210244302E-2</c:v>
                </c:pt>
                <c:pt idx="5">
                  <c:v>2.3203497825282599E-2</c:v>
                </c:pt>
                <c:pt idx="6">
                  <c:v>2.9146262614719198E-2</c:v>
                </c:pt>
                <c:pt idx="7">
                  <c:v>3.4394447245414898E-2</c:v>
                </c:pt>
                <c:pt idx="8">
                  <c:v>3.82914445501078E-2</c:v>
                </c:pt>
                <c:pt idx="9">
                  <c:v>4.0554775947362898E-2</c:v>
                </c:pt>
                <c:pt idx="10">
                  <c:v>4.13312788473435E-2</c:v>
                </c:pt>
                <c:pt idx="11">
                  <c:v>4.1232320493287698E-2</c:v>
                </c:pt>
                <c:pt idx="12">
                  <c:v>4.0817800400894999E-2</c:v>
                </c:pt>
                <c:pt idx="13">
                  <c:v>4.04076382949239E-2</c:v>
                </c:pt>
                <c:pt idx="14">
                  <c:v>4.0080201390122597E-2</c:v>
                </c:pt>
                <c:pt idx="15">
                  <c:v>3.98998069222622E-2</c:v>
                </c:pt>
                <c:pt idx="16">
                  <c:v>3.9810732390073003E-2</c:v>
                </c:pt>
                <c:pt idx="17">
                  <c:v>3.97942692988872E-2</c:v>
                </c:pt>
                <c:pt idx="18">
                  <c:v>3.9803557340592099E-2</c:v>
                </c:pt>
                <c:pt idx="19">
                  <c:v>3.9844751689357701E-2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38-7247-80C1-1C67260B8B75}"/>
            </c:ext>
          </c:extLst>
        </c:ser>
        <c:ser>
          <c:idx val="2"/>
          <c:order val="2"/>
          <c:tx>
            <c:strRef>
              <c:f>'Commitment Pacing'!$G$2</c:f>
              <c:strCache>
                <c:ptCount val="1"/>
                <c:pt idx="0">
                  <c:v>Venture</c:v>
                </c:pt>
              </c:strCache>
            </c:strRef>
          </c:tx>
          <c:spPr>
            <a:solidFill>
              <a:srgbClr val="83CBEB"/>
            </a:solidFill>
            <a:ln w="3175">
              <a:solidFill>
                <a:schemeClr val="dk1"/>
              </a:solidFill>
            </a:ln>
            <a:effectLst/>
          </c:spPr>
          <c:invertIfNegative val="0"/>
          <c:val>
            <c:numRef>
              <c:f>'Commitment Pacing'!$G$3:$G$22</c:f>
              <c:numCache>
                <c:formatCode>0%</c:formatCode>
                <c:ptCount val="20"/>
                <c:pt idx="0">
                  <c:v>0</c:v>
                </c:pt>
                <c:pt idx="1">
                  <c:v>7.2619628906249998E-4</c:v>
                </c:pt>
                <c:pt idx="2">
                  <c:v>2.1464420676018999E-3</c:v>
                </c:pt>
                <c:pt idx="3">
                  <c:v>3.9898208573999399E-3</c:v>
                </c:pt>
                <c:pt idx="4">
                  <c:v>6.1404199332067101E-3</c:v>
                </c:pt>
                <c:pt idx="5">
                  <c:v>8.4990701503727794E-3</c:v>
                </c:pt>
                <c:pt idx="6">
                  <c:v>1.1005915911992801E-2</c:v>
                </c:pt>
                <c:pt idx="7">
                  <c:v>1.3564790273611E-2</c:v>
                </c:pt>
                <c:pt idx="8">
                  <c:v>1.5983266850949401E-2</c:v>
                </c:pt>
                <c:pt idx="9">
                  <c:v>1.80507812688263E-2</c:v>
                </c:pt>
                <c:pt idx="10">
                  <c:v>1.95292629225578E-2</c:v>
                </c:pt>
                <c:pt idx="11">
                  <c:v>2.03371524351393E-2</c:v>
                </c:pt>
                <c:pt idx="12">
                  <c:v>2.0568694198476199E-2</c:v>
                </c:pt>
                <c:pt idx="13">
                  <c:v>2.0476519838268301E-2</c:v>
                </c:pt>
                <c:pt idx="14">
                  <c:v>2.0283081093618101E-2</c:v>
                </c:pt>
                <c:pt idx="15">
                  <c:v>2.0129031939056598E-2</c:v>
                </c:pt>
                <c:pt idx="16">
                  <c:v>2.0020134529521501E-2</c:v>
                </c:pt>
                <c:pt idx="17">
                  <c:v>1.9957799952439698E-2</c:v>
                </c:pt>
                <c:pt idx="18">
                  <c:v>1.9924135005412201E-2</c:v>
                </c:pt>
                <c:pt idx="19">
                  <c:v>1.9923417814953E-2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38-7247-80C1-1C67260B8B75}"/>
            </c:ext>
          </c:extLst>
        </c:ser>
        <c:ser>
          <c:idx val="3"/>
          <c:order val="3"/>
          <c:tx>
            <c:strRef>
              <c:f>'Commitment Pacing'!$H$2</c:f>
              <c:strCache>
                <c:ptCount val="1"/>
                <c:pt idx="0">
                  <c:v>Private Credit</c:v>
                </c:pt>
              </c:strCache>
            </c:strRef>
          </c:tx>
          <c:spPr>
            <a:solidFill>
              <a:srgbClr val="DCEAF7"/>
            </a:solidFill>
            <a:ln w="3175">
              <a:solidFill>
                <a:schemeClr val="dk1"/>
              </a:solidFill>
            </a:ln>
            <a:effectLst/>
          </c:spPr>
          <c:invertIfNegative val="0"/>
          <c:val>
            <c:numRef>
              <c:f>'Commitment Pacing'!$H$3:$H$22</c:f>
              <c:numCache>
                <c:formatCode>0%</c:formatCode>
                <c:ptCount val="20"/>
                <c:pt idx="0">
                  <c:v>0</c:v>
                </c:pt>
                <c:pt idx="1">
                  <c:v>5.0457763671875001E-3</c:v>
                </c:pt>
                <c:pt idx="2">
                  <c:v>1.47525583768379E-2</c:v>
                </c:pt>
                <c:pt idx="3">
                  <c:v>2.5152535704737501E-2</c:v>
                </c:pt>
                <c:pt idx="4">
                  <c:v>3.4748724515775403E-2</c:v>
                </c:pt>
                <c:pt idx="5">
                  <c:v>4.1089861994061401E-2</c:v>
                </c:pt>
                <c:pt idx="6">
                  <c:v>4.3370063308431198E-2</c:v>
                </c:pt>
                <c:pt idx="7">
                  <c:v>4.3042275511236398E-2</c:v>
                </c:pt>
                <c:pt idx="8">
                  <c:v>4.2083943310568403E-2</c:v>
                </c:pt>
                <c:pt idx="9">
                  <c:v>4.1226071281250602E-2</c:v>
                </c:pt>
                <c:pt idx="10">
                  <c:v>4.0513199868804098E-2</c:v>
                </c:pt>
                <c:pt idx="11">
                  <c:v>4.0002403292654698E-2</c:v>
                </c:pt>
                <c:pt idx="12">
                  <c:v>3.9681848118714898E-2</c:v>
                </c:pt>
                <c:pt idx="13">
                  <c:v>3.9531601735941703E-2</c:v>
                </c:pt>
                <c:pt idx="14">
                  <c:v>3.9485441568345402E-2</c:v>
                </c:pt>
                <c:pt idx="15">
                  <c:v>3.9541370026768101E-2</c:v>
                </c:pt>
                <c:pt idx="16">
                  <c:v>3.9612455081437903E-2</c:v>
                </c:pt>
                <c:pt idx="17">
                  <c:v>3.9678021743098001E-2</c:v>
                </c:pt>
                <c:pt idx="18">
                  <c:v>3.9708480104330597E-2</c:v>
                </c:pt>
                <c:pt idx="19">
                  <c:v>3.9734384646142401E-2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38-7247-80C1-1C67260B8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44479199"/>
        <c:axId val="943945727"/>
      </c:barChart>
      <c:lineChart>
        <c:grouping val="standard"/>
        <c:varyColors val="0"/>
        <c:ser>
          <c:idx val="4"/>
          <c:order val="4"/>
          <c:tx>
            <c:strRef>
              <c:f>'Commitment Pacing'!$I$2</c:f>
              <c:strCache>
                <c:ptCount val="1"/>
                <c:pt idx="0">
                  <c:v>Target Weight</c:v>
                </c:pt>
              </c:strCache>
            </c:strRef>
          </c:tx>
          <c:spPr>
            <a:ln w="12700" cap="rnd">
              <a:solidFill>
                <a:srgbClr val="C00000"/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'Commitment Pacing'!$I$3:$I$22</c:f>
              <c:numCache>
                <c:formatCode>0%</c:formatCode>
                <c:ptCount val="20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  <c:pt idx="19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38-7247-80C1-1C67260B8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4479199"/>
        <c:axId val="943945727"/>
      </c:lineChart>
      <c:catAx>
        <c:axId val="9444791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GB"/>
                  <a:t>Beginning of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945727"/>
        <c:crosses val="autoZero"/>
        <c:auto val="1"/>
        <c:lblAlgn val="ctr"/>
        <c:lblOffset val="100"/>
        <c:noMultiLvlLbl val="0"/>
      </c:catAx>
      <c:valAx>
        <c:axId val="943945727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479199"/>
        <c:crosses val="autoZero"/>
        <c:crossBetween val="between"/>
      </c:valAx>
      <c:spPr>
        <a:noFill/>
        <a:ln w="3175">
          <a:solidFill>
            <a:schemeClr val="bg1">
              <a:lumMod val="65000"/>
            </a:schemeClr>
          </a:solidFill>
        </a:ln>
        <a:effectLst/>
      </c:spPr>
    </c:plotArea>
    <c:legend>
      <c:legendPos val="t"/>
      <c:legendEntry>
        <c:idx val="4"/>
        <c:delete val="1"/>
      </c:legendEntry>
      <c:overlay val="0"/>
      <c:spPr>
        <a:noFill/>
        <a:ln w="3175">
          <a:solidFill>
            <a:schemeClr val="bg1">
              <a:lumMod val="6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b="0" i="0">
          <a:solidFill>
            <a:schemeClr val="tx1"/>
          </a:solidFill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>
                <a:lumMod val="75000"/>
              </a:schemeClr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'Commitment Pacing'!$B$39</c:f>
              <c:strCache>
                <c:ptCount val="1"/>
                <c:pt idx="0">
                  <c:v>Commitments 
(% of Liquid NAV)</c:v>
                </c:pt>
              </c:strCache>
            </c:strRef>
          </c:cat>
          <c:val>
            <c:numRef>
              <c:f>'Commitment Pacing'!$B$42</c:f>
              <c:numCache>
                <c:formatCode>0.0%</c:formatCode>
                <c:ptCount val="1"/>
                <c:pt idx="0">
                  <c:v>2.3916625976562501E-2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08-874C-A6D0-F89C14D73AF0}"/>
            </c:ext>
          </c:extLst>
        </c:ser>
        <c:ser>
          <c:idx val="1"/>
          <c:order val="1"/>
          <c:spPr>
            <a:solidFill>
              <a:schemeClr val="tx2">
                <a:lumMod val="50000"/>
                <a:lumOff val="50000"/>
              </a:schemeClr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'Commitment Pacing'!$B$39</c:f>
              <c:strCache>
                <c:ptCount val="1"/>
                <c:pt idx="0">
                  <c:v>Commitments 
(% of Liquid NAV)</c:v>
                </c:pt>
              </c:strCache>
            </c:strRef>
          </c:cat>
          <c:val>
            <c:numRef>
              <c:f>'Commitment Pacing'!$C$42</c:f>
              <c:numCache>
                <c:formatCode>0.0%</c:formatCode>
                <c:ptCount val="1"/>
                <c:pt idx="0">
                  <c:v>9.4177246093750007E-3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08-874C-A6D0-F89C14D73AF0}"/>
            </c:ext>
          </c:extLst>
        </c:ser>
        <c:ser>
          <c:idx val="2"/>
          <c:order val="2"/>
          <c:spPr>
            <a:solidFill>
              <a:srgbClr val="83CBEB"/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'Commitment Pacing'!$B$39</c:f>
              <c:strCache>
                <c:ptCount val="1"/>
                <c:pt idx="0">
                  <c:v>Commitments 
(% of Liquid NAV)</c:v>
                </c:pt>
              </c:strCache>
            </c:strRef>
          </c:cat>
          <c:val>
            <c:numRef>
              <c:f>'Commitment Pacing'!$D$42</c:f>
              <c:numCache>
                <c:formatCode>0.0%</c:formatCode>
                <c:ptCount val="1"/>
                <c:pt idx="0">
                  <c:v>4.0344238281249997E-3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08-874C-A6D0-F89C14D73AF0}"/>
            </c:ext>
          </c:extLst>
        </c:ser>
        <c:ser>
          <c:idx val="3"/>
          <c:order val="3"/>
          <c:spPr>
            <a:solidFill>
              <a:srgbClr val="DCEAF7"/>
            </a:solidFill>
            <a:ln w="3175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'Commitment Pacing'!$B$39</c:f>
              <c:strCache>
                <c:ptCount val="1"/>
                <c:pt idx="0">
                  <c:v>Commitments 
(% of Liquid NAV)</c:v>
                </c:pt>
              </c:strCache>
            </c:strRef>
          </c:cat>
          <c:val>
            <c:numRef>
              <c:f>'Commitment Pacing'!$E$42</c:f>
              <c:numCache>
                <c:formatCode>0.0%</c:formatCode>
                <c:ptCount val="1"/>
                <c:pt idx="0">
                  <c:v>1.4416503906249999E-2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08-874C-A6D0-F89C14D73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9126495"/>
        <c:axId val="218233055"/>
      </c:barChart>
      <c:scatterChart>
        <c:scatterStyle val="lineMarker"/>
        <c:varyColors val="0"/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yVal>
            <c:numRef>
              <c:f>'Commitment Pacing'!$F$42</c:f>
              <c:numCache>
                <c:formatCode>0.0%</c:formatCode>
                <c:ptCount val="1"/>
                <c:pt idx="0">
                  <c:v>5.1785278320312503E-2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E08-874C-A6D0-F89C14D73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9126495"/>
        <c:axId val="218233055"/>
      </c:scatterChart>
      <c:catAx>
        <c:axId val="219126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18233055"/>
        <c:crosses val="autoZero"/>
        <c:auto val="1"/>
        <c:lblAlgn val="ctr"/>
        <c:lblOffset val="100"/>
        <c:noMultiLvlLbl val="0"/>
      </c:catAx>
      <c:valAx>
        <c:axId val="21823305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219126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50" b="0" i="0">
          <a:solidFill>
            <a:schemeClr val="tx1"/>
          </a:solidFill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694129269476059E-2"/>
          <c:y val="0.14179209220531536"/>
          <c:w val="0.93445276467390348"/>
          <c:h val="0.689733909640485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'Commitments Dollars'!$M$3</c:f>
              <c:strCache>
                <c:ptCount val="1"/>
                <c:pt idx="0">
                  <c:v>Buyout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 w="3175">
              <a:solidFill>
                <a:schemeClr val="dk1"/>
              </a:solidFill>
            </a:ln>
            <a:effectLst/>
          </c:spPr>
          <c:invertIfNegative val="0"/>
          <c:val>
            <c:numRef>
              <c:f>'Commitments Dollars'!$M$4:$M$23</c:f>
              <c:numCache>
                <c:formatCode>0.0</c:formatCode>
                <c:ptCount val="20"/>
                <c:pt idx="0">
                  <c:v>2.39166259765625</c:v>
                </c:pt>
                <c:pt idx="1">
                  <c:v>2.3626066122390323</c:v>
                </c:pt>
                <c:pt idx="2">
                  <c:v>2.4565441147834512</c:v>
                </c:pt>
                <c:pt idx="3">
                  <c:v>2.5368124400756726</c:v>
                </c:pt>
                <c:pt idx="4">
                  <c:v>2.6145370771691283</c:v>
                </c:pt>
                <c:pt idx="5">
                  <c:v>2.7057977750985813</c:v>
                </c:pt>
                <c:pt idx="6">
                  <c:v>2.8060776707430941</c:v>
                </c:pt>
                <c:pt idx="7">
                  <c:v>2.9117907664140397</c:v>
                </c:pt>
                <c:pt idx="8">
                  <c:v>3.0363134235737825</c:v>
                </c:pt>
                <c:pt idx="9">
                  <c:v>3.1847868940526234</c:v>
                </c:pt>
                <c:pt idx="10">
                  <c:v>3.36492265055732</c:v>
                </c:pt>
                <c:pt idx="11">
                  <c:v>3.5709446012019637</c:v>
                </c:pt>
                <c:pt idx="12">
                  <c:v>3.798056623803356</c:v>
                </c:pt>
                <c:pt idx="13">
                  <c:v>4.0405830913118903</c:v>
                </c:pt>
                <c:pt idx="14">
                  <c:v>4.2989916316932852</c:v>
                </c:pt>
                <c:pt idx="15">
                  <c:v>4.5657609758473194</c:v>
                </c:pt>
                <c:pt idx="16">
                  <c:v>4.8469189126818035</c:v>
                </c:pt>
                <c:pt idx="17">
                  <c:v>5.1428121516265124</c:v>
                </c:pt>
                <c:pt idx="18">
                  <c:v>5.4582609196768361</c:v>
                </c:pt>
                <c:pt idx="19">
                  <c:v>5.7898476649691251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F29-974B-B1DA-2B194F54C523}"/>
            </c:ext>
          </c:extLst>
        </c:ser>
        <c:ser>
          <c:idx val="1"/>
          <c:order val="1"/>
          <c:tx>
            <c:strRef>
              <c:f>'Commitments Dollars'!$N$3</c:f>
              <c:strCache>
                <c:ptCount val="1"/>
                <c:pt idx="0">
                  <c:v>Growth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 w="3175">
              <a:solidFill>
                <a:schemeClr val="dk1"/>
              </a:solidFill>
            </a:ln>
            <a:effectLst/>
          </c:spPr>
          <c:invertIfNegative val="0"/>
          <c:val>
            <c:numRef>
              <c:f>'Commitments Dollars'!$N$4:$N$23</c:f>
              <c:numCache>
                <c:formatCode>0.0</c:formatCode>
                <c:ptCount val="20"/>
                <c:pt idx="0">
                  <c:v>0.94177246093750011</c:v>
                </c:pt>
                <c:pt idx="1">
                  <c:v>0.93033099468797431</c:v>
                </c:pt>
                <c:pt idx="2">
                  <c:v>0.96732105885182229</c:v>
                </c:pt>
                <c:pt idx="3">
                  <c:v>0.99892856833909993</c:v>
                </c:pt>
                <c:pt idx="4">
                  <c:v>1.0295344417690353</c:v>
                </c:pt>
                <c:pt idx="5">
                  <c:v>1.0654704522080161</c:v>
                </c:pt>
                <c:pt idx="6">
                  <c:v>1.1049579803385463</c:v>
                </c:pt>
                <c:pt idx="7">
                  <c:v>1.1465849566356676</c:v>
                </c:pt>
                <c:pt idx="8">
                  <c:v>1.1956186327866138</c:v>
                </c:pt>
                <c:pt idx="9">
                  <c:v>1.2540834956037255</c:v>
                </c:pt>
                <c:pt idx="10">
                  <c:v>1.3250161158121589</c:v>
                </c:pt>
                <c:pt idx="11">
                  <c:v>1.4061420236454332</c:v>
                </c:pt>
                <c:pt idx="12">
                  <c:v>1.4955726350717311</c:v>
                </c:pt>
                <c:pt idx="13">
                  <c:v>1.591073040677363</c:v>
                </c:pt>
                <c:pt idx="14">
                  <c:v>1.6928273797888833</c:v>
                </c:pt>
                <c:pt idx="15">
                  <c:v>1.7978739787501374</c:v>
                </c:pt>
                <c:pt idx="16">
                  <c:v>1.9085864188510966</c:v>
                </c:pt>
                <c:pt idx="17">
                  <c:v>2.0251012249482478</c:v>
                </c:pt>
                <c:pt idx="18">
                  <c:v>2.1493164729006913</c:v>
                </c:pt>
                <c:pt idx="19">
                  <c:v>2.2798864226227789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F29-974B-B1DA-2B194F54C523}"/>
            </c:ext>
          </c:extLst>
        </c:ser>
        <c:ser>
          <c:idx val="2"/>
          <c:order val="2"/>
          <c:tx>
            <c:strRef>
              <c:f>'Commitments Dollars'!$O$3</c:f>
              <c:strCache>
                <c:ptCount val="1"/>
                <c:pt idx="0">
                  <c:v>Venture</c:v>
                </c:pt>
              </c:strCache>
            </c:strRef>
          </c:tx>
          <c:spPr>
            <a:solidFill>
              <a:srgbClr val="83CBEB"/>
            </a:solidFill>
            <a:ln w="3175">
              <a:solidFill>
                <a:schemeClr val="dk1"/>
              </a:solidFill>
            </a:ln>
            <a:effectLst/>
          </c:spPr>
          <c:invertIfNegative val="0"/>
          <c:val>
            <c:numRef>
              <c:f>'Commitments Dollars'!$O$4:$O$23</c:f>
              <c:numCache>
                <c:formatCode>0.0</c:formatCode>
                <c:ptCount val="20"/>
                <c:pt idx="0">
                  <c:v>0.40344238281249994</c:v>
                </c:pt>
                <c:pt idx="1">
                  <c:v>0.39854101587086904</c:v>
                </c:pt>
                <c:pt idx="2">
                  <c:v>0.41438705113483759</c:v>
                </c:pt>
                <c:pt idx="3">
                  <c:v>0.42792727392880425</c:v>
                </c:pt>
                <c:pt idx="4">
                  <c:v>0.44103840959775259</c:v>
                </c:pt>
                <c:pt idx="5">
                  <c:v>0.45643290272812603</c:v>
                </c:pt>
                <c:pt idx="6">
                  <c:v>0.47334881724159367</c:v>
                </c:pt>
                <c:pt idx="7">
                  <c:v>0.49118124195474799</c:v>
                </c:pt>
                <c:pt idx="8">
                  <c:v>0.51218659512116116</c:v>
                </c:pt>
                <c:pt idx="9">
                  <c:v>0.53723213907586675</c:v>
                </c:pt>
                <c:pt idx="10">
                  <c:v>0.56761869899665385</c:v>
                </c:pt>
                <c:pt idx="11">
                  <c:v>0.60237192328556788</c:v>
                </c:pt>
                <c:pt idx="12">
                  <c:v>0.64068276849151917</c:v>
                </c:pt>
                <c:pt idx="13">
                  <c:v>0.68159383012815089</c:v>
                </c:pt>
                <c:pt idx="14">
                  <c:v>0.72518399095298225</c:v>
                </c:pt>
                <c:pt idx="15">
                  <c:v>0.77018451066353899</c:v>
                </c:pt>
                <c:pt idx="16">
                  <c:v>0.81761219887269909</c:v>
                </c:pt>
                <c:pt idx="17">
                  <c:v>0.86752554095320256</c:v>
                </c:pt>
                <c:pt idx="18">
                  <c:v>0.92073764652453449</c:v>
                </c:pt>
                <c:pt idx="19">
                  <c:v>0.97667201902375678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F29-974B-B1DA-2B194F54C523}"/>
            </c:ext>
          </c:extLst>
        </c:ser>
        <c:ser>
          <c:idx val="3"/>
          <c:order val="3"/>
          <c:tx>
            <c:strRef>
              <c:f>'Commitments Dollars'!$P$3</c:f>
              <c:strCache>
                <c:ptCount val="1"/>
                <c:pt idx="0">
                  <c:v>Private Credit</c:v>
                </c:pt>
              </c:strCache>
            </c:strRef>
          </c:tx>
          <c:spPr>
            <a:solidFill>
              <a:srgbClr val="DCEAF7"/>
            </a:solidFill>
            <a:ln w="3175">
              <a:solidFill>
                <a:schemeClr val="dk1"/>
              </a:solidFill>
            </a:ln>
            <a:effectLst/>
          </c:spPr>
          <c:invertIfNegative val="0"/>
          <c:val>
            <c:numRef>
              <c:f>'Commitments Dollars'!$P$4:$P$23</c:f>
              <c:numCache>
                <c:formatCode>0.0</c:formatCode>
                <c:ptCount val="20"/>
                <c:pt idx="0">
                  <c:v>1.441650390625</c:v>
                </c:pt>
                <c:pt idx="1">
                  <c:v>1.4241359750181433</c:v>
                </c:pt>
                <c:pt idx="2">
                  <c:v>1.4807597803033079</c:v>
                </c:pt>
                <c:pt idx="3">
                  <c:v>1.5291440560058027</c:v>
                </c:pt>
                <c:pt idx="4">
                  <c:v>1.5759950430709404</c:v>
                </c:pt>
                <c:pt idx="5">
                  <c:v>1.6310053195821994</c:v>
                </c:pt>
                <c:pt idx="6">
                  <c:v>1.691452203214288</c:v>
                </c:pt>
                <c:pt idx="7">
                  <c:v>1.7551741202679498</c:v>
                </c:pt>
                <c:pt idx="8">
                  <c:v>1.8302340963331052</c:v>
                </c:pt>
                <c:pt idx="9">
                  <c:v>1.9197311838081654</c:v>
                </c:pt>
                <c:pt idx="10">
                  <c:v>2.0283137171408416</c:v>
                </c:pt>
                <c:pt idx="11">
                  <c:v>2.1524999739795936</c:v>
                </c:pt>
                <c:pt idx="12">
                  <c:v>2.2893989397533558</c:v>
                </c:pt>
                <c:pt idx="13">
                  <c:v>2.4355894504730595</c:v>
                </c:pt>
                <c:pt idx="14">
                  <c:v>2.5913533837079337</c:v>
                </c:pt>
                <c:pt idx="15">
                  <c:v>2.7521570562591213</c:v>
                </c:pt>
                <c:pt idx="16">
                  <c:v>2.921633908831037</c:v>
                </c:pt>
                <c:pt idx="17">
                  <c:v>3.0999929315150752</c:v>
                </c:pt>
                <c:pt idx="18">
                  <c:v>3.290139668821408</c:v>
                </c:pt>
                <c:pt idx="19">
                  <c:v>3.4900140831075848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F29-974B-B1DA-2B194F54C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44479199"/>
        <c:axId val="943945727"/>
      </c:barChart>
      <c:scatterChart>
        <c:scatterStyle val="lineMarker"/>
        <c:varyColors val="0"/>
        <c:ser>
          <c:idx val="4"/>
          <c:order val="4"/>
          <c:tx>
            <c:strRef>
              <c:f>'Commitments Dollars'!$Q$3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yVal>
            <c:numRef>
              <c:f>'Commitments Dollars'!$Q$4:$Q$23</c:f>
              <c:numCache>
                <c:formatCode>0.0</c:formatCode>
                <c:ptCount val="20"/>
                <c:pt idx="0">
                  <c:v>5.17852783203125</c:v>
                </c:pt>
                <c:pt idx="1">
                  <c:v>5.1156145978160188</c:v>
                </c:pt>
                <c:pt idx="2">
                  <c:v>5.3190120050734189</c:v>
                </c:pt>
                <c:pt idx="3">
                  <c:v>5.4928123383493794</c:v>
                </c:pt>
                <c:pt idx="4">
                  <c:v>5.6611049716068562</c:v>
                </c:pt>
                <c:pt idx="5">
                  <c:v>5.858706449616923</c:v>
                </c:pt>
                <c:pt idx="6">
                  <c:v>6.0758366715375223</c:v>
                </c:pt>
                <c:pt idx="7">
                  <c:v>6.3047310852724054</c:v>
                </c:pt>
                <c:pt idx="8">
                  <c:v>6.5743527478146628</c:v>
                </c:pt>
                <c:pt idx="9">
                  <c:v>6.895833712540381</c:v>
                </c:pt>
                <c:pt idx="10">
                  <c:v>7.2858711825069751</c:v>
                </c:pt>
                <c:pt idx="11">
                  <c:v>7.7319585221125591</c:v>
                </c:pt>
                <c:pt idx="12">
                  <c:v>8.2237109671199615</c:v>
                </c:pt>
                <c:pt idx="13">
                  <c:v>8.7488394125904652</c:v>
                </c:pt>
                <c:pt idx="14">
                  <c:v>9.3083563861430854</c:v>
                </c:pt>
                <c:pt idx="15">
                  <c:v>9.8859765215201172</c:v>
                </c:pt>
                <c:pt idx="16">
                  <c:v>10.494751439236635</c:v>
                </c:pt>
                <c:pt idx="17">
                  <c:v>11.135431849043039</c:v>
                </c:pt>
                <c:pt idx="18">
                  <c:v>11.81845470792347</c:v>
                </c:pt>
                <c:pt idx="19">
                  <c:v>12.536420189723247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F29-974B-B1DA-2B194F54C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4479199"/>
        <c:axId val="943945727"/>
      </c:scatterChart>
      <c:catAx>
        <c:axId val="9444791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GB"/>
                  <a:t>Beginning of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945727"/>
        <c:crosses val="autoZero"/>
        <c:auto val="1"/>
        <c:lblAlgn val="ctr"/>
        <c:lblOffset val="100"/>
        <c:noMultiLvlLbl val="0"/>
      </c:catAx>
      <c:valAx>
        <c:axId val="943945727"/>
        <c:scaling>
          <c:orientation val="minMax"/>
          <c:max val="16"/>
        </c:scaling>
        <c:delete val="0"/>
        <c:axPos val="l"/>
        <c:majorGridlines>
          <c:spPr>
            <a:ln w="317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479199"/>
        <c:crosses val="autoZero"/>
        <c:crossBetween val="between"/>
        <c:majorUnit val="4"/>
      </c:valAx>
      <c:spPr>
        <a:noFill/>
        <a:ln w="3175">
          <a:solidFill>
            <a:schemeClr val="bg1">
              <a:lumMod val="65000"/>
            </a:schemeClr>
          </a:solidFill>
        </a:ln>
        <a:effectLst/>
      </c:spPr>
    </c:plotArea>
    <c:legend>
      <c:legendPos val="t"/>
      <c:legendEntry>
        <c:idx val="4"/>
        <c:delete val="1"/>
      </c:legendEntry>
      <c:layout>
        <c:manualLayout>
          <c:xMode val="edge"/>
          <c:yMode val="edge"/>
          <c:x val="0.30509056961236231"/>
          <c:y val="2.735317144228391E-2"/>
          <c:w val="0.38981886077527539"/>
          <c:h val="6.3254747408538273E-2"/>
        </c:manualLayout>
      </c:layout>
      <c:overlay val="0"/>
      <c:spPr>
        <a:noFill/>
        <a:ln w="3175">
          <a:solidFill>
            <a:schemeClr val="bg1">
              <a:lumMod val="6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 b="0" i="0">
          <a:solidFill>
            <a:schemeClr val="tx1"/>
          </a:solidFill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  <a:ln w="3175">
              <a:solidFill>
                <a:schemeClr val="dk1"/>
              </a:solidFill>
            </a:ln>
            <a:effectLst/>
          </c:spPr>
          <c:invertIfNegative val="0"/>
          <c:val>
            <c:numRef>
              <c:f>CashFlows!$B$3:$B$22</c:f>
              <c:numCache>
                <c:formatCode>0</c:formatCode>
                <c:ptCount val="20"/>
                <c:pt idx="0">
                  <c:v>-0.43049926757812501</c:v>
                </c:pt>
                <c:pt idx="1">
                  <c:v>-0.88340963237830705</c:v>
                </c:pt>
                <c:pt idx="2">
                  <c:v>-1.3544463920516601</c:v>
                </c:pt>
                <c:pt idx="3">
                  <c:v>-1.6572174405354501</c:v>
                </c:pt>
                <c:pt idx="4">
                  <c:v>-1.9139496567046499</c:v>
                </c:pt>
                <c:pt idx="5">
                  <c:v>-2.1372493621164699</c:v>
                </c:pt>
                <c:pt idx="6">
                  <c:v>-2.3362577636068802</c:v>
                </c:pt>
                <c:pt idx="7">
                  <c:v>-2.5200773945804298</c:v>
                </c:pt>
                <c:pt idx="8">
                  <c:v>-2.6968363976182599</c:v>
                </c:pt>
                <c:pt idx="9">
                  <c:v>-2.87570487640627</c:v>
                </c:pt>
                <c:pt idx="10">
                  <c:v>-3.06225732977637</c:v>
                </c:pt>
                <c:pt idx="11">
                  <c:v>-3.2603122328621499</c:v>
                </c:pt>
                <c:pt idx="12">
                  <c:v>-3.4710317778436202</c:v>
                </c:pt>
                <c:pt idx="13">
                  <c:v>-3.69495426884983</c:v>
                </c:pt>
                <c:pt idx="14">
                  <c:v>-3.93140466942747</c:v>
                </c:pt>
                <c:pt idx="15">
                  <c:v>-4.1807181257972896</c:v>
                </c:pt>
                <c:pt idx="16">
                  <c:v>-4.4428789119230503</c:v>
                </c:pt>
                <c:pt idx="17">
                  <c:v>-4.7198690711052897</c:v>
                </c:pt>
                <c:pt idx="18">
                  <c:v>-5.0121240646793304</c:v>
                </c:pt>
                <c:pt idx="19">
                  <c:v>-5.3213476815099403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B5-654C-9D56-FA5153E288DB}"/>
            </c:ext>
          </c:extLst>
        </c:ser>
        <c:ser>
          <c:idx val="1"/>
          <c:order val="1"/>
          <c:spPr>
            <a:solidFill>
              <a:schemeClr val="accent3"/>
            </a:solidFill>
            <a:ln w="3175">
              <a:solidFill>
                <a:schemeClr val="dk1"/>
              </a:solidFill>
            </a:ln>
            <a:effectLst/>
          </c:spPr>
          <c:invertIfNegative val="0"/>
          <c:val>
            <c:numRef>
              <c:f>CashFlows!$C$3:$C$22</c:f>
              <c:numCache>
                <c:formatCode>0</c:formatCode>
                <c:ptCount val="20"/>
                <c:pt idx="0">
                  <c:v>-0.20718994140624999</c:v>
                </c:pt>
                <c:pt idx="1">
                  <c:v>-0.42516585684309499</c:v>
                </c:pt>
                <c:pt idx="2">
                  <c:v>-0.56239722840077699</c:v>
                </c:pt>
                <c:pt idx="3">
                  <c:v>-0.67668950802317096</c:v>
                </c:pt>
                <c:pt idx="4">
                  <c:v>-0.77424400690536399</c:v>
                </c:pt>
                <c:pt idx="5">
                  <c:v>-0.859871631712819</c:v>
                </c:pt>
                <c:pt idx="6">
                  <c:v>-0.93656780804938</c:v>
                </c:pt>
                <c:pt idx="7">
                  <c:v>-1.00784350705699</c:v>
                </c:pt>
                <c:pt idx="8">
                  <c:v>-1.0773692435251401</c:v>
                </c:pt>
                <c:pt idx="9">
                  <c:v>-1.1483156108205199</c:v>
                </c:pt>
                <c:pt idx="10">
                  <c:v>-1.2229569820211399</c:v>
                </c:pt>
                <c:pt idx="11">
                  <c:v>-1.3022493231372601</c:v>
                </c:pt>
                <c:pt idx="12">
                  <c:v>-1.3864707833894701</c:v>
                </c:pt>
                <c:pt idx="13">
                  <c:v>-1.47592407582341</c:v>
                </c:pt>
                <c:pt idx="14">
                  <c:v>-1.5701653192182901</c:v>
                </c:pt>
                <c:pt idx="15">
                  <c:v>-1.6693906810719901</c:v>
                </c:pt>
                <c:pt idx="16">
                  <c:v>-1.7738668236692401</c:v>
                </c:pt>
                <c:pt idx="17">
                  <c:v>-1.88425711018647</c:v>
                </c:pt>
                <c:pt idx="18">
                  <c:v>-2.00084376037811</c:v>
                </c:pt>
                <c:pt idx="19">
                  <c:v>-2.1241397443871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B5-654C-9D56-FA5153E288DB}"/>
            </c:ext>
          </c:extLst>
        </c:ser>
        <c:ser>
          <c:idx val="2"/>
          <c:order val="2"/>
          <c:spPr>
            <a:solidFill>
              <a:schemeClr val="accent6">
                <a:lumMod val="40000"/>
                <a:lumOff val="60000"/>
              </a:schemeClr>
            </a:solidFill>
            <a:ln w="3175">
              <a:solidFill>
                <a:schemeClr val="dk1"/>
              </a:solidFill>
            </a:ln>
            <a:effectLst/>
          </c:spPr>
          <c:invertIfNegative val="0"/>
          <c:val>
            <c:numRef>
              <c:f>CashFlows!$D$3:$D$22</c:f>
              <c:numCache>
                <c:formatCode>0</c:formatCode>
                <c:ptCount val="20"/>
                <c:pt idx="0">
                  <c:v>-7.26196289062499E-2</c:v>
                </c:pt>
                <c:pt idx="1">
                  <c:v>-0.14901971851526299</c:v>
                </c:pt>
                <c:pt idx="2">
                  <c:v>-0.20302028089683499</c:v>
                </c:pt>
                <c:pt idx="3">
                  <c:v>-0.249863773360219</c:v>
                </c:pt>
                <c:pt idx="4">
                  <c:v>-0.29126220039795903</c:v>
                </c:pt>
                <c:pt idx="5">
                  <c:v>-0.32851593462658901</c:v>
                </c:pt>
                <c:pt idx="6">
                  <c:v>-0.36255164853968702</c:v>
                </c:pt>
                <c:pt idx="7">
                  <c:v>-0.39445455725910999</c:v>
                </c:pt>
                <c:pt idx="8">
                  <c:v>-0.42547738013528003</c:v>
                </c:pt>
                <c:pt idx="9">
                  <c:v>-0.45675242843692099</c:v>
                </c:pt>
                <c:pt idx="10">
                  <c:v>-0.48910667744053499</c:v>
                </c:pt>
                <c:pt idx="11">
                  <c:v>-0.52296928414254695</c:v>
                </c:pt>
                <c:pt idx="12">
                  <c:v>-0.558585744727914</c:v>
                </c:pt>
                <c:pt idx="13">
                  <c:v>-0.596070556339374</c:v>
                </c:pt>
                <c:pt idx="14">
                  <c:v>-0.635392194294223</c:v>
                </c:pt>
                <c:pt idx="15">
                  <c:v>-0.67662904250747102</c:v>
                </c:pt>
                <c:pt idx="16">
                  <c:v>-0.71991739613106698</c:v>
                </c:pt>
                <c:pt idx="17">
                  <c:v>-0.76555094011173597</c:v>
                </c:pt>
                <c:pt idx="18">
                  <c:v>-0.81360292187086103</c:v>
                </c:pt>
                <c:pt idx="19">
                  <c:v>-0.86434979032952197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B5-654C-9D56-FA5153E288DB}"/>
            </c:ext>
          </c:extLst>
        </c:ser>
        <c:ser>
          <c:idx val="3"/>
          <c:order val="3"/>
          <c:spPr>
            <a:solidFill>
              <a:schemeClr val="accent6">
                <a:lumMod val="20000"/>
                <a:lumOff val="80000"/>
              </a:schemeClr>
            </a:solidFill>
            <a:ln w="3175">
              <a:solidFill>
                <a:schemeClr val="dk1"/>
              </a:solidFill>
            </a:ln>
            <a:effectLst/>
          </c:spPr>
          <c:invertIfNegative val="0"/>
          <c:val>
            <c:numRef>
              <c:f>CashFlows!$E$3:$E$22</c:f>
              <c:numCache>
                <c:formatCode>0</c:formatCode>
                <c:ptCount val="20"/>
                <c:pt idx="0">
                  <c:v>-0.50457763671875</c:v>
                </c:pt>
                <c:pt idx="1">
                  <c:v>-1.03542277102511</c:v>
                </c:pt>
                <c:pt idx="2">
                  <c:v>-1.2275333058075399</c:v>
                </c:pt>
                <c:pt idx="3">
                  <c:v>-1.3720765174912599</c:v>
                </c:pt>
                <c:pt idx="4">
                  <c:v>-1.42415909198803</c:v>
                </c:pt>
                <c:pt idx="5">
                  <c:v>-1.47848310661349</c:v>
                </c:pt>
                <c:pt idx="6">
                  <c:v>-1.53569519435518</c:v>
                </c:pt>
                <c:pt idx="7">
                  <c:v>-1.5986339601947599</c:v>
                </c:pt>
                <c:pt idx="8">
                  <c:v>-1.67110500049483</c:v>
                </c:pt>
                <c:pt idx="9">
                  <c:v>-1.75669246767186</c:v>
                </c:pt>
                <c:pt idx="10">
                  <c:v>-1.8568315060274001</c:v>
                </c:pt>
                <c:pt idx="11">
                  <c:v>-1.9700757762511201</c:v>
                </c:pt>
                <c:pt idx="12">
                  <c:v>-2.0942247156093101</c:v>
                </c:pt>
                <c:pt idx="13">
                  <c:v>-2.22766628619681</c:v>
                </c:pt>
                <c:pt idx="14">
                  <c:v>-2.3683595519133598</c:v>
                </c:pt>
                <c:pt idx="15">
                  <c:v>-2.5157720079586201</c:v>
                </c:pt>
                <c:pt idx="16">
                  <c:v>-2.67081429748891</c:v>
                </c:pt>
                <c:pt idx="17">
                  <c:v>-2.8346624426571601</c:v>
                </c:pt>
                <c:pt idx="18">
                  <c:v>-3.0079057256225301</c:v>
                </c:pt>
                <c:pt idx="19">
                  <c:v>-3.1913584534789798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BB5-654C-9D56-FA5153E288DB}"/>
            </c:ext>
          </c:extLst>
        </c:ser>
        <c:ser>
          <c:idx val="4"/>
          <c:order val="4"/>
          <c:spPr>
            <a:solidFill>
              <a:schemeClr val="tx2">
                <a:lumMod val="75000"/>
                <a:lumOff val="25000"/>
              </a:schemeClr>
            </a:solidFill>
            <a:ln w="3175">
              <a:solidFill>
                <a:schemeClr val="dk1"/>
              </a:solidFill>
            </a:ln>
            <a:effectLst/>
          </c:spPr>
          <c:invertIfNegative val="0"/>
          <c:val>
            <c:numRef>
              <c:f>CashFlows!$F$3:$F$22</c:f>
              <c:numCache>
                <c:formatCode>0</c:formatCode>
                <c:ptCount val="20"/>
                <c:pt idx="0">
                  <c:v>0</c:v>
                </c:pt>
                <c:pt idx="1">
                  <c:v>4.76293293176207E-5</c:v>
                </c:pt>
                <c:pt idx="2">
                  <c:v>2.4454261084248898E-3</c:v>
                </c:pt>
                <c:pt idx="3">
                  <c:v>2.10784743144555E-2</c:v>
                </c:pt>
                <c:pt idx="4">
                  <c:v>9.3942604980313996E-2</c:v>
                </c:pt>
                <c:pt idx="5">
                  <c:v>0.28656873299315599</c:v>
                </c:pt>
                <c:pt idx="6">
                  <c:v>0.68029179597327205</c:v>
                </c:pt>
                <c:pt idx="7">
                  <c:v>1.3277924291311201</c:v>
                </c:pt>
                <c:pt idx="8">
                  <c:v>2.1822390761591999</c:v>
                </c:pt>
                <c:pt idx="9">
                  <c:v>3.0673536396249999</c:v>
                </c:pt>
                <c:pt idx="10">
                  <c:v>3.7789647839278802</c:v>
                </c:pt>
                <c:pt idx="11">
                  <c:v>4.23927836990336</c:v>
                </c:pt>
                <c:pt idx="12">
                  <c:v>4.52825498792558</c:v>
                </c:pt>
                <c:pt idx="13">
                  <c:v>4.7576365660782098</c:v>
                </c:pt>
                <c:pt idx="14">
                  <c:v>4.9856256267213004</c:v>
                </c:pt>
                <c:pt idx="15">
                  <c:v>5.2318014557694204</c:v>
                </c:pt>
                <c:pt idx="16">
                  <c:v>5.5053123159387196</c:v>
                </c:pt>
                <c:pt idx="17">
                  <c:v>5.8119535941175604</c:v>
                </c:pt>
                <c:pt idx="18">
                  <c:v>6.1544730196917197</c:v>
                </c:pt>
                <c:pt idx="19">
                  <c:v>6.5314369551773801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BB5-654C-9D56-FA5153E288DB}"/>
            </c:ext>
          </c:extLst>
        </c:ser>
        <c:ser>
          <c:idx val="5"/>
          <c:order val="5"/>
          <c:spPr>
            <a:solidFill>
              <a:schemeClr val="tx2">
                <a:lumMod val="50000"/>
                <a:lumOff val="50000"/>
              </a:schemeClr>
            </a:solidFill>
            <a:ln w="3175">
              <a:solidFill>
                <a:schemeClr val="dk1"/>
              </a:solidFill>
            </a:ln>
            <a:effectLst/>
          </c:spPr>
          <c:invertIfNegative val="0"/>
          <c:val>
            <c:numRef>
              <c:f>CashFlows!$G$3:$G$22</c:f>
              <c:numCache>
                <c:formatCode>0</c:formatCode>
                <c:ptCount val="20"/>
                <c:pt idx="0">
                  <c:v>0</c:v>
                </c:pt>
                <c:pt idx="1">
                  <c:v>4.5757111826022301E-5</c:v>
                </c:pt>
                <c:pt idx="2">
                  <c:v>1.5328280410108E-3</c:v>
                </c:pt>
                <c:pt idx="3">
                  <c:v>1.1673127505307201E-2</c:v>
                </c:pt>
                <c:pt idx="4">
                  <c:v>4.7892353553651797E-2</c:v>
                </c:pt>
                <c:pt idx="5">
                  <c:v>0.13925432154506701</c:v>
                </c:pt>
                <c:pt idx="6">
                  <c:v>0.31768706062452801</c:v>
                </c:pt>
                <c:pt idx="7">
                  <c:v>0.59700082727487602</c:v>
                </c:pt>
                <c:pt idx="8">
                  <c:v>0.94562245126707201</c:v>
                </c:pt>
                <c:pt idx="9">
                  <c:v>1.2845991756751001</c:v>
                </c:pt>
                <c:pt idx="10">
                  <c:v>1.5407223141902699</c:v>
                </c:pt>
                <c:pt idx="11">
                  <c:v>1.7013101693096999</c:v>
                </c:pt>
                <c:pt idx="12">
                  <c:v>1.8062862563886599</c:v>
                </c:pt>
                <c:pt idx="13">
                  <c:v>1.8954424804419401</c:v>
                </c:pt>
                <c:pt idx="14">
                  <c:v>1.98667170608091</c:v>
                </c:pt>
                <c:pt idx="15">
                  <c:v>2.0859338419003901</c:v>
                </c:pt>
                <c:pt idx="16">
                  <c:v>2.1966401023114202</c:v>
                </c:pt>
                <c:pt idx="17">
                  <c:v>2.3208133381961802</c:v>
                </c:pt>
                <c:pt idx="18">
                  <c:v>2.4590887341544301</c:v>
                </c:pt>
                <c:pt idx="19">
                  <c:v>2.6107161483100998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BB5-654C-9D56-FA5153E288DB}"/>
            </c:ext>
          </c:extLst>
        </c:ser>
        <c:ser>
          <c:idx val="6"/>
          <c:order val="6"/>
          <c:spPr>
            <a:solidFill>
              <a:srgbClr val="83CBEB"/>
            </a:solidFill>
            <a:ln w="3175">
              <a:solidFill>
                <a:schemeClr val="dk1"/>
              </a:solidFill>
            </a:ln>
            <a:effectLst/>
          </c:spPr>
          <c:invertIfNegative val="0"/>
          <c:val>
            <c:numRef>
              <c:f>CashFlows!$H$3:$H$22</c:f>
              <c:numCache>
                <c:formatCode>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4.9838780554394401E-5</c:v>
                </c:pt>
                <c:pt idx="3">
                  <c:v>5.40665156524904E-4</c:v>
                </c:pt>
                <c:pt idx="4">
                  <c:v>3.03469004989229E-3</c:v>
                </c:pt>
                <c:pt idx="5">
                  <c:v>1.15215844780466E-2</c:v>
                </c:pt>
                <c:pt idx="6">
                  <c:v>3.3758249400739501E-2</c:v>
                </c:pt>
                <c:pt idx="7">
                  <c:v>8.1692767209530906E-2</c:v>
                </c:pt>
                <c:pt idx="8">
                  <c:v>0.16835866242703601</c:v>
                </c:pt>
                <c:pt idx="9">
                  <c:v>0.29833896240470897</c:v>
                </c:pt>
                <c:pt idx="10">
                  <c:v>0.45670949793374199</c:v>
                </c:pt>
                <c:pt idx="11">
                  <c:v>0.60790913221020104</c:v>
                </c:pt>
                <c:pt idx="12">
                  <c:v>0.71872226837781705</c:v>
                </c:pt>
                <c:pt idx="13">
                  <c:v>0.78604126335361901</c:v>
                </c:pt>
                <c:pt idx="14">
                  <c:v>0.83083696511715199</c:v>
                </c:pt>
                <c:pt idx="15">
                  <c:v>0.871056569263712</c:v>
                </c:pt>
                <c:pt idx="16">
                  <c:v>0.913389653409312</c:v>
                </c:pt>
                <c:pt idx="17">
                  <c:v>0.95985436526560197</c:v>
                </c:pt>
                <c:pt idx="18">
                  <c:v>1.0117845243277499</c:v>
                </c:pt>
                <c:pt idx="19">
                  <c:v>1.0699402928920401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BB5-654C-9D56-FA5153E288DB}"/>
            </c:ext>
          </c:extLst>
        </c:ser>
        <c:ser>
          <c:idx val="7"/>
          <c:order val="7"/>
          <c:spPr>
            <a:solidFill>
              <a:srgbClr val="DCEAF7"/>
            </a:solidFill>
            <a:ln w="3175">
              <a:solidFill>
                <a:schemeClr val="dk1"/>
              </a:solidFill>
            </a:ln>
            <a:effectLst/>
          </c:spPr>
          <c:invertIfNegative val="0"/>
          <c:val>
            <c:numRef>
              <c:f>CashFlows!$I$3:$I$22</c:f>
              <c:numCache>
                <c:formatCode>0</c:formatCode>
                <c:ptCount val="20"/>
                <c:pt idx="0">
                  <c:v>0</c:v>
                </c:pt>
                <c:pt idx="1">
                  <c:v>2.90495468447057E-2</c:v>
                </c:pt>
                <c:pt idx="2">
                  <c:v>0.12631334661421401</c:v>
                </c:pt>
                <c:pt idx="3">
                  <c:v>0.34591431374210801</c:v>
                </c:pt>
                <c:pt idx="4">
                  <c:v>0.78085250689319297</c:v>
                </c:pt>
                <c:pt idx="5">
                  <c:v>1.3961527877256099</c:v>
                </c:pt>
                <c:pt idx="6">
                  <c:v>1.87092955823704</c:v>
                </c:pt>
                <c:pt idx="7">
                  <c:v>2.0559641291840398</c:v>
                </c:pt>
                <c:pt idx="8">
                  <c:v>2.1412445469657602</c:v>
                </c:pt>
                <c:pt idx="9">
                  <c:v>2.2234660678889302</c:v>
                </c:pt>
                <c:pt idx="10">
                  <c:v>2.3126094268812301</c:v>
                </c:pt>
                <c:pt idx="11">
                  <c:v>2.4116190016389099</c:v>
                </c:pt>
                <c:pt idx="12">
                  <c:v>2.5246498457777098</c:v>
                </c:pt>
                <c:pt idx="13">
                  <c:v>2.6559441068895402</c:v>
                </c:pt>
                <c:pt idx="14">
                  <c:v>2.8074307148709901</c:v>
                </c:pt>
                <c:pt idx="15">
                  <c:v>2.9780514323687499</c:v>
                </c:pt>
                <c:pt idx="16">
                  <c:v>3.1649040521985201</c:v>
                </c:pt>
                <c:pt idx="17">
                  <c:v>3.3652145443544401</c:v>
                </c:pt>
                <c:pt idx="18">
                  <c:v>3.5771657352608899</c:v>
                </c:pt>
                <c:pt idx="19">
                  <c:v>3.7999706302593399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BB5-654C-9D56-FA5153E28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overlap val="100"/>
        <c:axId val="436818063"/>
        <c:axId val="860425391"/>
      </c:barChart>
      <c:lineChart>
        <c:grouping val="standard"/>
        <c:varyColors val="0"/>
        <c:ser>
          <c:idx val="8"/>
          <c:order val="8"/>
          <c:spPr>
            <a:ln w="15875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CashFlows!$J$3:$J$22</c:f>
              <c:numCache>
                <c:formatCode>0</c:formatCode>
                <c:ptCount val="20"/>
                <c:pt idx="0">
                  <c:v>-1.2148864746093748</c:v>
                </c:pt>
                <c:pt idx="1">
                  <c:v>-2.463875045475926</c:v>
                </c:pt>
                <c:pt idx="2">
                  <c:v>-3.2170557676126079</c:v>
                </c:pt>
                <c:pt idx="3">
                  <c:v>-3.5766406586917041</c:v>
                </c:pt>
                <c:pt idx="4">
                  <c:v>-3.4778928005189518</c:v>
                </c:pt>
                <c:pt idx="5">
                  <c:v>-2.9706226083274885</c:v>
                </c:pt>
                <c:pt idx="6">
                  <c:v>-2.2684057503155479</c:v>
                </c:pt>
                <c:pt idx="7">
                  <c:v>-1.4585592662917235</c:v>
                </c:pt>
                <c:pt idx="8">
                  <c:v>-0.43332328495444239</c:v>
                </c:pt>
                <c:pt idx="9">
                  <c:v>0.6362924622581676</c:v>
                </c:pt>
                <c:pt idx="10">
                  <c:v>1.4578535276676765</c:v>
                </c:pt>
                <c:pt idx="11">
                  <c:v>1.9045100566690947</c:v>
                </c:pt>
                <c:pt idx="12">
                  <c:v>2.0676003368994524</c:v>
                </c:pt>
                <c:pt idx="13">
                  <c:v>2.1004492295538846</c:v>
                </c:pt>
                <c:pt idx="14">
                  <c:v>2.1052432779370096</c:v>
                </c:pt>
                <c:pt idx="15">
                  <c:v>2.1243334419669009</c:v>
                </c:pt>
                <c:pt idx="16">
                  <c:v>2.172768694645705</c:v>
                </c:pt>
                <c:pt idx="17">
                  <c:v>2.2534962778731273</c:v>
                </c:pt>
                <c:pt idx="18">
                  <c:v>2.3680355408839571</c:v>
                </c:pt>
                <c:pt idx="19">
                  <c:v>2.5108683569333179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BB5-654C-9D56-FA5153E28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6818063"/>
        <c:axId val="860425391"/>
      </c:lineChart>
      <c:catAx>
        <c:axId val="436818063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425391"/>
        <c:crosses val="autoZero"/>
        <c:auto val="1"/>
        <c:lblAlgn val="ctr"/>
        <c:lblOffset val="100"/>
        <c:noMultiLvlLbl val="0"/>
      </c:catAx>
      <c:valAx>
        <c:axId val="860425391"/>
        <c:scaling>
          <c:orientation val="minMax"/>
          <c:max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818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97190829196291E-2"/>
          <c:y val="0.16627023580931855"/>
          <c:w val="0.88847553946777302"/>
          <c:h val="0.68517470027347926"/>
        </c:manualLayout>
      </c:layout>
      <c:barChart>
        <c:barDir val="col"/>
        <c:grouping val="stack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CashFlows!$K$3:$K$22</c:f>
            </c:numRef>
          </c:val>
          <c:extLst>
            <c:ext xmlns:c16="http://schemas.microsoft.com/office/drawing/2014/chart" uri="{C3380CC4-5D6E-409C-BE32-E72D297353CC}">
              <c16:uniqueId val="{00000001-16A4-2948-987E-5E3847C319E3}"/>
            </c:ext>
          </c:extLst>
        </c:ser>
        <c:ser>
          <c:idx val="2"/>
          <c:order val="2"/>
          <c:tx>
            <c:strRef>
              <c:f>CashFlows!$C$51</c:f>
              <c:strCache>
                <c:ptCount val="1"/>
                <c:pt idx="0">
                  <c:v>Capital Calls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 w="3175">
              <a:solidFill>
                <a:schemeClr val="tx1"/>
              </a:solidFill>
            </a:ln>
            <a:effectLst/>
          </c:spPr>
          <c:invertIfNegative val="0"/>
          <c:val>
            <c:numRef>
              <c:f>CashFlows!$L$3:$L$22</c:f>
              <c:numCache>
                <c:formatCode>0</c:formatCode>
                <c:ptCount val="20"/>
                <c:pt idx="0">
                  <c:v>-1.2148864746093748</c:v>
                </c:pt>
                <c:pt idx="1">
                  <c:v>-2.4930179787617752</c:v>
                </c:pt>
                <c:pt idx="2">
                  <c:v>-3.3473972071568121</c:v>
                </c:pt>
                <c:pt idx="3">
                  <c:v>-3.9558472394100996</c:v>
                </c:pt>
                <c:pt idx="4">
                  <c:v>-4.4036149559960034</c:v>
                </c:pt>
                <c:pt idx="5">
                  <c:v>-4.804120035069368</c:v>
                </c:pt>
                <c:pt idx="6">
                  <c:v>-5.1710724145511273</c:v>
                </c:pt>
                <c:pt idx="7">
                  <c:v>-5.5210094190912899</c:v>
                </c:pt>
                <c:pt idx="8">
                  <c:v>-5.8707880217735102</c:v>
                </c:pt>
                <c:pt idx="9">
                  <c:v>-6.2374653833355715</c:v>
                </c:pt>
                <c:pt idx="10">
                  <c:v>-6.6311524952654457</c:v>
                </c:pt>
                <c:pt idx="11">
                  <c:v>-7.0556066163930762</c:v>
                </c:pt>
                <c:pt idx="12">
                  <c:v>-7.5103130215703144</c:v>
                </c:pt>
                <c:pt idx="13">
                  <c:v>-7.9946151872094244</c:v>
                </c:pt>
                <c:pt idx="14">
                  <c:v>-8.505321734853343</c:v>
                </c:pt>
                <c:pt idx="15">
                  <c:v>-9.0425098573353715</c:v>
                </c:pt>
                <c:pt idx="16">
                  <c:v>-9.6074774292122669</c:v>
                </c:pt>
                <c:pt idx="17">
                  <c:v>-10.204339564060655</c:v>
                </c:pt>
                <c:pt idx="18">
                  <c:v>-10.834476472550833</c:v>
                </c:pt>
                <c:pt idx="19">
                  <c:v>-11.501195669705542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A4-2948-987E-5E3847C319E3}"/>
            </c:ext>
          </c:extLst>
        </c:ser>
        <c:ser>
          <c:idx val="3"/>
          <c:order val="3"/>
          <c:tx>
            <c:strRef>
              <c:f>CashFlows!$C$52</c:f>
              <c:strCache>
                <c:ptCount val="1"/>
                <c:pt idx="0">
                  <c:v>Distributions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3175">
              <a:solidFill>
                <a:schemeClr val="tx1"/>
              </a:solidFill>
            </a:ln>
            <a:effectLst/>
          </c:spPr>
          <c:invertIfNegative val="0"/>
          <c:val>
            <c:numRef>
              <c:f>CashFlows!$M$3:$M$22</c:f>
              <c:numCache>
                <c:formatCode>0</c:formatCode>
                <c:ptCount val="20"/>
                <c:pt idx="0">
                  <c:v>0</c:v>
                </c:pt>
                <c:pt idx="1">
                  <c:v>2.9142933285849344E-2</c:v>
                </c:pt>
                <c:pt idx="2">
                  <c:v>0.1303414395442041</c:v>
                </c:pt>
                <c:pt idx="3">
                  <c:v>0.37920658071839564</c:v>
                </c:pt>
                <c:pt idx="4">
                  <c:v>0.92572215547705106</c:v>
                </c:pt>
                <c:pt idx="5">
                  <c:v>1.8334974267418795</c:v>
                </c:pt>
                <c:pt idx="6">
                  <c:v>2.9026666642355794</c:v>
                </c:pt>
                <c:pt idx="7">
                  <c:v>4.0624501527995669</c:v>
                </c:pt>
                <c:pt idx="8">
                  <c:v>5.4374647368190683</c:v>
                </c:pt>
                <c:pt idx="9">
                  <c:v>6.8737578455937394</c:v>
                </c:pt>
                <c:pt idx="10">
                  <c:v>8.0890060229331233</c:v>
                </c:pt>
                <c:pt idx="11">
                  <c:v>8.9601166730621706</c:v>
                </c:pt>
                <c:pt idx="12">
                  <c:v>9.5779133584697664</c:v>
                </c:pt>
                <c:pt idx="13">
                  <c:v>10.095064416763309</c:v>
                </c:pt>
                <c:pt idx="14">
                  <c:v>10.610565012790353</c:v>
                </c:pt>
                <c:pt idx="15">
                  <c:v>11.166843299302272</c:v>
                </c:pt>
                <c:pt idx="16">
                  <c:v>11.780246123857971</c:v>
                </c:pt>
                <c:pt idx="17">
                  <c:v>12.457835841933784</c:v>
                </c:pt>
                <c:pt idx="18">
                  <c:v>13.202512013434788</c:v>
                </c:pt>
                <c:pt idx="19">
                  <c:v>14.012064026638861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A4-2948-987E-5E3847C31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overlap val="100"/>
        <c:axId val="436818063"/>
        <c:axId val="860425391"/>
      </c:barChart>
      <c:lineChart>
        <c:grouping val="standard"/>
        <c:varyColors val="0"/>
        <c:ser>
          <c:idx val="0"/>
          <c:order val="0"/>
          <c:tx>
            <c:strRef>
              <c:f>CashFlows!$C$50</c:f>
              <c:strCache>
                <c:ptCount val="1"/>
                <c:pt idx="0">
                  <c:v>Cumulative Net Cash-Flow</c:v>
                </c:pt>
              </c:strCache>
            </c:strRef>
          </c:tx>
          <c:spPr>
            <a:ln w="9525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CashFlows!$J$3:$J$22</c:f>
              <c:numCache>
                <c:formatCode>0</c:formatCode>
                <c:ptCount val="20"/>
                <c:pt idx="0">
                  <c:v>-1.2148864746093748</c:v>
                </c:pt>
                <c:pt idx="1">
                  <c:v>-2.463875045475926</c:v>
                </c:pt>
                <c:pt idx="2">
                  <c:v>-3.2170557676126079</c:v>
                </c:pt>
                <c:pt idx="3">
                  <c:v>-3.5766406586917041</c:v>
                </c:pt>
                <c:pt idx="4">
                  <c:v>-3.4778928005189518</c:v>
                </c:pt>
                <c:pt idx="5">
                  <c:v>-2.9706226083274885</c:v>
                </c:pt>
                <c:pt idx="6">
                  <c:v>-2.2684057503155479</c:v>
                </c:pt>
                <c:pt idx="7">
                  <c:v>-1.4585592662917235</c:v>
                </c:pt>
                <c:pt idx="8">
                  <c:v>-0.43332328495444239</c:v>
                </c:pt>
                <c:pt idx="9">
                  <c:v>0.6362924622581676</c:v>
                </c:pt>
                <c:pt idx="10">
                  <c:v>1.4578535276676765</c:v>
                </c:pt>
                <c:pt idx="11">
                  <c:v>1.9045100566690947</c:v>
                </c:pt>
                <c:pt idx="12">
                  <c:v>2.0676003368994524</c:v>
                </c:pt>
                <c:pt idx="13">
                  <c:v>2.1004492295538846</c:v>
                </c:pt>
                <c:pt idx="14">
                  <c:v>2.1052432779370096</c:v>
                </c:pt>
                <c:pt idx="15">
                  <c:v>2.1243334419669009</c:v>
                </c:pt>
                <c:pt idx="16">
                  <c:v>2.172768694645705</c:v>
                </c:pt>
                <c:pt idx="17">
                  <c:v>2.2534962778731273</c:v>
                </c:pt>
                <c:pt idx="18">
                  <c:v>2.3680355408839571</c:v>
                </c:pt>
                <c:pt idx="19">
                  <c:v>2.5108683569333179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A4-2948-987E-5E3847C31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506767"/>
        <c:axId val="354520911"/>
      </c:lineChart>
      <c:catAx>
        <c:axId val="436818063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860425391"/>
        <c:crosses val="autoZero"/>
        <c:auto val="1"/>
        <c:lblAlgn val="ctr"/>
        <c:lblOffset val="100"/>
        <c:noMultiLvlLbl val="0"/>
      </c:catAx>
      <c:valAx>
        <c:axId val="860425391"/>
        <c:scaling>
          <c:orientation val="minMax"/>
          <c:max val="20"/>
          <c:min val="-20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436818063"/>
        <c:crosses val="autoZero"/>
        <c:crossBetween val="between"/>
      </c:valAx>
      <c:valAx>
        <c:axId val="354520911"/>
        <c:scaling>
          <c:orientation val="minMax"/>
          <c:max val="4"/>
          <c:min val="-4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7506767"/>
        <c:crosses val="max"/>
        <c:crossBetween val="between"/>
      </c:valAx>
      <c:catAx>
        <c:axId val="207506767"/>
        <c:scaling>
          <c:orientation val="minMax"/>
        </c:scaling>
        <c:delete val="1"/>
        <c:axPos val="b"/>
        <c:majorTickMark val="out"/>
        <c:minorTickMark val="none"/>
        <c:tickLblPos val="nextTo"/>
        <c:crossAx val="3545209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6.131075102235007E-2"/>
          <c:y val="3.8555241008204372E-2"/>
          <c:w val="0.88423102113273988"/>
          <c:h val="7.6308006790174979E-2"/>
        </c:manualLayout>
      </c:layout>
      <c:overlay val="0"/>
      <c:spPr>
        <a:noFill/>
        <a:ln w="3175">
          <a:solidFill>
            <a:schemeClr val="bg1">
              <a:lumMod val="7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700" b="0" i="0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307732</xdr:colOff>
      <xdr:row>23</xdr:row>
      <xdr:rowOff>2</xdr:rowOff>
    </xdr:from>
    <xdr:to>
      <xdr:col>10</xdr:col>
      <xdr:colOff>375138</xdr:colOff>
      <xdr:row>37</xdr:row>
      <xdr:rowOff>116534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18B562-7E76-5555-90A3-7E9F2EB597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515561</xdr:colOff>
      <xdr:row>41</xdr:row>
      <xdr:rowOff>105532</xdr:rowOff>
    </xdr:from>
    <xdr:to>
      <xdr:col>8</xdr:col>
      <xdr:colOff>828524</xdr:colOff>
      <xdr:row>55</xdr:row>
      <xdr:rowOff>54732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C9B6407-F542-9DE3-244A-0B6934EEA2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368300</xdr:colOff>
      <xdr:row>25</xdr:row>
      <xdr:rowOff>114300</xdr:rowOff>
    </xdr:from>
    <xdr:to>
      <xdr:col>12</xdr:col>
      <xdr:colOff>736600</xdr:colOff>
      <xdr:row>39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8E6E7E-28FD-414E-9F9A-5C021932B8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69145</xdr:colOff>
      <xdr:row>24</xdr:row>
      <xdr:rowOff>73379</xdr:rowOff>
    </xdr:from>
    <xdr:to>
      <xdr:col>9</xdr:col>
      <xdr:colOff>733778</xdr:colOff>
      <xdr:row>36</xdr:row>
      <xdr:rowOff>169333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98C441-EB2A-A06A-4E3E-D7310B2B3C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694763</xdr:colOff>
      <xdr:row>37</xdr:row>
      <xdr:rowOff>145261</xdr:rowOff>
    </xdr:from>
    <xdr:to>
      <xdr:col>7</xdr:col>
      <xdr:colOff>448233</xdr:colOff>
      <xdr:row>47</xdr:row>
      <xdr:rowOff>104588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89A4B6-A2FC-B949-BFF0-67B3163399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F1DFD-D473-E647-A67C-FA89D99FB3BA}">
  <dimension ref="A1:P87"/>
  <sheetViews>
    <sheetView tabSelected="1" zoomScaleNormal="100" workbookViewId="0">
      <selection activeCell="P35" sqref="P35"/>
    </sheetView>
  </sheetViews>
  <sheetFormatPr baseColWidth="10" defaultRowHeight="16" x14ac:dyDescent="0.2"/>
  <cols>
    <col min="1" max="1" width="10.83203125" style="1"/>
    <col min="2" max="7" width="10.83203125" style="2"/>
    <col min="8" max="8" width="12.33203125" style="2" bestFit="1" customWidth="1"/>
    <col min="9" max="9" width="12.83203125" style="1" bestFit="1" customWidth="1"/>
    <col min="10" max="16384" width="10.83203125" style="1"/>
  </cols>
  <sheetData>
    <row r="1" spans="1:16" x14ac:dyDescent="0.2">
      <c r="C1" s="2">
        <v>0.6</v>
      </c>
      <c r="D1" s="2">
        <f>1-C1</f>
        <v>0.4</v>
      </c>
    </row>
    <row r="2" spans="1:16" x14ac:dyDescent="0.2">
      <c r="A2" s="6"/>
      <c r="B2" s="5" t="s">
        <v>0</v>
      </c>
      <c r="C2" s="5" t="s">
        <v>10</v>
      </c>
      <c r="D2" s="5" t="s">
        <v>9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11</v>
      </c>
      <c r="L2" s="1" t="s">
        <v>0</v>
      </c>
      <c r="M2" s="1" t="s">
        <v>1</v>
      </c>
      <c r="N2" s="1" t="s">
        <v>2</v>
      </c>
      <c r="O2" s="1" t="s">
        <v>3</v>
      </c>
      <c r="P2" s="1" t="s">
        <v>4</v>
      </c>
    </row>
    <row r="3" spans="1:16" x14ac:dyDescent="0.2">
      <c r="A3" s="7">
        <v>0</v>
      </c>
      <c r="B3" s="4">
        <v>1</v>
      </c>
      <c r="C3" s="4">
        <v>0.6</v>
      </c>
      <c r="D3" s="4">
        <v>0.4</v>
      </c>
      <c r="E3" s="4">
        <v>0</v>
      </c>
      <c r="F3" s="4">
        <v>0</v>
      </c>
      <c r="G3" s="4">
        <v>0</v>
      </c>
      <c r="H3" s="4">
        <v>0</v>
      </c>
      <c r="I3" s="4">
        <v>0.2</v>
      </c>
      <c r="K3" s="1">
        <v>0</v>
      </c>
      <c r="L3" s="1">
        <v>1</v>
      </c>
      <c r="M3" s="1">
        <v>0</v>
      </c>
      <c r="N3" s="1">
        <v>0</v>
      </c>
      <c r="O3" s="1">
        <v>0</v>
      </c>
      <c r="P3" s="1">
        <v>0</v>
      </c>
    </row>
    <row r="4" spans="1:16" x14ac:dyDescent="0.2">
      <c r="A4" s="7">
        <v>1</v>
      </c>
      <c r="B4" s="4">
        <v>0.987851135253906</v>
      </c>
      <c r="C4" s="4">
        <v>0.59125281738281221</v>
      </c>
      <c r="D4" s="4">
        <v>0.39416854492187481</v>
      </c>
      <c r="E4" s="4">
        <v>4.3049926757812501E-3</v>
      </c>
      <c r="F4" s="4">
        <v>2.0718994140624999E-3</v>
      </c>
      <c r="G4" s="4">
        <v>7.2619628906249998E-4</v>
      </c>
      <c r="H4" s="4">
        <v>5.0457763671875001E-3</v>
      </c>
      <c r="I4" s="4">
        <v>0.2</v>
      </c>
      <c r="K4" s="1">
        <v>1</v>
      </c>
      <c r="L4" s="1">
        <v>0.987851135253906</v>
      </c>
      <c r="M4" s="1">
        <v>4.3049926757812501E-3</v>
      </c>
      <c r="N4" s="1">
        <v>2.0718994140624999E-3</v>
      </c>
      <c r="O4" s="1">
        <v>7.2619628906249998E-4</v>
      </c>
      <c r="P4" s="1">
        <v>5.0457763671875001E-3</v>
      </c>
    </row>
    <row r="5" spans="1:16" x14ac:dyDescent="0.2">
      <c r="A5" s="7">
        <v>2</v>
      </c>
      <c r="B5" s="4">
        <v>0.96419904040223503</v>
      </c>
      <c r="C5" s="4">
        <v>0.57438234628160156</v>
      </c>
      <c r="D5" s="4">
        <v>0.38292156418773443</v>
      </c>
      <c r="E5" s="4">
        <v>1.27635315965615E-2</v>
      </c>
      <c r="F5" s="4">
        <v>6.1384275567630802E-3</v>
      </c>
      <c r="G5" s="4">
        <v>2.1464420676018999E-3</v>
      </c>
      <c r="H5" s="4">
        <v>1.47525583768379E-2</v>
      </c>
      <c r="I5" s="4">
        <v>0.2</v>
      </c>
      <c r="K5" s="1">
        <v>2</v>
      </c>
      <c r="L5" s="1">
        <v>0.96419904040223503</v>
      </c>
      <c r="M5" s="1">
        <v>1.27635315965615E-2</v>
      </c>
      <c r="N5" s="1">
        <v>6.1384275567630802E-3</v>
      </c>
      <c r="O5" s="1">
        <v>2.1464420676018999E-3</v>
      </c>
      <c r="P5" s="1">
        <v>1.47525583768379E-2</v>
      </c>
    </row>
    <row r="6" spans="1:16" x14ac:dyDescent="0.2">
      <c r="A6" s="7">
        <v>3</v>
      </c>
      <c r="B6" s="4">
        <v>0.93445835023486201</v>
      </c>
      <c r="C6" s="4">
        <v>0.55357404748191119</v>
      </c>
      <c r="D6" s="4">
        <v>0.36904936498794083</v>
      </c>
      <c r="E6" s="4">
        <v>2.5118272555327899E-2</v>
      </c>
      <c r="F6" s="4">
        <v>1.1281020647672099E-2</v>
      </c>
      <c r="G6" s="4">
        <v>3.9898208573999399E-3</v>
      </c>
      <c r="H6" s="4">
        <v>2.5152535704737501E-2</v>
      </c>
      <c r="I6" s="4">
        <v>0.2</v>
      </c>
      <c r="K6" s="1">
        <v>3</v>
      </c>
      <c r="L6" s="1">
        <v>0.93445835023486201</v>
      </c>
      <c r="M6" s="1">
        <v>2.5118272555327899E-2</v>
      </c>
      <c r="N6" s="1">
        <v>1.1281020647672099E-2</v>
      </c>
      <c r="O6" s="1">
        <v>3.9898208573999399E-3</v>
      </c>
      <c r="P6" s="1">
        <v>2.5152535704737501E-2</v>
      </c>
    </row>
    <row r="7" spans="1:16" x14ac:dyDescent="0.2">
      <c r="A7" s="7">
        <v>4</v>
      </c>
      <c r="B7" s="4">
        <v>0.90257039155216701</v>
      </c>
      <c r="C7" s="4">
        <v>0.53187852968983496</v>
      </c>
      <c r="D7" s="4">
        <v>0.35458568645989003</v>
      </c>
      <c r="E7" s="4">
        <v>3.9429033788606203E-2</v>
      </c>
      <c r="F7" s="4">
        <v>1.7111430210244302E-2</v>
      </c>
      <c r="G7" s="4">
        <v>6.1404199332067101E-3</v>
      </c>
      <c r="H7" s="4">
        <v>3.4748724515775403E-2</v>
      </c>
      <c r="I7" s="4">
        <v>0.2</v>
      </c>
      <c r="K7" s="1">
        <v>4</v>
      </c>
      <c r="L7" s="1">
        <v>0.90257039155216701</v>
      </c>
      <c r="M7" s="1">
        <v>3.9429033788606203E-2</v>
      </c>
      <c r="N7" s="1">
        <v>1.7111430210244302E-2</v>
      </c>
      <c r="O7" s="1">
        <v>6.1404199332067101E-3</v>
      </c>
      <c r="P7" s="1">
        <v>3.4748724515775403E-2</v>
      </c>
    </row>
    <row r="8" spans="1:16" x14ac:dyDescent="0.2">
      <c r="A8" s="7">
        <v>5</v>
      </c>
      <c r="B8" s="4">
        <v>0.87256436782100399</v>
      </c>
      <c r="C8" s="4">
        <v>0.51224351174471938</v>
      </c>
      <c r="D8" s="4">
        <v>0.34149567449647966</v>
      </c>
      <c r="E8" s="4">
        <v>5.4643202209278603E-2</v>
      </c>
      <c r="F8" s="4">
        <v>2.3203497825282599E-2</v>
      </c>
      <c r="G8" s="4">
        <v>8.4990701503727794E-3</v>
      </c>
      <c r="H8" s="4">
        <v>4.1089861994061401E-2</v>
      </c>
      <c r="I8" s="4">
        <v>0.2</v>
      </c>
      <c r="K8" s="1">
        <v>5</v>
      </c>
      <c r="L8" s="1">
        <v>0.87256436782100399</v>
      </c>
      <c r="M8" s="1">
        <v>5.4643202209278603E-2</v>
      </c>
      <c r="N8" s="1">
        <v>2.3203497825282599E-2</v>
      </c>
      <c r="O8" s="1">
        <v>8.4990701503727794E-3</v>
      </c>
      <c r="P8" s="1">
        <v>4.1089861994061401E-2</v>
      </c>
    </row>
    <row r="9" spans="1:16" x14ac:dyDescent="0.2">
      <c r="A9" s="7">
        <v>6</v>
      </c>
      <c r="B9" s="4">
        <v>0.84669020038904297</v>
      </c>
      <c r="C9" s="4">
        <v>0.49611303538544937</v>
      </c>
      <c r="D9" s="4">
        <v>0.33074202359029958</v>
      </c>
      <c r="E9" s="4">
        <v>6.9787557775812803E-2</v>
      </c>
      <c r="F9" s="4">
        <v>2.9146262614719198E-2</v>
      </c>
      <c r="G9" s="4">
        <v>1.1005915911992801E-2</v>
      </c>
      <c r="H9" s="4">
        <v>4.3370063308431198E-2</v>
      </c>
      <c r="I9" s="4">
        <v>0.2</v>
      </c>
      <c r="K9" s="1">
        <v>6</v>
      </c>
      <c r="L9" s="1">
        <v>0.84669020038904297</v>
      </c>
      <c r="M9" s="1">
        <v>6.9787557775812803E-2</v>
      </c>
      <c r="N9" s="1">
        <v>2.9146262614719198E-2</v>
      </c>
      <c r="O9" s="1">
        <v>1.1005915911992801E-2</v>
      </c>
      <c r="P9" s="1">
        <v>4.3370063308431198E-2</v>
      </c>
    </row>
    <row r="10" spans="1:16" x14ac:dyDescent="0.2">
      <c r="A10" s="7">
        <v>7</v>
      </c>
      <c r="B10" s="4">
        <v>0.82543015787748997</v>
      </c>
      <c r="C10" s="4">
        <v>0.48359741273882095</v>
      </c>
      <c r="D10" s="4">
        <v>0.32239827515921404</v>
      </c>
      <c r="E10" s="4">
        <v>8.3568329092247096E-2</v>
      </c>
      <c r="F10" s="4">
        <v>3.4394447245414898E-2</v>
      </c>
      <c r="G10" s="4">
        <v>1.3564790273611E-2</v>
      </c>
      <c r="H10" s="4">
        <v>4.3042275511236398E-2</v>
      </c>
      <c r="I10" s="4">
        <v>0.2</v>
      </c>
      <c r="K10" s="1">
        <v>7</v>
      </c>
      <c r="L10" s="1">
        <v>0.82543015787748997</v>
      </c>
      <c r="M10" s="1">
        <v>8.3568329092247096E-2</v>
      </c>
      <c r="N10" s="1">
        <v>3.4394447245414898E-2</v>
      </c>
      <c r="O10" s="1">
        <v>1.3564790273611E-2</v>
      </c>
      <c r="P10" s="1">
        <v>4.3042275511236398E-2</v>
      </c>
    </row>
    <row r="11" spans="1:16" x14ac:dyDescent="0.2">
      <c r="A11" s="7">
        <v>8</v>
      </c>
      <c r="B11" s="4">
        <v>0.80935322089335004</v>
      </c>
      <c r="C11" s="4">
        <v>0.47488763783579158</v>
      </c>
      <c r="D11" s="4">
        <v>0.31659175855719446</v>
      </c>
      <c r="E11" s="4">
        <v>9.4288124395023806E-2</v>
      </c>
      <c r="F11" s="4">
        <v>3.82914445501078E-2</v>
      </c>
      <c r="G11" s="4">
        <v>1.5983266850949401E-2</v>
      </c>
      <c r="H11" s="4">
        <v>4.2083943310568403E-2</v>
      </c>
      <c r="I11" s="4">
        <v>0.2</v>
      </c>
      <c r="K11" s="1">
        <v>8</v>
      </c>
      <c r="L11" s="1">
        <v>0.80935322089335004</v>
      </c>
      <c r="M11" s="1">
        <v>9.4288124395023806E-2</v>
      </c>
      <c r="N11" s="1">
        <v>3.82914445501078E-2</v>
      </c>
      <c r="O11" s="1">
        <v>1.5983266850949401E-2</v>
      </c>
      <c r="P11" s="1">
        <v>4.2083943310568403E-2</v>
      </c>
    </row>
    <row r="12" spans="1:16" x14ac:dyDescent="0.2">
      <c r="A12" s="7">
        <v>9</v>
      </c>
      <c r="B12" s="4">
        <v>0.79917586857462697</v>
      </c>
      <c r="C12" s="4">
        <v>0.47031766420166099</v>
      </c>
      <c r="D12" s="4">
        <v>0.31354510946777403</v>
      </c>
      <c r="E12" s="4">
        <v>0.10099250292793201</v>
      </c>
      <c r="F12" s="4">
        <v>4.0554775947362898E-2</v>
      </c>
      <c r="G12" s="4">
        <v>1.80507812688263E-2</v>
      </c>
      <c r="H12" s="4">
        <v>4.1226071281250602E-2</v>
      </c>
      <c r="I12" s="4">
        <v>0.2</v>
      </c>
      <c r="K12" s="1">
        <v>9</v>
      </c>
      <c r="L12" s="1">
        <v>0.79917586857462697</v>
      </c>
      <c r="M12" s="1">
        <v>0.10099250292793201</v>
      </c>
      <c r="N12" s="1">
        <v>4.0554775947362898E-2</v>
      </c>
      <c r="O12" s="1">
        <v>1.80507812688263E-2</v>
      </c>
      <c r="P12" s="1">
        <v>4.1226071281250602E-2</v>
      </c>
    </row>
    <row r="13" spans="1:16" x14ac:dyDescent="0.2">
      <c r="A13" s="7">
        <v>10</v>
      </c>
      <c r="B13" s="4">
        <v>0.79489495007904698</v>
      </c>
      <c r="C13" s="4">
        <v>0.46974303500079773</v>
      </c>
      <c r="D13" s="4">
        <v>0.31316202333386522</v>
      </c>
      <c r="E13" s="4">
        <v>0.103731308282246</v>
      </c>
      <c r="F13" s="4">
        <v>4.13312788473435E-2</v>
      </c>
      <c r="G13" s="4">
        <v>1.95292629225578E-2</v>
      </c>
      <c r="H13" s="4">
        <v>4.0513199868804098E-2</v>
      </c>
      <c r="I13" s="4">
        <v>0.2</v>
      </c>
      <c r="K13" s="1">
        <v>10</v>
      </c>
      <c r="L13" s="1">
        <v>0.79489495007904698</v>
      </c>
      <c r="M13" s="1">
        <v>0.103731308282246</v>
      </c>
      <c r="N13" s="1">
        <v>4.13312788473435E-2</v>
      </c>
      <c r="O13" s="1">
        <v>1.95292629225578E-2</v>
      </c>
      <c r="P13" s="1">
        <v>4.0513199868804098E-2</v>
      </c>
    </row>
    <row r="14" spans="1:16" x14ac:dyDescent="0.2">
      <c r="A14" s="7">
        <v>11</v>
      </c>
      <c r="B14" s="4">
        <v>0.79455512824877395</v>
      </c>
      <c r="C14" s="4">
        <v>0.47168570215327077</v>
      </c>
      <c r="D14" s="4">
        <v>0.31445713476884718</v>
      </c>
      <c r="E14" s="4">
        <v>0.10387299553014299</v>
      </c>
      <c r="F14" s="4">
        <v>4.1232320493287698E-2</v>
      </c>
      <c r="G14" s="4">
        <v>2.03371524351393E-2</v>
      </c>
      <c r="H14" s="4">
        <v>4.0002403292654698E-2</v>
      </c>
      <c r="I14" s="4">
        <v>0.2</v>
      </c>
      <c r="K14" s="1">
        <v>11</v>
      </c>
      <c r="L14" s="1">
        <v>0.79455512824877395</v>
      </c>
      <c r="M14" s="1">
        <v>0.10387299553014299</v>
      </c>
      <c r="N14" s="1">
        <v>4.1232320493287698E-2</v>
      </c>
      <c r="O14" s="1">
        <v>2.03371524351393E-2</v>
      </c>
      <c r="P14" s="1">
        <v>4.0002403292654698E-2</v>
      </c>
    </row>
    <row r="15" spans="1:16" x14ac:dyDescent="0.2">
      <c r="A15" s="7">
        <v>12</v>
      </c>
      <c r="B15" s="4">
        <v>0.79601543183970203</v>
      </c>
      <c r="C15" s="4">
        <v>0.4745232193463178</v>
      </c>
      <c r="D15" s="4">
        <v>0.31634881289754524</v>
      </c>
      <c r="E15" s="4">
        <v>0.102916225442211</v>
      </c>
      <c r="F15" s="4">
        <v>4.0817800400894999E-2</v>
      </c>
      <c r="G15" s="4">
        <v>2.0568694198476199E-2</v>
      </c>
      <c r="H15" s="4">
        <v>3.9681848118714898E-2</v>
      </c>
      <c r="I15" s="4">
        <v>0.2</v>
      </c>
      <c r="K15" s="1">
        <v>12</v>
      </c>
      <c r="L15" s="1">
        <v>0.79601543183970203</v>
      </c>
      <c r="M15" s="1">
        <v>0.102916225442211</v>
      </c>
      <c r="N15" s="1">
        <v>4.0817800400894999E-2</v>
      </c>
      <c r="O15" s="1">
        <v>2.0568694198476199E-2</v>
      </c>
      <c r="P15" s="1">
        <v>3.9681848118714898E-2</v>
      </c>
    </row>
    <row r="16" spans="1:16" x14ac:dyDescent="0.2">
      <c r="A16" s="7">
        <v>13</v>
      </c>
      <c r="B16" s="4">
        <v>0.79774055053732196</v>
      </c>
      <c r="C16" s="4">
        <v>0.47709586022220957</v>
      </c>
      <c r="D16" s="4">
        <v>0.3180639068148064</v>
      </c>
      <c r="E16" s="4">
        <v>0.10184368959354299</v>
      </c>
      <c r="F16" s="4">
        <v>4.04076382949239E-2</v>
      </c>
      <c r="G16" s="4">
        <v>2.0476519838268301E-2</v>
      </c>
      <c r="H16" s="4">
        <v>3.9531601735941703E-2</v>
      </c>
      <c r="I16" s="4">
        <v>0.2</v>
      </c>
      <c r="K16" s="1">
        <v>13</v>
      </c>
      <c r="L16" s="1">
        <v>0.79774055053732196</v>
      </c>
      <c r="M16" s="1">
        <v>0.10184368959354299</v>
      </c>
      <c r="N16" s="1">
        <v>4.04076382949239E-2</v>
      </c>
      <c r="O16" s="1">
        <v>2.0476519838268301E-2</v>
      </c>
      <c r="P16" s="1">
        <v>3.9531601735941703E-2</v>
      </c>
    </row>
    <row r="17" spans="1:16" x14ac:dyDescent="0.2">
      <c r="A17" s="7">
        <v>14</v>
      </c>
      <c r="B17" s="4">
        <v>0.79919980903478105</v>
      </c>
      <c r="C17" s="4">
        <v>0.47900840229623637</v>
      </c>
      <c r="D17" s="4">
        <v>0.3193389348641576</v>
      </c>
      <c r="E17" s="4">
        <v>0.100951466913132</v>
      </c>
      <c r="F17" s="4">
        <v>4.0080201390122597E-2</v>
      </c>
      <c r="G17" s="4">
        <v>2.0283081093618101E-2</v>
      </c>
      <c r="H17" s="4">
        <v>3.9485441568345402E-2</v>
      </c>
      <c r="I17" s="4">
        <v>0.2</v>
      </c>
      <c r="K17" s="1">
        <v>14</v>
      </c>
      <c r="L17" s="1">
        <v>0.79919980903478105</v>
      </c>
      <c r="M17" s="1">
        <v>0.100951466913132</v>
      </c>
      <c r="N17" s="1">
        <v>4.0080201390122597E-2</v>
      </c>
      <c r="O17" s="1">
        <v>2.0283081093618101E-2</v>
      </c>
      <c r="P17" s="1">
        <v>3.9485441568345402E-2</v>
      </c>
    </row>
    <row r="18" spans="1:16" x14ac:dyDescent="0.2">
      <c r="A18" s="7">
        <v>15</v>
      </c>
      <c r="B18" s="4">
        <v>0.79999613293307603</v>
      </c>
      <c r="C18" s="4">
        <v>0.48006717023100243</v>
      </c>
      <c r="D18" s="4">
        <v>0.32004478015400162</v>
      </c>
      <c r="E18" s="4">
        <v>0.100433658178836</v>
      </c>
      <c r="F18" s="4">
        <v>3.98998069222622E-2</v>
      </c>
      <c r="G18" s="4">
        <v>2.0129031939056598E-2</v>
      </c>
      <c r="H18" s="4">
        <v>3.9541370026768101E-2</v>
      </c>
      <c r="I18" s="4">
        <v>0.2</v>
      </c>
      <c r="K18" s="1">
        <v>15</v>
      </c>
      <c r="L18" s="1">
        <v>0.79999613293307603</v>
      </c>
      <c r="M18" s="1">
        <v>0.100433658178836</v>
      </c>
      <c r="N18" s="1">
        <v>3.98998069222622E-2</v>
      </c>
      <c r="O18" s="1">
        <v>2.0129031939056598E-2</v>
      </c>
      <c r="P18" s="1">
        <v>3.9541370026768101E-2</v>
      </c>
    </row>
    <row r="19" spans="1:16" x14ac:dyDescent="0.2">
      <c r="A19" s="7">
        <v>16</v>
      </c>
      <c r="B19" s="4">
        <v>0.80039806049784301</v>
      </c>
      <c r="C19" s="4">
        <v>0.48054298340907481</v>
      </c>
      <c r="D19" s="4">
        <v>0.32036198893938322</v>
      </c>
      <c r="E19" s="4">
        <v>0.10015861750112399</v>
      </c>
      <c r="F19" s="4">
        <v>3.9810732390073003E-2</v>
      </c>
      <c r="G19" s="4">
        <v>2.0020134529521501E-2</v>
      </c>
      <c r="H19" s="4">
        <v>3.9612455081437903E-2</v>
      </c>
      <c r="I19" s="4">
        <v>0.2</v>
      </c>
      <c r="K19" s="1">
        <v>16</v>
      </c>
      <c r="L19" s="1">
        <v>0.80039806049784301</v>
      </c>
      <c r="M19" s="1">
        <v>0.10015861750112399</v>
      </c>
      <c r="N19" s="1">
        <v>3.9810732390073003E-2</v>
      </c>
      <c r="O19" s="1">
        <v>2.0020134529521501E-2</v>
      </c>
      <c r="P19" s="1">
        <v>3.9612455081437903E-2</v>
      </c>
    </row>
    <row r="20" spans="1:16" x14ac:dyDescent="0.2">
      <c r="A20" s="7">
        <v>17</v>
      </c>
      <c r="B20" s="4">
        <v>0.80048795870878098</v>
      </c>
      <c r="C20" s="4">
        <v>0.48061316101592333</v>
      </c>
      <c r="D20" s="4">
        <v>0.32040877401061563</v>
      </c>
      <c r="E20" s="4">
        <v>0.100081950296793</v>
      </c>
      <c r="F20" s="4">
        <v>3.97942692988872E-2</v>
      </c>
      <c r="G20" s="4">
        <v>1.9957799952439698E-2</v>
      </c>
      <c r="H20" s="4">
        <v>3.9678021743098001E-2</v>
      </c>
      <c r="I20" s="4">
        <v>0.2</v>
      </c>
      <c r="K20" s="1">
        <v>17</v>
      </c>
      <c r="L20" s="1">
        <v>0.80048795870878098</v>
      </c>
      <c r="M20" s="1">
        <v>0.100081950296793</v>
      </c>
      <c r="N20" s="1">
        <v>3.97942692988872E-2</v>
      </c>
      <c r="O20" s="1">
        <v>1.9957799952439698E-2</v>
      </c>
      <c r="P20" s="1">
        <v>3.9678021743098001E-2</v>
      </c>
    </row>
    <row r="21" spans="1:16" x14ac:dyDescent="0.2">
      <c r="A21" s="7">
        <v>18</v>
      </c>
      <c r="B21" s="4">
        <v>0.80047724684029398</v>
      </c>
      <c r="C21" s="4">
        <v>0.48051878740322695</v>
      </c>
      <c r="D21" s="4">
        <v>0.32034585826881801</v>
      </c>
      <c r="E21" s="4">
        <v>0.10008658070937</v>
      </c>
      <c r="F21" s="4">
        <v>3.9803557340592099E-2</v>
      </c>
      <c r="G21" s="4">
        <v>1.9924135005412201E-2</v>
      </c>
      <c r="H21" s="4">
        <v>3.9708480104330597E-2</v>
      </c>
      <c r="I21" s="4">
        <v>0.2</v>
      </c>
      <c r="K21" s="1">
        <v>18</v>
      </c>
      <c r="L21" s="1">
        <v>0.80047724684029398</v>
      </c>
      <c r="M21" s="1">
        <v>0.10008658070937</v>
      </c>
      <c r="N21" s="1">
        <v>3.9803557340592099E-2</v>
      </c>
      <c r="O21" s="1">
        <v>1.9924135005412201E-2</v>
      </c>
      <c r="P21" s="1">
        <v>3.9708480104330597E-2</v>
      </c>
    </row>
    <row r="22" spans="1:16" x14ac:dyDescent="0.2">
      <c r="A22" s="7">
        <v>19</v>
      </c>
      <c r="B22" s="4">
        <v>0.80031356589316105</v>
      </c>
      <c r="C22" s="4">
        <v>0.48030734164977773</v>
      </c>
      <c r="D22" s="4">
        <v>0.32020489443318523</v>
      </c>
      <c r="E22" s="4">
        <v>0.100183879956384</v>
      </c>
      <c r="F22" s="4">
        <v>3.9844751689357701E-2</v>
      </c>
      <c r="G22" s="4">
        <v>1.9923417814953E-2</v>
      </c>
      <c r="H22" s="4">
        <v>3.9734384646142401E-2</v>
      </c>
      <c r="I22" s="4">
        <v>0.2</v>
      </c>
      <c r="K22" s="1">
        <v>19</v>
      </c>
      <c r="L22" s="1">
        <v>0.80031356589316105</v>
      </c>
      <c r="M22" s="1">
        <v>0.100183879956384</v>
      </c>
      <c r="N22" s="1">
        <v>3.9844751689357701E-2</v>
      </c>
      <c r="O22" s="1">
        <v>1.9923417814953E-2</v>
      </c>
      <c r="P22" s="1">
        <v>3.9734384646142401E-2</v>
      </c>
    </row>
    <row r="39" spans="1:6" ht="68" x14ac:dyDescent="0.2">
      <c r="B39" s="8" t="s">
        <v>14</v>
      </c>
      <c r="C39" s="2" t="s">
        <v>13</v>
      </c>
    </row>
    <row r="41" spans="1:6" x14ac:dyDescent="0.2">
      <c r="B41" s="2" t="s">
        <v>5</v>
      </c>
      <c r="C41" s="2" t="s">
        <v>6</v>
      </c>
      <c r="D41" s="2" t="s">
        <v>7</v>
      </c>
      <c r="E41" s="2" t="s">
        <v>8</v>
      </c>
      <c r="F41" s="2" t="s">
        <v>12</v>
      </c>
    </row>
    <row r="42" spans="1:6" x14ac:dyDescent="0.2">
      <c r="A42" s="1">
        <v>0</v>
      </c>
      <c r="B42" s="3">
        <v>2.3916625976562501E-2</v>
      </c>
      <c r="C42" s="3">
        <v>9.4177246093750007E-3</v>
      </c>
      <c r="D42" s="3">
        <v>4.0344238281249997E-3</v>
      </c>
      <c r="E42" s="3">
        <v>1.4416503906249999E-2</v>
      </c>
      <c r="F42" s="3">
        <f>SUM(B42:E42)</f>
        <v>5.1785278320312503E-2</v>
      </c>
    </row>
    <row r="43" spans="1:6" x14ac:dyDescent="0.2">
      <c r="A43" s="1">
        <v>1</v>
      </c>
      <c r="B43" s="3">
        <v>2.3916625976562501E-2</v>
      </c>
      <c r="C43" s="3">
        <v>9.4177246093750007E-3</v>
      </c>
      <c r="D43" s="3">
        <v>4.0344238281249997E-3</v>
      </c>
      <c r="E43" s="3">
        <v>1.4416503906249999E-2</v>
      </c>
      <c r="F43" s="3">
        <f t="shared" ref="F43:F61" si="0">SUM(B43:E43)</f>
        <v>5.1785278320312503E-2</v>
      </c>
    </row>
    <row r="44" spans="1:6" x14ac:dyDescent="0.2">
      <c r="A44" s="1">
        <v>2</v>
      </c>
      <c r="B44" s="3">
        <v>2.3916625976562501E-2</v>
      </c>
      <c r="C44" s="3">
        <v>9.4177246093750007E-3</v>
      </c>
      <c r="D44" s="3">
        <v>4.0344238281249997E-3</v>
      </c>
      <c r="E44" s="3">
        <v>1.4416503906249999E-2</v>
      </c>
      <c r="F44" s="3">
        <f t="shared" si="0"/>
        <v>5.1785278320312503E-2</v>
      </c>
    </row>
    <row r="45" spans="1:6" x14ac:dyDescent="0.2">
      <c r="A45" s="1">
        <v>3</v>
      </c>
      <c r="B45" s="3">
        <v>2.3916625976562501E-2</v>
      </c>
      <c r="C45" s="3">
        <v>9.4177246093750007E-3</v>
      </c>
      <c r="D45" s="3">
        <v>4.0344238281249997E-3</v>
      </c>
      <c r="E45" s="3">
        <v>1.4416503906249999E-2</v>
      </c>
      <c r="F45" s="3">
        <f t="shared" si="0"/>
        <v>5.1785278320312503E-2</v>
      </c>
    </row>
    <row r="46" spans="1:6" x14ac:dyDescent="0.2">
      <c r="A46" s="1">
        <v>4</v>
      </c>
      <c r="B46" s="3">
        <v>2.3916625976562501E-2</v>
      </c>
      <c r="C46" s="3">
        <v>9.4177246093750007E-3</v>
      </c>
      <c r="D46" s="3">
        <v>4.0344238281249997E-3</v>
      </c>
      <c r="E46" s="3">
        <v>1.4416503906249999E-2</v>
      </c>
      <c r="F46" s="3">
        <f t="shared" si="0"/>
        <v>5.1785278320312503E-2</v>
      </c>
    </row>
    <row r="47" spans="1:6" x14ac:dyDescent="0.2">
      <c r="A47" s="1">
        <v>5</v>
      </c>
      <c r="B47" s="3">
        <v>2.3916625976562501E-2</v>
      </c>
      <c r="C47" s="3">
        <v>9.4177246093750007E-3</v>
      </c>
      <c r="D47" s="3">
        <v>4.0344238281249997E-3</v>
      </c>
      <c r="E47" s="3">
        <v>1.4416503906249999E-2</v>
      </c>
      <c r="F47" s="3">
        <f t="shared" si="0"/>
        <v>5.1785278320312503E-2</v>
      </c>
    </row>
    <row r="48" spans="1:6" x14ac:dyDescent="0.2">
      <c r="A48" s="1">
        <v>6</v>
      </c>
      <c r="B48" s="3">
        <v>2.3916625976562501E-2</v>
      </c>
      <c r="C48" s="3">
        <v>9.4177246093750007E-3</v>
      </c>
      <c r="D48" s="3">
        <v>4.0344238281249997E-3</v>
      </c>
      <c r="E48" s="3">
        <v>1.4416503906249999E-2</v>
      </c>
      <c r="F48" s="3">
        <f t="shared" si="0"/>
        <v>5.1785278320312503E-2</v>
      </c>
    </row>
    <row r="49" spans="1:6" x14ac:dyDescent="0.2">
      <c r="A49" s="1">
        <v>7</v>
      </c>
      <c r="B49" s="3">
        <v>2.3916625976562501E-2</v>
      </c>
      <c r="C49" s="3">
        <v>9.4177246093750007E-3</v>
      </c>
      <c r="D49" s="3">
        <v>4.0344238281249997E-3</v>
      </c>
      <c r="E49" s="3">
        <v>1.4416503906249999E-2</v>
      </c>
      <c r="F49" s="3">
        <f t="shared" si="0"/>
        <v>5.1785278320312503E-2</v>
      </c>
    </row>
    <row r="50" spans="1:6" x14ac:dyDescent="0.2">
      <c r="A50" s="1">
        <v>8</v>
      </c>
      <c r="B50" s="3">
        <v>2.3916625976562501E-2</v>
      </c>
      <c r="C50" s="3">
        <v>9.4177246093750007E-3</v>
      </c>
      <c r="D50" s="3">
        <v>4.0344238281249997E-3</v>
      </c>
      <c r="E50" s="3">
        <v>1.4416503906249999E-2</v>
      </c>
      <c r="F50" s="3">
        <f t="shared" si="0"/>
        <v>5.1785278320312503E-2</v>
      </c>
    </row>
    <row r="51" spans="1:6" x14ac:dyDescent="0.2">
      <c r="A51" s="1">
        <v>9</v>
      </c>
      <c r="B51" s="3">
        <v>2.3916625976562501E-2</v>
      </c>
      <c r="C51" s="3">
        <v>9.4177246093750007E-3</v>
      </c>
      <c r="D51" s="3">
        <v>4.0344238281249997E-3</v>
      </c>
      <c r="E51" s="3">
        <v>1.4416503906249999E-2</v>
      </c>
      <c r="F51" s="3">
        <f t="shared" si="0"/>
        <v>5.1785278320312503E-2</v>
      </c>
    </row>
    <row r="52" spans="1:6" x14ac:dyDescent="0.2">
      <c r="A52" s="1">
        <v>10</v>
      </c>
      <c r="B52" s="3">
        <v>2.3916625976562501E-2</v>
      </c>
      <c r="C52" s="3">
        <v>9.4177246093750007E-3</v>
      </c>
      <c r="D52" s="3">
        <v>4.0344238281249997E-3</v>
      </c>
      <c r="E52" s="3">
        <v>1.4416503906249999E-2</v>
      </c>
      <c r="F52" s="3">
        <f t="shared" si="0"/>
        <v>5.1785278320312503E-2</v>
      </c>
    </row>
    <row r="53" spans="1:6" x14ac:dyDescent="0.2">
      <c r="A53" s="1">
        <v>11</v>
      </c>
      <c r="B53" s="3">
        <v>2.3916625976562501E-2</v>
      </c>
      <c r="C53" s="3">
        <v>9.4177246093750007E-3</v>
      </c>
      <c r="D53" s="3">
        <v>4.0344238281249997E-3</v>
      </c>
      <c r="E53" s="3">
        <v>1.4416503906249999E-2</v>
      </c>
      <c r="F53" s="3">
        <f t="shared" si="0"/>
        <v>5.1785278320312503E-2</v>
      </c>
    </row>
    <row r="54" spans="1:6" x14ac:dyDescent="0.2">
      <c r="A54" s="1">
        <v>12</v>
      </c>
      <c r="B54" s="3">
        <v>2.3916625976562501E-2</v>
      </c>
      <c r="C54" s="3">
        <v>9.4177246093750007E-3</v>
      </c>
      <c r="D54" s="3">
        <v>4.0344238281249997E-3</v>
      </c>
      <c r="E54" s="3">
        <v>1.4416503906249999E-2</v>
      </c>
      <c r="F54" s="3">
        <f t="shared" si="0"/>
        <v>5.1785278320312503E-2</v>
      </c>
    </row>
    <row r="55" spans="1:6" x14ac:dyDescent="0.2">
      <c r="A55" s="1">
        <v>13</v>
      </c>
      <c r="B55" s="3">
        <v>2.3916625976562501E-2</v>
      </c>
      <c r="C55" s="3">
        <v>9.4177246093750007E-3</v>
      </c>
      <c r="D55" s="3">
        <v>4.0344238281249997E-3</v>
      </c>
      <c r="E55" s="3">
        <v>1.4416503906249999E-2</v>
      </c>
      <c r="F55" s="3">
        <f t="shared" si="0"/>
        <v>5.1785278320312503E-2</v>
      </c>
    </row>
    <row r="56" spans="1:6" x14ac:dyDescent="0.2">
      <c r="A56" s="1">
        <v>14</v>
      </c>
      <c r="B56" s="3">
        <v>2.3916625976562501E-2</v>
      </c>
      <c r="C56" s="3">
        <v>9.4177246093750007E-3</v>
      </c>
      <c r="D56" s="3">
        <v>4.0344238281249997E-3</v>
      </c>
      <c r="E56" s="3">
        <v>1.4416503906249999E-2</v>
      </c>
      <c r="F56" s="3">
        <f t="shared" si="0"/>
        <v>5.1785278320312503E-2</v>
      </c>
    </row>
    <row r="57" spans="1:6" x14ac:dyDescent="0.2">
      <c r="A57" s="1">
        <v>15</v>
      </c>
      <c r="B57" s="3">
        <v>2.3916625976562501E-2</v>
      </c>
      <c r="C57" s="3">
        <v>9.4177246093750007E-3</v>
      </c>
      <c r="D57" s="3">
        <v>4.0344238281249997E-3</v>
      </c>
      <c r="E57" s="3">
        <v>1.4416503906249999E-2</v>
      </c>
      <c r="F57" s="3">
        <f t="shared" si="0"/>
        <v>5.1785278320312503E-2</v>
      </c>
    </row>
    <row r="58" spans="1:6" x14ac:dyDescent="0.2">
      <c r="A58" s="1">
        <v>16</v>
      </c>
      <c r="B58" s="3">
        <v>2.3916625976562501E-2</v>
      </c>
      <c r="C58" s="3">
        <v>9.4177246093750007E-3</v>
      </c>
      <c r="D58" s="3">
        <v>4.0344238281249997E-3</v>
      </c>
      <c r="E58" s="3">
        <v>1.4416503906249999E-2</v>
      </c>
      <c r="F58" s="3">
        <f t="shared" si="0"/>
        <v>5.1785278320312503E-2</v>
      </c>
    </row>
    <row r="59" spans="1:6" x14ac:dyDescent="0.2">
      <c r="A59" s="1">
        <v>17</v>
      </c>
      <c r="B59" s="3">
        <v>2.3916625976562501E-2</v>
      </c>
      <c r="C59" s="3">
        <v>9.4177246093750007E-3</v>
      </c>
      <c r="D59" s="3">
        <v>4.0344238281249997E-3</v>
      </c>
      <c r="E59" s="3">
        <v>1.4416503906249999E-2</v>
      </c>
      <c r="F59" s="3">
        <f t="shared" si="0"/>
        <v>5.1785278320312503E-2</v>
      </c>
    </row>
    <row r="60" spans="1:6" x14ac:dyDescent="0.2">
      <c r="A60" s="1">
        <v>18</v>
      </c>
      <c r="B60" s="3">
        <v>2.3916625976562501E-2</v>
      </c>
      <c r="C60" s="3">
        <v>9.4177246093750007E-3</v>
      </c>
      <c r="D60" s="3">
        <v>4.0344238281249997E-3</v>
      </c>
      <c r="E60" s="3">
        <v>1.4416503906249999E-2</v>
      </c>
      <c r="F60" s="3">
        <f t="shared" si="0"/>
        <v>5.1785278320312503E-2</v>
      </c>
    </row>
    <row r="61" spans="1:6" x14ac:dyDescent="0.2">
      <c r="A61" s="1">
        <v>19</v>
      </c>
      <c r="B61" s="3">
        <v>2.3916625976562501E-2</v>
      </c>
      <c r="C61" s="3">
        <v>9.4177246093750007E-3</v>
      </c>
      <c r="D61" s="3">
        <v>4.0344238281249997E-3</v>
      </c>
      <c r="E61" s="3">
        <v>1.4416503906249999E-2</v>
      </c>
      <c r="F61" s="3">
        <f t="shared" si="0"/>
        <v>5.1785278320312503E-2</v>
      </c>
    </row>
    <row r="67" spans="1:5" x14ac:dyDescent="0.2">
      <c r="B67" s="2" t="s">
        <v>1</v>
      </c>
      <c r="C67" s="2" t="s">
        <v>2</v>
      </c>
      <c r="D67" s="2" t="s">
        <v>3</v>
      </c>
      <c r="E67" s="2" t="s">
        <v>4</v>
      </c>
    </row>
    <row r="68" spans="1:5" x14ac:dyDescent="0.2">
      <c r="A68" s="1">
        <v>0</v>
      </c>
      <c r="B68" s="2">
        <v>2.3916625976562501E-2</v>
      </c>
      <c r="C68" s="2">
        <v>9.4177246093750007E-3</v>
      </c>
      <c r="D68" s="2">
        <v>4.0344238281249997E-3</v>
      </c>
      <c r="E68" s="2">
        <v>1.4416503906249999E-2</v>
      </c>
    </row>
    <row r="69" spans="1:5" x14ac:dyDescent="0.2">
      <c r="A69" s="1">
        <v>1</v>
      </c>
      <c r="B69" s="2">
        <v>2.3916625976562501E-2</v>
      </c>
      <c r="C69" s="2">
        <v>9.4177246093750007E-3</v>
      </c>
      <c r="D69" s="2">
        <v>4.0344238281249997E-3</v>
      </c>
      <c r="E69" s="2">
        <v>1.4416503906249999E-2</v>
      </c>
    </row>
    <row r="70" spans="1:5" x14ac:dyDescent="0.2">
      <c r="A70" s="1">
        <v>2</v>
      </c>
      <c r="B70" s="2">
        <v>2.3916625976562501E-2</v>
      </c>
      <c r="C70" s="2">
        <v>9.4177246093750007E-3</v>
      </c>
      <c r="D70" s="2">
        <v>4.0344238281249997E-3</v>
      </c>
      <c r="E70" s="2">
        <v>1.4416503906249999E-2</v>
      </c>
    </row>
    <row r="71" spans="1:5" x14ac:dyDescent="0.2">
      <c r="A71" s="1">
        <v>3</v>
      </c>
      <c r="B71" s="2">
        <v>2.3916625976562501E-2</v>
      </c>
      <c r="C71" s="2">
        <v>9.4177246093750007E-3</v>
      </c>
      <c r="D71" s="2">
        <v>4.0344238281249997E-3</v>
      </c>
      <c r="E71" s="2">
        <v>1.4416503906249999E-2</v>
      </c>
    </row>
    <row r="72" spans="1:5" x14ac:dyDescent="0.2">
      <c r="A72" s="1">
        <v>4</v>
      </c>
      <c r="B72" s="2">
        <v>2.3916625976562501E-2</v>
      </c>
      <c r="C72" s="2">
        <v>9.4177246093750007E-3</v>
      </c>
      <c r="D72" s="2">
        <v>4.0344238281249997E-3</v>
      </c>
      <c r="E72" s="2">
        <v>1.4416503906249999E-2</v>
      </c>
    </row>
    <row r="73" spans="1:5" x14ac:dyDescent="0.2">
      <c r="A73" s="1">
        <v>5</v>
      </c>
      <c r="B73" s="2">
        <v>2.3916625976562501E-2</v>
      </c>
      <c r="C73" s="2">
        <v>9.4177246093750007E-3</v>
      </c>
      <c r="D73" s="2">
        <v>4.0344238281249997E-3</v>
      </c>
      <c r="E73" s="2">
        <v>1.4416503906249999E-2</v>
      </c>
    </row>
    <row r="74" spans="1:5" x14ac:dyDescent="0.2">
      <c r="A74" s="1">
        <v>6</v>
      </c>
      <c r="B74" s="2">
        <v>2.3916625976562501E-2</v>
      </c>
      <c r="C74" s="2">
        <v>9.4177246093750007E-3</v>
      </c>
      <c r="D74" s="2">
        <v>4.0344238281249997E-3</v>
      </c>
      <c r="E74" s="2">
        <v>1.4416503906249999E-2</v>
      </c>
    </row>
    <row r="75" spans="1:5" x14ac:dyDescent="0.2">
      <c r="A75" s="1">
        <v>7</v>
      </c>
      <c r="B75" s="2">
        <v>2.3916625976562501E-2</v>
      </c>
      <c r="C75" s="2">
        <v>9.4177246093750007E-3</v>
      </c>
      <c r="D75" s="2">
        <v>4.0344238281249997E-3</v>
      </c>
      <c r="E75" s="2">
        <v>1.4416503906249999E-2</v>
      </c>
    </row>
    <row r="76" spans="1:5" x14ac:dyDescent="0.2">
      <c r="A76" s="1">
        <v>8</v>
      </c>
      <c r="B76" s="2">
        <v>2.3916625976562501E-2</v>
      </c>
      <c r="C76" s="2">
        <v>9.4177246093750007E-3</v>
      </c>
      <c r="D76" s="2">
        <v>4.0344238281249997E-3</v>
      </c>
      <c r="E76" s="2">
        <v>1.4416503906249999E-2</v>
      </c>
    </row>
    <row r="77" spans="1:5" x14ac:dyDescent="0.2">
      <c r="A77" s="1">
        <v>9</v>
      </c>
      <c r="B77" s="2">
        <v>2.3916625976562501E-2</v>
      </c>
      <c r="C77" s="2">
        <v>9.4177246093750007E-3</v>
      </c>
      <c r="D77" s="2">
        <v>4.0344238281249997E-3</v>
      </c>
      <c r="E77" s="2">
        <v>1.4416503906249999E-2</v>
      </c>
    </row>
    <row r="78" spans="1:5" x14ac:dyDescent="0.2">
      <c r="A78" s="1">
        <v>10</v>
      </c>
      <c r="B78" s="2">
        <v>2.3916625976562501E-2</v>
      </c>
      <c r="C78" s="2">
        <v>9.4177246093750007E-3</v>
      </c>
      <c r="D78" s="2">
        <v>4.0344238281249997E-3</v>
      </c>
      <c r="E78" s="2">
        <v>1.4416503906249999E-2</v>
      </c>
    </row>
    <row r="79" spans="1:5" x14ac:dyDescent="0.2">
      <c r="A79" s="1">
        <v>11</v>
      </c>
      <c r="B79" s="2">
        <v>2.3916625976562501E-2</v>
      </c>
      <c r="C79" s="2">
        <v>9.4177246093750007E-3</v>
      </c>
      <c r="D79" s="2">
        <v>4.0344238281249997E-3</v>
      </c>
      <c r="E79" s="2">
        <v>1.4416503906249999E-2</v>
      </c>
    </row>
    <row r="80" spans="1:5" x14ac:dyDescent="0.2">
      <c r="A80" s="1">
        <v>12</v>
      </c>
      <c r="B80" s="2">
        <v>2.3916625976562501E-2</v>
      </c>
      <c r="C80" s="2">
        <v>9.4177246093750007E-3</v>
      </c>
      <c r="D80" s="2">
        <v>4.0344238281249997E-3</v>
      </c>
      <c r="E80" s="2">
        <v>1.4416503906249999E-2</v>
      </c>
    </row>
    <row r="81" spans="1:5" x14ac:dyDescent="0.2">
      <c r="A81" s="1">
        <v>13</v>
      </c>
      <c r="B81" s="2">
        <v>2.3916625976562501E-2</v>
      </c>
      <c r="C81" s="2">
        <v>9.4177246093750007E-3</v>
      </c>
      <c r="D81" s="2">
        <v>4.0344238281249997E-3</v>
      </c>
      <c r="E81" s="2">
        <v>1.4416503906249999E-2</v>
      </c>
    </row>
    <row r="82" spans="1:5" x14ac:dyDescent="0.2">
      <c r="A82" s="1">
        <v>14</v>
      </c>
      <c r="B82" s="2">
        <v>2.3916625976562501E-2</v>
      </c>
      <c r="C82" s="2">
        <v>9.4177246093750007E-3</v>
      </c>
      <c r="D82" s="2">
        <v>4.0344238281249997E-3</v>
      </c>
      <c r="E82" s="2">
        <v>1.4416503906249999E-2</v>
      </c>
    </row>
    <row r="83" spans="1:5" x14ac:dyDescent="0.2">
      <c r="A83" s="1">
        <v>15</v>
      </c>
      <c r="B83" s="2">
        <v>2.3916625976562501E-2</v>
      </c>
      <c r="C83" s="2">
        <v>9.4177246093750007E-3</v>
      </c>
      <c r="D83" s="2">
        <v>4.0344238281249997E-3</v>
      </c>
      <c r="E83" s="2">
        <v>1.4416503906249999E-2</v>
      </c>
    </row>
    <row r="84" spans="1:5" x14ac:dyDescent="0.2">
      <c r="A84" s="1">
        <v>16</v>
      </c>
      <c r="B84" s="2">
        <v>2.3916625976562501E-2</v>
      </c>
      <c r="C84" s="2">
        <v>9.4177246093750007E-3</v>
      </c>
      <c r="D84" s="2">
        <v>4.0344238281249997E-3</v>
      </c>
      <c r="E84" s="2">
        <v>1.4416503906249999E-2</v>
      </c>
    </row>
    <row r="85" spans="1:5" x14ac:dyDescent="0.2">
      <c r="A85" s="1">
        <v>17</v>
      </c>
      <c r="B85" s="2">
        <v>2.3916625976562501E-2</v>
      </c>
      <c r="C85" s="2">
        <v>9.4177246093750007E-3</v>
      </c>
      <c r="D85" s="2">
        <v>4.0344238281249997E-3</v>
      </c>
      <c r="E85" s="2">
        <v>1.4416503906249999E-2</v>
      </c>
    </row>
    <row r="86" spans="1:5" x14ac:dyDescent="0.2">
      <c r="A86" s="1">
        <v>18</v>
      </c>
      <c r="B86" s="2">
        <v>2.3916625976562501E-2</v>
      </c>
      <c r="C86" s="2">
        <v>9.4177246093750007E-3</v>
      </c>
      <c r="D86" s="2">
        <v>4.0344238281249997E-3</v>
      </c>
      <c r="E86" s="2">
        <v>1.4416503906249999E-2</v>
      </c>
    </row>
    <row r="87" spans="1:5" x14ac:dyDescent="0.2">
      <c r="A87" s="1">
        <v>19</v>
      </c>
      <c r="B87" s="2">
        <v>2.3916625976562501E-2</v>
      </c>
      <c r="C87" s="2">
        <v>9.4177246093750007E-3</v>
      </c>
      <c r="D87" s="2">
        <v>4.0344238281249997E-3</v>
      </c>
      <c r="E87" s="2">
        <v>1.4416503906249999E-2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8B60E-C37E-4C47-9128-A3AA854415E4}">
  <dimension ref="A1:Q23"/>
  <sheetViews>
    <sheetView topLeftCell="A9" zoomScale="76" zoomScaleNormal="76" workbookViewId="0">
      <selection activeCell="F27" sqref="F27"/>
    </sheetView>
  </sheetViews>
  <sheetFormatPr baseColWidth="10" defaultRowHeight="16" x14ac:dyDescent="0.2"/>
  <cols>
    <col min="1" max="16384" width="10.83203125" style="1"/>
  </cols>
  <sheetData>
    <row r="1" spans="1:17" ht="68" x14ac:dyDescent="0.2">
      <c r="B1" s="8" t="s">
        <v>14</v>
      </c>
      <c r="C1" s="2" t="s">
        <v>13</v>
      </c>
      <c r="D1" s="2"/>
      <c r="E1" s="2"/>
      <c r="F1" s="2"/>
      <c r="M1" s="8" t="s">
        <v>14</v>
      </c>
      <c r="N1" s="2" t="s">
        <v>13</v>
      </c>
      <c r="O1" s="2"/>
      <c r="P1" s="2"/>
      <c r="Q1" s="2"/>
    </row>
    <row r="2" spans="1:17" x14ac:dyDescent="0.2">
      <c r="B2" s="2"/>
      <c r="C2" s="2"/>
      <c r="D2" s="2"/>
      <c r="E2" s="2"/>
      <c r="F2" s="2"/>
      <c r="M2" s="2"/>
      <c r="N2" s="2"/>
      <c r="O2" s="2"/>
      <c r="P2" s="2"/>
      <c r="Q2" s="2"/>
    </row>
    <row r="3" spans="1:17" x14ac:dyDescent="0.2">
      <c r="B3" s="2" t="s">
        <v>5</v>
      </c>
      <c r="C3" s="2" t="s">
        <v>6</v>
      </c>
      <c r="D3" s="2" t="s">
        <v>7</v>
      </c>
      <c r="E3" s="2" t="s">
        <v>8</v>
      </c>
      <c r="F3" s="2" t="s">
        <v>12</v>
      </c>
      <c r="H3" s="1">
        <v>0</v>
      </c>
      <c r="I3" s="1">
        <v>1</v>
      </c>
      <c r="M3" s="2" t="s">
        <v>5</v>
      </c>
      <c r="N3" s="2" t="s">
        <v>6</v>
      </c>
      <c r="O3" s="2" t="s">
        <v>7</v>
      </c>
      <c r="P3" s="2" t="s">
        <v>8</v>
      </c>
      <c r="Q3" s="2" t="s">
        <v>12</v>
      </c>
    </row>
    <row r="4" spans="1:17" x14ac:dyDescent="0.2">
      <c r="A4" s="1">
        <v>0</v>
      </c>
      <c r="B4" s="3">
        <v>2.3916625976562501E-2</v>
      </c>
      <c r="C4" s="3">
        <v>9.4177246093750007E-3</v>
      </c>
      <c r="D4" s="3">
        <v>4.0344238281249997E-3</v>
      </c>
      <c r="E4" s="3">
        <v>1.4416503906249999E-2</v>
      </c>
      <c r="F4" s="3">
        <f>SUM(B4:E4)</f>
        <v>5.1785278320312503E-2</v>
      </c>
      <c r="G4" s="1">
        <v>0</v>
      </c>
      <c r="H4" s="1">
        <v>50</v>
      </c>
      <c r="I4" s="1">
        <v>50</v>
      </c>
      <c r="J4" s="1">
        <f>SUM(H4:I4)</f>
        <v>100</v>
      </c>
      <c r="L4" s="1">
        <v>0</v>
      </c>
      <c r="M4" s="9">
        <f>$J4*B4</f>
        <v>2.39166259765625</v>
      </c>
      <c r="N4" s="9">
        <f t="shared" ref="N4:Q4" si="0">$J4*C4</f>
        <v>0.94177246093750011</v>
      </c>
      <c r="O4" s="9">
        <f t="shared" si="0"/>
        <v>0.40344238281249994</v>
      </c>
      <c r="P4" s="9">
        <f t="shared" si="0"/>
        <v>1.441650390625</v>
      </c>
      <c r="Q4" s="9">
        <f t="shared" si="0"/>
        <v>5.17852783203125</v>
      </c>
    </row>
    <row r="5" spans="1:17" x14ac:dyDescent="0.2">
      <c r="A5" s="1">
        <v>1</v>
      </c>
      <c r="B5" s="3">
        <v>2.3916625976562501E-2</v>
      </c>
      <c r="C5" s="3">
        <v>9.4177246093750007E-3</v>
      </c>
      <c r="D5" s="3">
        <v>4.0344238281249997E-3</v>
      </c>
      <c r="E5" s="3">
        <v>1.4416503906249999E-2</v>
      </c>
      <c r="F5" s="3">
        <f t="shared" ref="F5:F23" si="1">SUM(B5:E5)</f>
        <v>5.1785278320312503E-2</v>
      </c>
      <c r="G5" s="1">
        <v>1</v>
      </c>
      <c r="H5" s="1">
        <v>49.3925567626953</v>
      </c>
      <c r="I5" s="1">
        <v>49.3925567626953</v>
      </c>
      <c r="J5" s="1">
        <f t="shared" ref="J5:J23" si="2">SUM(H5:I5)</f>
        <v>98.785113525390599</v>
      </c>
      <c r="L5" s="1">
        <v>1</v>
      </c>
      <c r="M5" s="9">
        <f t="shared" ref="M5:M23" si="3">$J5*B5</f>
        <v>2.3626066122390323</v>
      </c>
      <c r="N5" s="9">
        <f t="shared" ref="N5:N23" si="4">$J5*C5</f>
        <v>0.93033099468797431</v>
      </c>
      <c r="O5" s="9">
        <f t="shared" ref="O5:O23" si="5">$J5*D5</f>
        <v>0.39854101587086904</v>
      </c>
      <c r="P5" s="9">
        <f t="shared" ref="P5:P23" si="6">$J5*E5</f>
        <v>1.4241359750181433</v>
      </c>
      <c r="Q5" s="9">
        <f t="shared" ref="Q5:Q23" si="7">$J5*F5</f>
        <v>5.1156145978160188</v>
      </c>
    </row>
    <row r="6" spans="1:17" x14ac:dyDescent="0.2">
      <c r="A6" s="1">
        <v>2</v>
      </c>
      <c r="B6" s="3">
        <v>2.3916625976562501E-2</v>
      </c>
      <c r="C6" s="3">
        <v>9.4177246093750007E-3</v>
      </c>
      <c r="D6" s="3">
        <v>4.0344238281249997E-3</v>
      </c>
      <c r="E6" s="3">
        <v>1.4416503906249999E-2</v>
      </c>
      <c r="F6" s="3">
        <f t="shared" si="1"/>
        <v>5.1785278320312503E-2</v>
      </c>
      <c r="G6" s="1">
        <v>2</v>
      </c>
      <c r="H6" s="1">
        <v>51.356410331264598</v>
      </c>
      <c r="I6" s="1">
        <v>51.356410331264598</v>
      </c>
      <c r="J6" s="1">
        <f t="shared" si="2"/>
        <v>102.7128206625292</v>
      </c>
      <c r="L6" s="1">
        <v>2</v>
      </c>
      <c r="M6" s="9">
        <f t="shared" si="3"/>
        <v>2.4565441147834512</v>
      </c>
      <c r="N6" s="9">
        <f t="shared" si="4"/>
        <v>0.96732105885182229</v>
      </c>
      <c r="O6" s="9">
        <f t="shared" si="5"/>
        <v>0.41438705113483759</v>
      </c>
      <c r="P6" s="9">
        <f t="shared" si="6"/>
        <v>1.4807597803033079</v>
      </c>
      <c r="Q6" s="9">
        <f t="shared" si="7"/>
        <v>5.3190120050734189</v>
      </c>
    </row>
    <row r="7" spans="1:17" x14ac:dyDescent="0.2">
      <c r="A7" s="1">
        <v>3</v>
      </c>
      <c r="B7" s="3">
        <v>2.3916625976562501E-2</v>
      </c>
      <c r="C7" s="3">
        <v>9.4177246093750007E-3</v>
      </c>
      <c r="D7" s="3">
        <v>4.0344238281249997E-3</v>
      </c>
      <c r="E7" s="3">
        <v>1.4416503906249999E-2</v>
      </c>
      <c r="F7" s="3">
        <f t="shared" si="1"/>
        <v>5.1785278320312503E-2</v>
      </c>
      <c r="G7" s="1">
        <v>3</v>
      </c>
      <c r="H7" s="1">
        <v>53.034496641826998</v>
      </c>
      <c r="I7" s="1">
        <v>53.034496641826998</v>
      </c>
      <c r="J7" s="1">
        <f t="shared" si="2"/>
        <v>106.068993283654</v>
      </c>
      <c r="L7" s="1">
        <v>3</v>
      </c>
      <c r="M7" s="9">
        <f t="shared" si="3"/>
        <v>2.5368124400756726</v>
      </c>
      <c r="N7" s="9">
        <f t="shared" si="4"/>
        <v>0.99892856833909993</v>
      </c>
      <c r="O7" s="9">
        <f t="shared" si="5"/>
        <v>0.42792727392880425</v>
      </c>
      <c r="P7" s="9">
        <f t="shared" si="6"/>
        <v>1.5291440560058027</v>
      </c>
      <c r="Q7" s="9">
        <f t="shared" si="7"/>
        <v>5.4928123383493794</v>
      </c>
    </row>
    <row r="8" spans="1:17" x14ac:dyDescent="0.2">
      <c r="A8" s="1">
        <v>4</v>
      </c>
      <c r="B8" s="3">
        <v>2.3916625976562501E-2</v>
      </c>
      <c r="C8" s="3">
        <v>9.4177246093750007E-3</v>
      </c>
      <c r="D8" s="3">
        <v>4.0344238281249997E-3</v>
      </c>
      <c r="E8" s="3">
        <v>1.4416503906249999E-2</v>
      </c>
      <c r="F8" s="3">
        <f t="shared" si="1"/>
        <v>5.1785278320312503E-2</v>
      </c>
      <c r="G8" s="1">
        <v>4</v>
      </c>
      <c r="H8" s="1">
        <v>54.659404711418901</v>
      </c>
      <c r="I8" s="1">
        <v>54.659404711418901</v>
      </c>
      <c r="J8" s="1">
        <f t="shared" si="2"/>
        <v>109.3188094228378</v>
      </c>
      <c r="L8" s="1">
        <v>4</v>
      </c>
      <c r="M8" s="9">
        <f t="shared" si="3"/>
        <v>2.6145370771691283</v>
      </c>
      <c r="N8" s="9">
        <f t="shared" si="4"/>
        <v>1.0295344417690353</v>
      </c>
      <c r="O8" s="9">
        <f t="shared" si="5"/>
        <v>0.44103840959775259</v>
      </c>
      <c r="P8" s="9">
        <f t="shared" si="6"/>
        <v>1.5759950430709404</v>
      </c>
      <c r="Q8" s="9">
        <f t="shared" si="7"/>
        <v>5.6611049716068562</v>
      </c>
    </row>
    <row r="9" spans="1:17" x14ac:dyDescent="0.2">
      <c r="A9" s="1">
        <v>5</v>
      </c>
      <c r="B9" s="3">
        <v>2.3916625976562501E-2</v>
      </c>
      <c r="C9" s="3">
        <v>9.4177246093750007E-3</v>
      </c>
      <c r="D9" s="3">
        <v>4.0344238281249997E-3</v>
      </c>
      <c r="E9" s="3">
        <v>1.4416503906249999E-2</v>
      </c>
      <c r="F9" s="3">
        <f t="shared" si="1"/>
        <v>5.1785278320312503E-2</v>
      </c>
      <c r="G9" s="1">
        <v>5</v>
      </c>
      <c r="H9" s="1">
        <v>56.567297112689999</v>
      </c>
      <c r="I9" s="1">
        <v>56.567297112689999</v>
      </c>
      <c r="J9" s="1">
        <f t="shared" si="2"/>
        <v>113.13459422538</v>
      </c>
      <c r="L9" s="1">
        <v>5</v>
      </c>
      <c r="M9" s="9">
        <f t="shared" si="3"/>
        <v>2.7057977750985813</v>
      </c>
      <c r="N9" s="9">
        <f t="shared" si="4"/>
        <v>1.0654704522080161</v>
      </c>
      <c r="O9" s="9">
        <f t="shared" si="5"/>
        <v>0.45643290272812603</v>
      </c>
      <c r="P9" s="9">
        <f t="shared" si="6"/>
        <v>1.6310053195821994</v>
      </c>
      <c r="Q9" s="9">
        <f t="shared" si="7"/>
        <v>5.858706449616923</v>
      </c>
    </row>
    <row r="10" spans="1:17" x14ac:dyDescent="0.2">
      <c r="A10" s="1">
        <v>6</v>
      </c>
      <c r="B10" s="3">
        <v>2.3916625976562501E-2</v>
      </c>
      <c r="C10" s="3">
        <v>9.4177246093750007E-3</v>
      </c>
      <c r="D10" s="3">
        <v>4.0344238281249997E-3</v>
      </c>
      <c r="E10" s="3">
        <v>1.4416503906249999E-2</v>
      </c>
      <c r="F10" s="3">
        <f t="shared" si="1"/>
        <v>5.1785278320312503E-2</v>
      </c>
      <c r="G10" s="1">
        <v>6</v>
      </c>
      <c r="H10" s="1">
        <v>58.663744490818999</v>
      </c>
      <c r="I10" s="1">
        <v>58.663744490818999</v>
      </c>
      <c r="J10" s="1">
        <f t="shared" si="2"/>
        <v>117.327488981638</v>
      </c>
      <c r="L10" s="1">
        <v>6</v>
      </c>
      <c r="M10" s="9">
        <f t="shared" si="3"/>
        <v>2.8060776707430941</v>
      </c>
      <c r="N10" s="9">
        <f t="shared" si="4"/>
        <v>1.1049579803385463</v>
      </c>
      <c r="O10" s="9">
        <f t="shared" si="5"/>
        <v>0.47334881724159367</v>
      </c>
      <c r="P10" s="9">
        <f t="shared" si="6"/>
        <v>1.691452203214288</v>
      </c>
      <c r="Q10" s="9">
        <f t="shared" si="7"/>
        <v>6.0758366715375223</v>
      </c>
    </row>
    <row r="11" spans="1:17" x14ac:dyDescent="0.2">
      <c r="A11" s="1">
        <v>7</v>
      </c>
      <c r="B11" s="3">
        <v>2.3916625976562501E-2</v>
      </c>
      <c r="C11" s="3">
        <v>9.4177246093750007E-3</v>
      </c>
      <c r="D11" s="3">
        <v>4.0344238281249997E-3</v>
      </c>
      <c r="E11" s="3">
        <v>1.4416503906249999E-2</v>
      </c>
      <c r="F11" s="3">
        <f t="shared" si="1"/>
        <v>5.1785278320312503E-2</v>
      </c>
      <c r="G11" s="1">
        <v>7</v>
      </c>
      <c r="H11" s="1">
        <v>60.873778125465897</v>
      </c>
      <c r="I11" s="1">
        <v>60.873778125465897</v>
      </c>
      <c r="J11" s="1">
        <f t="shared" si="2"/>
        <v>121.74755625093179</v>
      </c>
      <c r="L11" s="1">
        <v>7</v>
      </c>
      <c r="M11" s="9">
        <f t="shared" si="3"/>
        <v>2.9117907664140397</v>
      </c>
      <c r="N11" s="9">
        <f t="shared" si="4"/>
        <v>1.1465849566356676</v>
      </c>
      <c r="O11" s="9">
        <f t="shared" si="5"/>
        <v>0.49118124195474799</v>
      </c>
      <c r="P11" s="9">
        <f t="shared" si="6"/>
        <v>1.7551741202679498</v>
      </c>
      <c r="Q11" s="9">
        <f t="shared" si="7"/>
        <v>6.3047310852724054</v>
      </c>
    </row>
    <row r="12" spans="1:17" x14ac:dyDescent="0.2">
      <c r="A12" s="1">
        <v>8</v>
      </c>
      <c r="B12" s="3">
        <v>2.3916625976562501E-2</v>
      </c>
      <c r="C12" s="3">
        <v>9.4177246093750007E-3</v>
      </c>
      <c r="D12" s="3">
        <v>4.0344238281249997E-3</v>
      </c>
      <c r="E12" s="3">
        <v>1.4416503906249999E-2</v>
      </c>
      <c r="F12" s="3">
        <f t="shared" si="1"/>
        <v>5.1785278320312503E-2</v>
      </c>
      <c r="G12" s="1">
        <v>8</v>
      </c>
      <c r="H12" s="1">
        <v>63.477043679766297</v>
      </c>
      <c r="I12" s="1">
        <v>63.477043679766297</v>
      </c>
      <c r="J12" s="1">
        <f t="shared" si="2"/>
        <v>126.95408735953259</v>
      </c>
      <c r="L12" s="1">
        <v>8</v>
      </c>
      <c r="M12" s="9">
        <f t="shared" si="3"/>
        <v>3.0363134235737825</v>
      </c>
      <c r="N12" s="9">
        <f t="shared" si="4"/>
        <v>1.1956186327866138</v>
      </c>
      <c r="O12" s="9">
        <f t="shared" si="5"/>
        <v>0.51218659512116116</v>
      </c>
      <c r="P12" s="9">
        <f t="shared" si="6"/>
        <v>1.8302340963331052</v>
      </c>
      <c r="Q12" s="9">
        <f t="shared" si="7"/>
        <v>6.5743527478146628</v>
      </c>
    </row>
    <row r="13" spans="1:17" x14ac:dyDescent="0.2">
      <c r="A13" s="1">
        <v>9</v>
      </c>
      <c r="B13" s="3">
        <v>2.3916625976562501E-2</v>
      </c>
      <c r="C13" s="3">
        <v>9.4177246093750007E-3</v>
      </c>
      <c r="D13" s="3">
        <v>4.0344238281249997E-3</v>
      </c>
      <c r="E13" s="3">
        <v>1.4416503906249999E-2</v>
      </c>
      <c r="F13" s="3">
        <f t="shared" si="1"/>
        <v>5.1785278320312503E-2</v>
      </c>
      <c r="G13" s="1">
        <v>9</v>
      </c>
      <c r="H13" s="1">
        <v>66.581023953245094</v>
      </c>
      <c r="I13" s="1">
        <v>66.581023953245094</v>
      </c>
      <c r="J13" s="1">
        <f t="shared" si="2"/>
        <v>133.16204790649019</v>
      </c>
      <c r="L13" s="1">
        <v>9</v>
      </c>
      <c r="M13" s="9">
        <f t="shared" si="3"/>
        <v>3.1847868940526234</v>
      </c>
      <c r="N13" s="9">
        <f t="shared" si="4"/>
        <v>1.2540834956037255</v>
      </c>
      <c r="O13" s="9">
        <f t="shared" si="5"/>
        <v>0.53723213907586675</v>
      </c>
      <c r="P13" s="9">
        <f t="shared" si="6"/>
        <v>1.9197311838081654</v>
      </c>
      <c r="Q13" s="9">
        <f t="shared" si="7"/>
        <v>6.895833712540381</v>
      </c>
    </row>
    <row r="14" spans="1:17" x14ac:dyDescent="0.2">
      <c r="A14" s="1">
        <v>10</v>
      </c>
      <c r="B14" s="3">
        <v>2.3916625976562501E-2</v>
      </c>
      <c r="C14" s="3">
        <v>9.4177246093750007E-3</v>
      </c>
      <c r="D14" s="3">
        <v>4.0344238281249997E-3</v>
      </c>
      <c r="E14" s="3">
        <v>1.4416503906249999E-2</v>
      </c>
      <c r="F14" s="3">
        <f t="shared" si="1"/>
        <v>5.1785278320312503E-2</v>
      </c>
      <c r="G14" s="1">
        <v>10</v>
      </c>
      <c r="H14" s="1">
        <v>70.346934677467303</v>
      </c>
      <c r="I14" s="1">
        <v>70.346934677467303</v>
      </c>
      <c r="J14" s="1">
        <f t="shared" si="2"/>
        <v>140.69386935493461</v>
      </c>
      <c r="L14" s="1">
        <v>10</v>
      </c>
      <c r="M14" s="9">
        <f t="shared" si="3"/>
        <v>3.36492265055732</v>
      </c>
      <c r="N14" s="9">
        <f t="shared" si="4"/>
        <v>1.3250161158121589</v>
      </c>
      <c r="O14" s="9">
        <f t="shared" si="5"/>
        <v>0.56761869899665385</v>
      </c>
      <c r="P14" s="9">
        <f t="shared" si="6"/>
        <v>2.0283137171408416</v>
      </c>
      <c r="Q14" s="9">
        <f t="shared" si="7"/>
        <v>7.2858711825069751</v>
      </c>
    </row>
    <row r="15" spans="1:17" x14ac:dyDescent="0.2">
      <c r="A15" s="1">
        <v>11</v>
      </c>
      <c r="B15" s="3">
        <v>2.3916625976562501E-2</v>
      </c>
      <c r="C15" s="3">
        <v>9.4177246093750007E-3</v>
      </c>
      <c r="D15" s="3">
        <v>4.0344238281249997E-3</v>
      </c>
      <c r="E15" s="3">
        <v>1.4416503906249999E-2</v>
      </c>
      <c r="F15" s="3">
        <f t="shared" si="1"/>
        <v>5.1785278320312503E-2</v>
      </c>
      <c r="G15" s="1">
        <v>11</v>
      </c>
      <c r="H15" s="1">
        <v>74.654021112789295</v>
      </c>
      <c r="I15" s="1">
        <v>74.654021112789295</v>
      </c>
      <c r="J15" s="1">
        <f t="shared" si="2"/>
        <v>149.30804222557859</v>
      </c>
      <c r="L15" s="1">
        <v>11</v>
      </c>
      <c r="M15" s="9">
        <f t="shared" si="3"/>
        <v>3.5709446012019637</v>
      </c>
      <c r="N15" s="9">
        <f t="shared" si="4"/>
        <v>1.4061420236454332</v>
      </c>
      <c r="O15" s="9">
        <f t="shared" si="5"/>
        <v>0.60237192328556788</v>
      </c>
      <c r="P15" s="9">
        <f t="shared" si="6"/>
        <v>2.1524999739795936</v>
      </c>
      <c r="Q15" s="9">
        <f t="shared" si="7"/>
        <v>7.7319585221125591</v>
      </c>
    </row>
    <row r="16" spans="1:17" x14ac:dyDescent="0.2">
      <c r="A16" s="1">
        <v>12</v>
      </c>
      <c r="B16" s="3">
        <v>2.3916625976562501E-2</v>
      </c>
      <c r="C16" s="3">
        <v>9.4177246093750007E-3</v>
      </c>
      <c r="D16" s="3">
        <v>4.0344238281249997E-3</v>
      </c>
      <c r="E16" s="3">
        <v>1.4416503906249999E-2</v>
      </c>
      <c r="F16" s="3">
        <f t="shared" si="1"/>
        <v>5.1785278320312503E-2</v>
      </c>
      <c r="G16" s="1">
        <v>12</v>
      </c>
      <c r="H16" s="1">
        <v>79.4020157259081</v>
      </c>
      <c r="I16" s="1">
        <v>79.4020157259081</v>
      </c>
      <c r="J16" s="1">
        <f t="shared" si="2"/>
        <v>158.8040314518162</v>
      </c>
      <c r="L16" s="1">
        <v>12</v>
      </c>
      <c r="M16" s="9">
        <f t="shared" si="3"/>
        <v>3.798056623803356</v>
      </c>
      <c r="N16" s="9">
        <f t="shared" si="4"/>
        <v>1.4955726350717311</v>
      </c>
      <c r="O16" s="9">
        <f t="shared" si="5"/>
        <v>0.64068276849151917</v>
      </c>
      <c r="P16" s="9">
        <f t="shared" si="6"/>
        <v>2.2893989397533558</v>
      </c>
      <c r="Q16" s="9">
        <f t="shared" si="7"/>
        <v>8.2237109671199615</v>
      </c>
    </row>
    <row r="17" spans="1:17" x14ac:dyDescent="0.2">
      <c r="A17" s="1">
        <v>13</v>
      </c>
      <c r="B17" s="3">
        <v>2.3916625976562501E-2</v>
      </c>
      <c r="C17" s="3">
        <v>9.4177246093750007E-3</v>
      </c>
      <c r="D17" s="3">
        <v>4.0344238281249997E-3</v>
      </c>
      <c r="E17" s="3">
        <v>1.4416503906249999E-2</v>
      </c>
      <c r="F17" s="3">
        <f t="shared" si="1"/>
        <v>5.1785278320312503E-2</v>
      </c>
      <c r="G17" s="1">
        <v>13</v>
      </c>
      <c r="H17" s="1">
        <v>84.472264090920007</v>
      </c>
      <c r="I17" s="1">
        <v>84.472264090920007</v>
      </c>
      <c r="J17" s="1">
        <f t="shared" si="2"/>
        <v>168.94452818184001</v>
      </c>
      <c r="L17" s="1">
        <v>13</v>
      </c>
      <c r="M17" s="9">
        <f t="shared" si="3"/>
        <v>4.0405830913118903</v>
      </c>
      <c r="N17" s="9">
        <f t="shared" si="4"/>
        <v>1.591073040677363</v>
      </c>
      <c r="O17" s="9">
        <f t="shared" si="5"/>
        <v>0.68159383012815089</v>
      </c>
      <c r="P17" s="9">
        <f t="shared" si="6"/>
        <v>2.4355894504730595</v>
      </c>
      <c r="Q17" s="9">
        <f t="shared" si="7"/>
        <v>8.7488394125904652</v>
      </c>
    </row>
    <row r="18" spans="1:17" x14ac:dyDescent="0.2">
      <c r="A18" s="1">
        <v>14</v>
      </c>
      <c r="B18" s="3">
        <v>2.3916625976562501E-2</v>
      </c>
      <c r="C18" s="3">
        <v>9.4177246093750007E-3</v>
      </c>
      <c r="D18" s="3">
        <v>4.0344238281249997E-3</v>
      </c>
      <c r="E18" s="3">
        <v>1.4416503906249999E-2</v>
      </c>
      <c r="F18" s="3">
        <f t="shared" si="1"/>
        <v>5.1785278320312503E-2</v>
      </c>
      <c r="G18" s="1">
        <v>14</v>
      </c>
      <c r="H18" s="1">
        <v>89.874542418862802</v>
      </c>
      <c r="I18" s="1">
        <v>89.874542418862802</v>
      </c>
      <c r="J18" s="1">
        <f t="shared" si="2"/>
        <v>179.7490848377256</v>
      </c>
      <c r="L18" s="1">
        <v>14</v>
      </c>
      <c r="M18" s="9">
        <f t="shared" si="3"/>
        <v>4.2989916316932852</v>
      </c>
      <c r="N18" s="9">
        <f t="shared" si="4"/>
        <v>1.6928273797888833</v>
      </c>
      <c r="O18" s="9">
        <f t="shared" si="5"/>
        <v>0.72518399095298225</v>
      </c>
      <c r="P18" s="9">
        <f t="shared" si="6"/>
        <v>2.5913533837079337</v>
      </c>
      <c r="Q18" s="9">
        <f t="shared" si="7"/>
        <v>9.3083563861430854</v>
      </c>
    </row>
    <row r="19" spans="1:17" x14ac:dyDescent="0.2">
      <c r="A19" s="1">
        <v>15</v>
      </c>
      <c r="B19" s="3">
        <v>2.3916625976562501E-2</v>
      </c>
      <c r="C19" s="3">
        <v>9.4177246093750007E-3</v>
      </c>
      <c r="D19" s="3">
        <v>4.0344238281249997E-3</v>
      </c>
      <c r="E19" s="3">
        <v>1.4416503906249999E-2</v>
      </c>
      <c r="F19" s="3">
        <f t="shared" si="1"/>
        <v>5.1785278320312503E-2</v>
      </c>
      <c r="G19" s="1">
        <v>15</v>
      </c>
      <c r="H19" s="1">
        <v>95.451611366954793</v>
      </c>
      <c r="I19" s="1">
        <v>95.451611366954793</v>
      </c>
      <c r="J19" s="1">
        <f t="shared" si="2"/>
        <v>190.90322273390959</v>
      </c>
      <c r="L19" s="1">
        <v>15</v>
      </c>
      <c r="M19" s="9">
        <f t="shared" si="3"/>
        <v>4.5657609758473194</v>
      </c>
      <c r="N19" s="9">
        <f t="shared" si="4"/>
        <v>1.7978739787501374</v>
      </c>
      <c r="O19" s="9">
        <f t="shared" si="5"/>
        <v>0.77018451066353899</v>
      </c>
      <c r="P19" s="9">
        <f t="shared" si="6"/>
        <v>2.7521570562591213</v>
      </c>
      <c r="Q19" s="9">
        <f t="shared" si="7"/>
        <v>9.8859765215201172</v>
      </c>
    </row>
    <row r="20" spans="1:17" x14ac:dyDescent="0.2">
      <c r="A20" s="1">
        <v>16</v>
      </c>
      <c r="B20" s="3">
        <v>2.3916625976562501E-2</v>
      </c>
      <c r="C20" s="3">
        <v>9.4177246093750007E-3</v>
      </c>
      <c r="D20" s="3">
        <v>4.0344238281249997E-3</v>
      </c>
      <c r="E20" s="3">
        <v>1.4416503906249999E-2</v>
      </c>
      <c r="F20" s="3">
        <f t="shared" si="1"/>
        <v>5.1785278320312503E-2</v>
      </c>
      <c r="G20" s="1">
        <v>16</v>
      </c>
      <c r="H20" s="1">
        <v>101.329487642438</v>
      </c>
      <c r="I20" s="1">
        <v>101.329487642438</v>
      </c>
      <c r="J20" s="1">
        <f t="shared" si="2"/>
        <v>202.65897528487599</v>
      </c>
      <c r="L20" s="1">
        <v>16</v>
      </c>
      <c r="M20" s="9">
        <f t="shared" si="3"/>
        <v>4.8469189126818035</v>
      </c>
      <c r="N20" s="9">
        <f t="shared" si="4"/>
        <v>1.9085864188510966</v>
      </c>
      <c r="O20" s="9">
        <f t="shared" si="5"/>
        <v>0.81761219887269909</v>
      </c>
      <c r="P20" s="9">
        <f t="shared" si="6"/>
        <v>2.921633908831037</v>
      </c>
      <c r="Q20" s="9">
        <f t="shared" si="7"/>
        <v>10.494751439236635</v>
      </c>
    </row>
    <row r="21" spans="1:17" x14ac:dyDescent="0.2">
      <c r="A21" s="1">
        <v>17</v>
      </c>
      <c r="B21" s="3">
        <v>2.3916625976562501E-2</v>
      </c>
      <c r="C21" s="3">
        <v>9.4177246093750007E-3</v>
      </c>
      <c r="D21" s="3">
        <v>4.0344238281249997E-3</v>
      </c>
      <c r="E21" s="3">
        <v>1.4416503906249999E-2</v>
      </c>
      <c r="F21" s="3">
        <f t="shared" si="1"/>
        <v>5.1785278320312503E-2</v>
      </c>
      <c r="G21" s="1">
        <v>17</v>
      </c>
      <c r="H21" s="1">
        <v>107.51541953840599</v>
      </c>
      <c r="I21" s="1">
        <v>107.51541953840599</v>
      </c>
      <c r="J21" s="1">
        <f t="shared" si="2"/>
        <v>215.03083907681199</v>
      </c>
      <c r="L21" s="1">
        <v>17</v>
      </c>
      <c r="M21" s="9">
        <f t="shared" si="3"/>
        <v>5.1428121516265124</v>
      </c>
      <c r="N21" s="9">
        <f t="shared" si="4"/>
        <v>2.0251012249482478</v>
      </c>
      <c r="O21" s="9">
        <f t="shared" si="5"/>
        <v>0.86752554095320256</v>
      </c>
      <c r="P21" s="9">
        <f t="shared" si="6"/>
        <v>3.0999929315150752</v>
      </c>
      <c r="Q21" s="9">
        <f t="shared" si="7"/>
        <v>11.135431849043039</v>
      </c>
    </row>
    <row r="22" spans="1:17" x14ac:dyDescent="0.2">
      <c r="A22" s="1">
        <v>18</v>
      </c>
      <c r="B22" s="3">
        <v>2.3916625976562501E-2</v>
      </c>
      <c r="C22" s="3">
        <v>9.4177246093750007E-3</v>
      </c>
      <c r="D22" s="3">
        <v>4.0344238281249997E-3</v>
      </c>
      <c r="E22" s="3">
        <v>1.4416503906249999E-2</v>
      </c>
      <c r="F22" s="3">
        <f t="shared" si="1"/>
        <v>5.1785278320312503E-2</v>
      </c>
      <c r="G22" s="1">
        <v>18</v>
      </c>
      <c r="H22" s="1">
        <v>114.11017852237499</v>
      </c>
      <c r="I22" s="1">
        <v>114.11017852237499</v>
      </c>
      <c r="J22" s="1">
        <f t="shared" si="2"/>
        <v>228.22035704474999</v>
      </c>
      <c r="L22" s="1">
        <v>18</v>
      </c>
      <c r="M22" s="9">
        <f t="shared" si="3"/>
        <v>5.4582609196768361</v>
      </c>
      <c r="N22" s="9">
        <f t="shared" si="4"/>
        <v>2.1493164729006913</v>
      </c>
      <c r="O22" s="9">
        <f t="shared" si="5"/>
        <v>0.92073764652453449</v>
      </c>
      <c r="P22" s="9">
        <f t="shared" si="6"/>
        <v>3.290139668821408</v>
      </c>
      <c r="Q22" s="9">
        <f t="shared" si="7"/>
        <v>11.81845470792347</v>
      </c>
    </row>
    <row r="23" spans="1:17" x14ac:dyDescent="0.2">
      <c r="A23" s="1">
        <v>19</v>
      </c>
      <c r="B23" s="3">
        <v>2.3916625976562501E-2</v>
      </c>
      <c r="C23" s="3">
        <v>9.4177246093750007E-3</v>
      </c>
      <c r="D23" s="3">
        <v>4.0344238281249997E-3</v>
      </c>
      <c r="E23" s="3">
        <v>1.4416503906249999E-2</v>
      </c>
      <c r="F23" s="3">
        <f t="shared" si="1"/>
        <v>5.1785278320312503E-2</v>
      </c>
      <c r="G23" s="1">
        <v>19</v>
      </c>
      <c r="H23" s="1">
        <v>121.042317395501</v>
      </c>
      <c r="I23" s="1">
        <v>121.042317395501</v>
      </c>
      <c r="J23" s="1">
        <f t="shared" si="2"/>
        <v>242.084634791002</v>
      </c>
      <c r="L23" s="1">
        <v>19</v>
      </c>
      <c r="M23" s="9">
        <f t="shared" si="3"/>
        <v>5.7898476649691251</v>
      </c>
      <c r="N23" s="9">
        <f t="shared" si="4"/>
        <v>2.2798864226227789</v>
      </c>
      <c r="O23" s="9">
        <f t="shared" si="5"/>
        <v>0.97667201902375678</v>
      </c>
      <c r="P23" s="9">
        <f t="shared" si="6"/>
        <v>3.4900140831075848</v>
      </c>
      <c r="Q23" s="9">
        <f t="shared" si="7"/>
        <v>12.536420189723247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01BDD-3AB6-F747-A77E-DBAA0ADC5CB1}">
  <dimension ref="A1:M52"/>
  <sheetViews>
    <sheetView zoomScaleNormal="100" workbookViewId="0">
      <selection activeCell="H39" sqref="H39"/>
    </sheetView>
  </sheetViews>
  <sheetFormatPr baseColWidth="10" defaultRowHeight="16" x14ac:dyDescent="0.2"/>
  <cols>
    <col min="1" max="1" width="10.83203125" style="1"/>
    <col min="2" max="9" width="10.83203125" style="2"/>
    <col min="10" max="10" width="10.83203125" style="2" customWidth="1"/>
    <col min="11" max="11" width="0" style="2" hidden="1" customWidth="1"/>
    <col min="12" max="12" width="10.83203125" style="2"/>
    <col min="13" max="16384" width="10.83203125" style="1"/>
  </cols>
  <sheetData>
    <row r="1" spans="1:13" x14ac:dyDescent="0.2">
      <c r="B1" s="2" t="s">
        <v>1</v>
      </c>
      <c r="C1" s="2" t="s">
        <v>2</v>
      </c>
      <c r="D1" s="2" t="s">
        <v>3</v>
      </c>
      <c r="E1" s="2" t="s">
        <v>4</v>
      </c>
      <c r="F1" s="2" t="s">
        <v>1</v>
      </c>
      <c r="G1" s="2" t="s">
        <v>2</v>
      </c>
      <c r="H1" s="2" t="s">
        <v>3</v>
      </c>
      <c r="I1" s="2" t="s">
        <v>4</v>
      </c>
    </row>
    <row r="2" spans="1:13" x14ac:dyDescent="0.2">
      <c r="B2" s="2" t="s">
        <v>15</v>
      </c>
      <c r="C2" s="2" t="s">
        <v>15</v>
      </c>
      <c r="D2" s="2" t="s">
        <v>15</v>
      </c>
      <c r="E2" s="2" t="s">
        <v>15</v>
      </c>
      <c r="F2" s="2" t="s">
        <v>16</v>
      </c>
      <c r="G2" s="2" t="s">
        <v>16</v>
      </c>
      <c r="H2" s="2" t="s">
        <v>16</v>
      </c>
      <c r="I2" s="2" t="s">
        <v>16</v>
      </c>
    </row>
    <row r="3" spans="1:13" x14ac:dyDescent="0.2">
      <c r="A3" s="1">
        <v>0</v>
      </c>
      <c r="B3" s="10">
        <v>-0.43049926757812501</v>
      </c>
      <c r="C3" s="10">
        <v>-0.20718994140624999</v>
      </c>
      <c r="D3" s="10">
        <v>-7.26196289062499E-2</v>
      </c>
      <c r="E3" s="10">
        <v>-0.50457763671875</v>
      </c>
      <c r="F3" s="10">
        <v>0</v>
      </c>
      <c r="G3" s="10">
        <v>0</v>
      </c>
      <c r="H3" s="10">
        <v>0</v>
      </c>
      <c r="I3" s="10">
        <v>0</v>
      </c>
      <c r="J3" s="10">
        <f>SUM(B3:I3)</f>
        <v>-1.2148864746093748</v>
      </c>
      <c r="K3" s="10">
        <f>J3</f>
        <v>-1.2148864746093748</v>
      </c>
      <c r="L3" s="10">
        <f>SUM(B3:E3)</f>
        <v>-1.2148864746093748</v>
      </c>
      <c r="M3" s="10">
        <f>SUM(F3:I3)</f>
        <v>0</v>
      </c>
    </row>
    <row r="4" spans="1:13" x14ac:dyDescent="0.2">
      <c r="A4" s="1">
        <v>1</v>
      </c>
      <c r="B4" s="10">
        <v>-0.88340963237830705</v>
      </c>
      <c r="C4" s="10">
        <v>-0.42516585684309499</v>
      </c>
      <c r="D4" s="10">
        <v>-0.14901971851526299</v>
      </c>
      <c r="E4" s="10">
        <v>-1.03542277102511</v>
      </c>
      <c r="F4" s="10">
        <v>4.76293293176207E-5</v>
      </c>
      <c r="G4" s="10">
        <v>4.5757111826022301E-5</v>
      </c>
      <c r="H4" s="10">
        <v>0</v>
      </c>
      <c r="I4" s="10">
        <v>2.90495468447057E-2</v>
      </c>
      <c r="J4" s="10">
        <f t="shared" ref="J4:J22" si="0">SUM(B4:I4)</f>
        <v>-2.463875045475926</v>
      </c>
      <c r="K4" s="10">
        <f>K3+J4</f>
        <v>-3.6787615200853008</v>
      </c>
      <c r="L4" s="10">
        <f t="shared" ref="L4:L22" si="1">SUM(B4:E4)</f>
        <v>-2.4930179787617752</v>
      </c>
      <c r="M4" s="10">
        <f t="shared" ref="M4:M22" si="2">SUM(F4:I4)</f>
        <v>2.9142933285849344E-2</v>
      </c>
    </row>
    <row r="5" spans="1:13" x14ac:dyDescent="0.2">
      <c r="A5" s="1">
        <v>2</v>
      </c>
      <c r="B5" s="10">
        <v>-1.3544463920516601</v>
      </c>
      <c r="C5" s="10">
        <v>-0.56239722840077699</v>
      </c>
      <c r="D5" s="10">
        <v>-0.20302028089683499</v>
      </c>
      <c r="E5" s="10">
        <v>-1.2275333058075399</v>
      </c>
      <c r="F5" s="10">
        <v>2.4454261084248898E-3</v>
      </c>
      <c r="G5" s="10">
        <v>1.5328280410108E-3</v>
      </c>
      <c r="H5" s="10">
        <v>4.9838780554394401E-5</v>
      </c>
      <c r="I5" s="10">
        <v>0.12631334661421401</v>
      </c>
      <c r="J5" s="10">
        <f t="shared" si="0"/>
        <v>-3.2170557676126079</v>
      </c>
      <c r="K5" s="10">
        <f t="shared" ref="K5:K22" si="3">K4+J5</f>
        <v>-6.8958172876979091</v>
      </c>
      <c r="L5" s="10">
        <f t="shared" si="1"/>
        <v>-3.3473972071568121</v>
      </c>
      <c r="M5" s="10">
        <f t="shared" si="2"/>
        <v>0.1303414395442041</v>
      </c>
    </row>
    <row r="6" spans="1:13" x14ac:dyDescent="0.2">
      <c r="A6" s="1">
        <v>3</v>
      </c>
      <c r="B6" s="10">
        <v>-1.6572174405354501</v>
      </c>
      <c r="C6" s="10">
        <v>-0.67668950802317096</v>
      </c>
      <c r="D6" s="10">
        <v>-0.249863773360219</v>
      </c>
      <c r="E6" s="10">
        <v>-1.3720765174912599</v>
      </c>
      <c r="F6" s="10">
        <v>2.10784743144555E-2</v>
      </c>
      <c r="G6" s="10">
        <v>1.1673127505307201E-2</v>
      </c>
      <c r="H6" s="10">
        <v>5.40665156524904E-4</v>
      </c>
      <c r="I6" s="10">
        <v>0.34591431374210801</v>
      </c>
      <c r="J6" s="10">
        <f t="shared" si="0"/>
        <v>-3.5766406586917041</v>
      </c>
      <c r="K6" s="10">
        <f t="shared" si="3"/>
        <v>-10.472457946389614</v>
      </c>
      <c r="L6" s="10">
        <f t="shared" si="1"/>
        <v>-3.9558472394100996</v>
      </c>
      <c r="M6" s="10">
        <f t="shared" si="2"/>
        <v>0.37920658071839564</v>
      </c>
    </row>
    <row r="7" spans="1:13" x14ac:dyDescent="0.2">
      <c r="A7" s="1">
        <v>4</v>
      </c>
      <c r="B7" s="10">
        <v>-1.9139496567046499</v>
      </c>
      <c r="C7" s="10">
        <v>-0.77424400690536399</v>
      </c>
      <c r="D7" s="10">
        <v>-0.29126220039795903</v>
      </c>
      <c r="E7" s="10">
        <v>-1.42415909198803</v>
      </c>
      <c r="F7" s="10">
        <v>9.3942604980313996E-2</v>
      </c>
      <c r="G7" s="10">
        <v>4.7892353553651797E-2</v>
      </c>
      <c r="H7" s="10">
        <v>3.03469004989229E-3</v>
      </c>
      <c r="I7" s="10">
        <v>0.78085250689319297</v>
      </c>
      <c r="J7" s="10">
        <f>SUM(B7:I7)</f>
        <v>-3.4778928005189518</v>
      </c>
      <c r="K7" s="10">
        <f t="shared" si="3"/>
        <v>-13.950350746908565</v>
      </c>
      <c r="L7" s="10">
        <f t="shared" si="1"/>
        <v>-4.4036149559960034</v>
      </c>
      <c r="M7" s="10">
        <f t="shared" si="2"/>
        <v>0.92572215547705106</v>
      </c>
    </row>
    <row r="8" spans="1:13" x14ac:dyDescent="0.2">
      <c r="A8" s="1">
        <v>5</v>
      </c>
      <c r="B8" s="10">
        <v>-2.1372493621164699</v>
      </c>
      <c r="C8" s="10">
        <v>-0.859871631712819</v>
      </c>
      <c r="D8" s="10">
        <v>-0.32851593462658901</v>
      </c>
      <c r="E8" s="10">
        <v>-1.47848310661349</v>
      </c>
      <c r="F8" s="10">
        <v>0.28656873299315599</v>
      </c>
      <c r="G8" s="10">
        <v>0.13925432154506701</v>
      </c>
      <c r="H8" s="10">
        <v>1.15215844780466E-2</v>
      </c>
      <c r="I8" s="10">
        <v>1.3961527877256099</v>
      </c>
      <c r="J8" s="10">
        <f t="shared" si="0"/>
        <v>-2.9706226083274885</v>
      </c>
      <c r="K8" s="10">
        <f t="shared" si="3"/>
        <v>-16.920973355236054</v>
      </c>
      <c r="L8" s="10">
        <f t="shared" si="1"/>
        <v>-4.804120035069368</v>
      </c>
      <c r="M8" s="10">
        <f t="shared" si="2"/>
        <v>1.8334974267418795</v>
      </c>
    </row>
    <row r="9" spans="1:13" x14ac:dyDescent="0.2">
      <c r="A9" s="1">
        <v>6</v>
      </c>
      <c r="B9" s="10">
        <v>-2.3362577636068802</v>
      </c>
      <c r="C9" s="10">
        <v>-0.93656780804938</v>
      </c>
      <c r="D9" s="10">
        <v>-0.36255164853968702</v>
      </c>
      <c r="E9" s="10">
        <v>-1.53569519435518</v>
      </c>
      <c r="F9" s="10">
        <v>0.68029179597327205</v>
      </c>
      <c r="G9" s="10">
        <v>0.31768706062452801</v>
      </c>
      <c r="H9" s="10">
        <v>3.3758249400739501E-2</v>
      </c>
      <c r="I9" s="10">
        <v>1.87092955823704</v>
      </c>
      <c r="J9" s="10">
        <f t="shared" si="0"/>
        <v>-2.2684057503155479</v>
      </c>
      <c r="K9" s="10">
        <f t="shared" si="3"/>
        <v>-19.189379105551602</v>
      </c>
      <c r="L9" s="10">
        <f t="shared" si="1"/>
        <v>-5.1710724145511273</v>
      </c>
      <c r="M9" s="10">
        <f t="shared" si="2"/>
        <v>2.9026666642355794</v>
      </c>
    </row>
    <row r="10" spans="1:13" x14ac:dyDescent="0.2">
      <c r="A10" s="1">
        <v>7</v>
      </c>
      <c r="B10" s="10">
        <v>-2.5200773945804298</v>
      </c>
      <c r="C10" s="10">
        <v>-1.00784350705699</v>
      </c>
      <c r="D10" s="10">
        <v>-0.39445455725910999</v>
      </c>
      <c r="E10" s="10">
        <v>-1.5986339601947599</v>
      </c>
      <c r="F10" s="10">
        <v>1.3277924291311201</v>
      </c>
      <c r="G10" s="10">
        <v>0.59700082727487602</v>
      </c>
      <c r="H10" s="10">
        <v>8.1692767209530906E-2</v>
      </c>
      <c r="I10" s="10">
        <v>2.0559641291840398</v>
      </c>
      <c r="J10" s="10">
        <f t="shared" si="0"/>
        <v>-1.4585592662917235</v>
      </c>
      <c r="K10" s="10">
        <f t="shared" si="3"/>
        <v>-20.647938371843324</v>
      </c>
      <c r="L10" s="10">
        <f t="shared" si="1"/>
        <v>-5.5210094190912899</v>
      </c>
      <c r="M10" s="10">
        <f t="shared" si="2"/>
        <v>4.0624501527995669</v>
      </c>
    </row>
    <row r="11" spans="1:13" x14ac:dyDescent="0.2">
      <c r="A11" s="1">
        <v>8</v>
      </c>
      <c r="B11" s="10">
        <v>-2.6968363976182599</v>
      </c>
      <c r="C11" s="10">
        <v>-1.0773692435251401</v>
      </c>
      <c r="D11" s="10">
        <v>-0.42547738013528003</v>
      </c>
      <c r="E11" s="10">
        <v>-1.67110500049483</v>
      </c>
      <c r="F11" s="10">
        <v>2.1822390761591999</v>
      </c>
      <c r="G11" s="10">
        <v>0.94562245126707201</v>
      </c>
      <c r="H11" s="10">
        <v>0.16835866242703601</v>
      </c>
      <c r="I11" s="10">
        <v>2.1412445469657602</v>
      </c>
      <c r="J11" s="10">
        <f t="shared" si="0"/>
        <v>-0.43332328495444239</v>
      </c>
      <c r="K11" s="10">
        <f t="shared" si="3"/>
        <v>-21.081261656797768</v>
      </c>
      <c r="L11" s="10">
        <f t="shared" si="1"/>
        <v>-5.8707880217735102</v>
      </c>
      <c r="M11" s="10">
        <f t="shared" si="2"/>
        <v>5.4374647368190683</v>
      </c>
    </row>
    <row r="12" spans="1:13" x14ac:dyDescent="0.2">
      <c r="A12" s="1">
        <v>9</v>
      </c>
      <c r="B12" s="10">
        <v>-2.87570487640627</v>
      </c>
      <c r="C12" s="10">
        <v>-1.1483156108205199</v>
      </c>
      <c r="D12" s="10">
        <v>-0.45675242843692099</v>
      </c>
      <c r="E12" s="10">
        <v>-1.75669246767186</v>
      </c>
      <c r="F12" s="10">
        <v>3.0673536396249999</v>
      </c>
      <c r="G12" s="10">
        <v>1.2845991756751001</v>
      </c>
      <c r="H12" s="10">
        <v>0.29833896240470897</v>
      </c>
      <c r="I12" s="10">
        <v>2.2234660678889302</v>
      </c>
      <c r="J12" s="10">
        <f t="shared" si="0"/>
        <v>0.6362924622581676</v>
      </c>
      <c r="K12" s="10">
        <f t="shared" si="3"/>
        <v>-20.444969194539599</v>
      </c>
      <c r="L12" s="10">
        <f t="shared" si="1"/>
        <v>-6.2374653833355715</v>
      </c>
      <c r="M12" s="10">
        <f t="shared" si="2"/>
        <v>6.8737578455937394</v>
      </c>
    </row>
    <row r="13" spans="1:13" x14ac:dyDescent="0.2">
      <c r="A13" s="1">
        <v>10</v>
      </c>
      <c r="B13" s="10">
        <v>-3.06225732977637</v>
      </c>
      <c r="C13" s="10">
        <v>-1.2229569820211399</v>
      </c>
      <c r="D13" s="10">
        <v>-0.48910667744053499</v>
      </c>
      <c r="E13" s="10">
        <v>-1.8568315060274001</v>
      </c>
      <c r="F13" s="10">
        <v>3.7789647839278802</v>
      </c>
      <c r="G13" s="10">
        <v>1.5407223141902699</v>
      </c>
      <c r="H13" s="10">
        <v>0.45670949793374199</v>
      </c>
      <c r="I13" s="10">
        <v>2.3126094268812301</v>
      </c>
      <c r="J13" s="10">
        <f t="shared" si="0"/>
        <v>1.4578535276676765</v>
      </c>
      <c r="K13" s="10">
        <f t="shared" si="3"/>
        <v>-18.987115666871922</v>
      </c>
      <c r="L13" s="10">
        <f t="shared" si="1"/>
        <v>-6.6311524952654457</v>
      </c>
      <c r="M13" s="10">
        <f t="shared" si="2"/>
        <v>8.0890060229331233</v>
      </c>
    </row>
    <row r="14" spans="1:13" x14ac:dyDescent="0.2">
      <c r="A14" s="1">
        <v>11</v>
      </c>
      <c r="B14" s="10">
        <v>-3.2603122328621499</v>
      </c>
      <c r="C14" s="10">
        <v>-1.3022493231372601</v>
      </c>
      <c r="D14" s="10">
        <v>-0.52296928414254695</v>
      </c>
      <c r="E14" s="10">
        <v>-1.9700757762511201</v>
      </c>
      <c r="F14" s="10">
        <v>4.23927836990336</v>
      </c>
      <c r="G14" s="10">
        <v>1.7013101693096999</v>
      </c>
      <c r="H14" s="10">
        <v>0.60790913221020104</v>
      </c>
      <c r="I14" s="10">
        <v>2.4116190016389099</v>
      </c>
      <c r="J14" s="10">
        <f t="shared" si="0"/>
        <v>1.9045100566690947</v>
      </c>
      <c r="K14" s="10">
        <f t="shared" si="3"/>
        <v>-17.082605610202826</v>
      </c>
      <c r="L14" s="10">
        <f t="shared" si="1"/>
        <v>-7.0556066163930762</v>
      </c>
      <c r="M14" s="10">
        <f t="shared" si="2"/>
        <v>8.9601166730621706</v>
      </c>
    </row>
    <row r="15" spans="1:13" x14ac:dyDescent="0.2">
      <c r="A15" s="1">
        <v>12</v>
      </c>
      <c r="B15" s="10">
        <v>-3.4710317778436202</v>
      </c>
      <c r="C15" s="10">
        <v>-1.3864707833894701</v>
      </c>
      <c r="D15" s="10">
        <v>-0.558585744727914</v>
      </c>
      <c r="E15" s="10">
        <v>-2.0942247156093101</v>
      </c>
      <c r="F15" s="10">
        <v>4.52825498792558</v>
      </c>
      <c r="G15" s="10">
        <v>1.8062862563886599</v>
      </c>
      <c r="H15" s="10">
        <v>0.71872226837781705</v>
      </c>
      <c r="I15" s="10">
        <v>2.5246498457777098</v>
      </c>
      <c r="J15" s="10">
        <f t="shared" si="0"/>
        <v>2.0676003368994524</v>
      </c>
      <c r="K15" s="10">
        <f t="shared" si="3"/>
        <v>-15.015005273303373</v>
      </c>
      <c r="L15" s="10">
        <f t="shared" si="1"/>
        <v>-7.5103130215703144</v>
      </c>
      <c r="M15" s="10">
        <f t="shared" si="2"/>
        <v>9.5779133584697664</v>
      </c>
    </row>
    <row r="16" spans="1:13" x14ac:dyDescent="0.2">
      <c r="A16" s="1">
        <v>13</v>
      </c>
      <c r="B16" s="10">
        <v>-3.69495426884983</v>
      </c>
      <c r="C16" s="10">
        <v>-1.47592407582341</v>
      </c>
      <c r="D16" s="10">
        <v>-0.596070556339374</v>
      </c>
      <c r="E16" s="10">
        <v>-2.22766628619681</v>
      </c>
      <c r="F16" s="10">
        <v>4.7576365660782098</v>
      </c>
      <c r="G16" s="10">
        <v>1.8954424804419401</v>
      </c>
      <c r="H16" s="10">
        <v>0.78604126335361901</v>
      </c>
      <c r="I16" s="10">
        <v>2.6559441068895402</v>
      </c>
      <c r="J16" s="10">
        <f t="shared" si="0"/>
        <v>2.1004492295538846</v>
      </c>
      <c r="K16" s="10">
        <f t="shared" si="3"/>
        <v>-12.914556043749489</v>
      </c>
      <c r="L16" s="10">
        <f t="shared" si="1"/>
        <v>-7.9946151872094244</v>
      </c>
      <c r="M16" s="10">
        <f t="shared" si="2"/>
        <v>10.095064416763309</v>
      </c>
    </row>
    <row r="17" spans="1:13" x14ac:dyDescent="0.2">
      <c r="A17" s="1">
        <v>14</v>
      </c>
      <c r="B17" s="10">
        <v>-3.93140466942747</v>
      </c>
      <c r="C17" s="10">
        <v>-1.5701653192182901</v>
      </c>
      <c r="D17" s="10">
        <v>-0.635392194294223</v>
      </c>
      <c r="E17" s="10">
        <v>-2.3683595519133598</v>
      </c>
      <c r="F17" s="10">
        <v>4.9856256267213004</v>
      </c>
      <c r="G17" s="10">
        <v>1.98667170608091</v>
      </c>
      <c r="H17" s="10">
        <v>0.83083696511715199</v>
      </c>
      <c r="I17" s="10">
        <v>2.8074307148709901</v>
      </c>
      <c r="J17" s="10">
        <f t="shared" si="0"/>
        <v>2.1052432779370096</v>
      </c>
      <c r="K17" s="10">
        <f t="shared" si="3"/>
        <v>-10.809312765812479</v>
      </c>
      <c r="L17" s="10">
        <f t="shared" si="1"/>
        <v>-8.505321734853343</v>
      </c>
      <c r="M17" s="10">
        <f t="shared" si="2"/>
        <v>10.610565012790353</v>
      </c>
    </row>
    <row r="18" spans="1:13" x14ac:dyDescent="0.2">
      <c r="A18" s="1">
        <v>15</v>
      </c>
      <c r="B18" s="10">
        <v>-4.1807181257972896</v>
      </c>
      <c r="C18" s="10">
        <v>-1.6693906810719901</v>
      </c>
      <c r="D18" s="10">
        <v>-0.67662904250747102</v>
      </c>
      <c r="E18" s="10">
        <v>-2.5157720079586201</v>
      </c>
      <c r="F18" s="10">
        <v>5.2318014557694204</v>
      </c>
      <c r="G18" s="10">
        <v>2.0859338419003901</v>
      </c>
      <c r="H18" s="10">
        <v>0.871056569263712</v>
      </c>
      <c r="I18" s="10">
        <v>2.9780514323687499</v>
      </c>
      <c r="J18" s="10">
        <f t="shared" si="0"/>
        <v>2.1243334419669009</v>
      </c>
      <c r="K18" s="10">
        <f t="shared" si="3"/>
        <v>-8.6849793238455781</v>
      </c>
      <c r="L18" s="10">
        <f t="shared" si="1"/>
        <v>-9.0425098573353715</v>
      </c>
      <c r="M18" s="10">
        <f t="shared" si="2"/>
        <v>11.166843299302272</v>
      </c>
    </row>
    <row r="19" spans="1:13" x14ac:dyDescent="0.2">
      <c r="A19" s="1">
        <v>16</v>
      </c>
      <c r="B19" s="10">
        <v>-4.4428789119230503</v>
      </c>
      <c r="C19" s="10">
        <v>-1.7738668236692401</v>
      </c>
      <c r="D19" s="10">
        <v>-0.71991739613106698</v>
      </c>
      <c r="E19" s="10">
        <v>-2.67081429748891</v>
      </c>
      <c r="F19" s="10">
        <v>5.5053123159387196</v>
      </c>
      <c r="G19" s="10">
        <v>2.1966401023114202</v>
      </c>
      <c r="H19" s="10">
        <v>0.913389653409312</v>
      </c>
      <c r="I19" s="10">
        <v>3.1649040521985201</v>
      </c>
      <c r="J19" s="10">
        <f t="shared" si="0"/>
        <v>2.172768694645705</v>
      </c>
      <c r="K19" s="10">
        <f t="shared" si="3"/>
        <v>-6.5122106291998731</v>
      </c>
      <c r="L19" s="10">
        <f t="shared" si="1"/>
        <v>-9.6074774292122669</v>
      </c>
      <c r="M19" s="10">
        <f t="shared" si="2"/>
        <v>11.780246123857971</v>
      </c>
    </row>
    <row r="20" spans="1:13" x14ac:dyDescent="0.2">
      <c r="A20" s="1">
        <v>17</v>
      </c>
      <c r="B20" s="10">
        <v>-4.7198690711052897</v>
      </c>
      <c r="C20" s="10">
        <v>-1.88425711018647</v>
      </c>
      <c r="D20" s="10">
        <v>-0.76555094011173597</v>
      </c>
      <c r="E20" s="10">
        <v>-2.8346624426571601</v>
      </c>
      <c r="F20" s="10">
        <v>5.8119535941175604</v>
      </c>
      <c r="G20" s="10">
        <v>2.3208133381961802</v>
      </c>
      <c r="H20" s="10">
        <v>0.95985436526560197</v>
      </c>
      <c r="I20" s="10">
        <v>3.3652145443544401</v>
      </c>
      <c r="J20" s="10">
        <f t="shared" si="0"/>
        <v>2.2534962778731273</v>
      </c>
      <c r="K20" s="10">
        <f t="shared" si="3"/>
        <v>-4.2587143513267458</v>
      </c>
      <c r="L20" s="10">
        <f t="shared" si="1"/>
        <v>-10.204339564060655</v>
      </c>
      <c r="M20" s="10">
        <f t="shared" si="2"/>
        <v>12.457835841933784</v>
      </c>
    </row>
    <row r="21" spans="1:13" x14ac:dyDescent="0.2">
      <c r="A21" s="1">
        <v>18</v>
      </c>
      <c r="B21" s="10">
        <v>-5.0121240646793304</v>
      </c>
      <c r="C21" s="10">
        <v>-2.00084376037811</v>
      </c>
      <c r="D21" s="10">
        <v>-0.81360292187086103</v>
      </c>
      <c r="E21" s="10">
        <v>-3.0079057256225301</v>
      </c>
      <c r="F21" s="10">
        <v>6.1544730196917197</v>
      </c>
      <c r="G21" s="10">
        <v>2.4590887341544301</v>
      </c>
      <c r="H21" s="10">
        <v>1.0117845243277499</v>
      </c>
      <c r="I21" s="10">
        <v>3.5771657352608899</v>
      </c>
      <c r="J21" s="10">
        <f t="shared" si="0"/>
        <v>2.3680355408839571</v>
      </c>
      <c r="K21" s="10">
        <f t="shared" si="3"/>
        <v>-1.8906788104427887</v>
      </c>
      <c r="L21" s="10">
        <f t="shared" si="1"/>
        <v>-10.834476472550833</v>
      </c>
      <c r="M21" s="10">
        <f t="shared" si="2"/>
        <v>13.202512013434788</v>
      </c>
    </row>
    <row r="22" spans="1:13" x14ac:dyDescent="0.2">
      <c r="A22" s="1">
        <v>19</v>
      </c>
      <c r="B22" s="10">
        <v>-5.3213476815099403</v>
      </c>
      <c r="C22" s="10">
        <v>-2.1241397443871</v>
      </c>
      <c r="D22" s="10">
        <v>-0.86434979032952197</v>
      </c>
      <c r="E22" s="10">
        <v>-3.1913584534789798</v>
      </c>
      <c r="F22" s="10">
        <v>6.5314369551773801</v>
      </c>
      <c r="G22" s="10">
        <v>2.6107161483100998</v>
      </c>
      <c r="H22" s="10">
        <v>1.0699402928920401</v>
      </c>
      <c r="I22" s="10">
        <v>3.7999706302593399</v>
      </c>
      <c r="J22" s="10">
        <f t="shared" si="0"/>
        <v>2.5108683569333179</v>
      </c>
      <c r="K22" s="10">
        <f t="shared" si="3"/>
        <v>0.62018954649052915</v>
      </c>
      <c r="L22" s="10">
        <f t="shared" si="1"/>
        <v>-11.501195669705542</v>
      </c>
      <c r="M22" s="10">
        <f t="shared" si="2"/>
        <v>14.012064026638861</v>
      </c>
    </row>
    <row r="50" spans="3:3" x14ac:dyDescent="0.2">
      <c r="C50" s="2" t="s">
        <v>19</v>
      </c>
    </row>
    <row r="51" spans="3:3" x14ac:dyDescent="0.2">
      <c r="C51" s="2" t="s">
        <v>17</v>
      </c>
    </row>
    <row r="52" spans="3:3" x14ac:dyDescent="0.2">
      <c r="C52" s="2" t="s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Commitment Pacing</vt:lpstr>
      <vt:lpstr>Commitments Dollars</vt:lpstr>
      <vt:lpstr>CashFlows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Barker</dc:creator>
  <cp:lastModifiedBy>Francis Barker</cp:lastModifiedBy>
  <dcterms:created xsi:type="dcterms:W3CDTF">2025-07-05T11:08:28Z</dcterms:created>
  <dcterms:modified xsi:type="dcterms:W3CDTF">2025-07-05T19:19:14Z</dcterms:modified>
</cp:coreProperties>
</file>