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4. Structured Notes/Autocallable/"/>
    </mc:Choice>
  </mc:AlternateContent>
  <xr:revisionPtr revIDLastSave="0" documentId="13_ncr:1_{33F6B2A0-27C5-6A45-BC32-615338061A76}" xr6:coauthVersionLast="47" xr6:coauthVersionMax="47" xr10:uidLastSave="{00000000-0000-0000-0000-000000000000}"/>
  <bookViews>
    <workbookView xWindow="17760" yWindow="500" windowWidth="31220" windowHeight="26320" activeTab="1" xr2:uid="{00000000-000D-0000-FFFF-FFFF00000000}"/>
  </bookViews>
  <sheets>
    <sheet name="portfolios_old" sheetId="1" r:id="rId1"/>
    <sheet name="Sheet1" sheetId="8" r:id="rId2"/>
    <sheet name="risk_dashboard" sheetId="2" r:id="rId3"/>
    <sheet name="assumptions" sheetId="3" r:id="rId4"/>
    <sheet name="ws_SAA" sheetId="4" r:id="rId5"/>
    <sheet name="ws_SAA_+_10%_Buffered_Note" sheetId="5" r:id="rId6"/>
    <sheet name="ws_SAA_+_20%_Buffered_Note" sheetId="6" r:id="rId7"/>
    <sheet name="ws_SAA_+_30%_Buffered_Note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  <c r="C8" i="8"/>
  <c r="C9" i="8"/>
  <c r="C10" i="8"/>
  <c r="C11" i="8"/>
  <c r="C12" i="8"/>
  <c r="D15" i="8"/>
  <c r="D16" i="8"/>
  <c r="D17" i="8"/>
  <c r="D18" i="8"/>
  <c r="D19" i="8"/>
  <c r="D14" i="8"/>
  <c r="D7" i="8"/>
  <c r="D8" i="8"/>
  <c r="C13" i="8"/>
  <c r="C14" i="8"/>
  <c r="C15" i="8"/>
  <c r="C16" i="8"/>
  <c r="C17" i="8"/>
  <c r="C18" i="8"/>
  <c r="C19" i="8"/>
  <c r="B18" i="8"/>
  <c r="B19" i="8"/>
  <c r="B9" i="8"/>
  <c r="B10" i="8"/>
  <c r="B11" i="8" s="1"/>
  <c r="B12" i="8" s="1"/>
  <c r="B13" i="8" s="1"/>
  <c r="B14" i="8" s="1"/>
  <c r="B15" i="8" s="1"/>
  <c r="B16" i="8" s="1"/>
  <c r="B17" i="8" s="1"/>
  <c r="B8" i="8"/>
  <c r="E32" i="1"/>
  <c r="E33" i="1"/>
  <c r="F31" i="1"/>
  <c r="F40" i="1"/>
  <c r="C40" i="1"/>
  <c r="C31" i="1" s="1"/>
  <c r="D40" i="1"/>
  <c r="D31" i="1" s="1"/>
  <c r="E40" i="1"/>
  <c r="E31" i="1" s="1"/>
  <c r="B40" i="1"/>
</calcChain>
</file>

<file path=xl/sharedStrings.xml><?xml version="1.0" encoding="utf-8"?>
<sst xmlns="http://schemas.openxmlformats.org/spreadsheetml/2006/main" count="237" uniqueCount="90">
  <si>
    <t>SAA</t>
  </si>
  <si>
    <t>SAA + 10% Buffered Note</t>
  </si>
  <si>
    <t>SAA + 20% Buffered Note</t>
  </si>
  <si>
    <t>SAA + 30% Buffered Note</t>
  </si>
  <si>
    <t>Investment Grade Fixed Income</t>
  </si>
  <si>
    <t xml:space="preserve">  US Dollar Debt</t>
  </si>
  <si>
    <t xml:space="preserve">  US Corporate Bonds</t>
  </si>
  <si>
    <t>Other Fixed Income</t>
  </si>
  <si>
    <t xml:space="preserve">  US High Yield</t>
  </si>
  <si>
    <t>Public Equity</t>
  </si>
  <si>
    <t xml:space="preserve">  Buffered Note (S&amp;P 500)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</si>
  <si>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</si>
  <si>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</si>
  <si>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</si>
  <si>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</si>
  <si>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</si>
  <si>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</si>
  <si>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</si>
  <si>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</si>
  <si>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</si>
  <si>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</si>
  <si>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</si>
  <si>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</si>
  <si>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</si>
  <si>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</si>
  <si>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</si>
  <si>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</si>
  <si>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</si>
  <si>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</si>
  <si>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</si>
  <si>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</si>
  <si>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</si>
  <si>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</si>
  <si>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</si>
  <si>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</si>
  <si>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</si>
  <si>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</si>
  <si>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</si>
  <si>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</si>
  <si>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</si>
  <si>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</si>
  <si>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</si>
  <si>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</si>
  <si>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</si>
  <si>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</si>
  <si>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</si>
  <si>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</si>
  <si>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</si>
  <si>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</si>
  <si>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</si>
  <si>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</si>
  <si>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</si>
  <si>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</si>
  <si>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</si>
  <si>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</si>
  <si>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</si>
  <si>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</si>
  <si>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</si>
  <si>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Corporate Bonds</t>
  </si>
  <si>
    <t xml:space="preserve">    US High Yield</t>
  </si>
  <si>
    <t xml:space="preserve">    Buffered Note (S&amp;P 500)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</si>
  <si>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</si>
  <si>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</si>
  <si>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</si>
  <si>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</si>
  <si>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</si>
  <si>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</si>
  <si>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</si>
  <si>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</si>
  <si>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</si>
  <si>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</si>
  <si>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</si>
  <si>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</si>
  <si>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</si>
  <si>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</si>
  <si>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</si>
  <si>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</si>
  <si>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</si>
  <si>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</si>
  <si>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</si>
  <si>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</si>
  <si>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</si>
  <si>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Yield Pickup</t>
  </si>
  <si>
    <t>-</t>
  </si>
  <si>
    <t>SAA + Buffered Note</t>
  </si>
  <si>
    <t>Simulated Volatility</t>
  </si>
  <si>
    <t>Simulated Probability of Loss</t>
  </si>
  <si>
    <t>Underlying</t>
  </si>
  <si>
    <t>Coupon</t>
  </si>
  <si>
    <t>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</si>
</sst>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7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theme="1"/>
      <name val="Calibri"/>
      <family val="2"/>
      <scheme val="minor"/>
    </font>
    <font>
      <sz val="14"/>
      <color rgb="FF414042"/>
      <name val="Arial"/>
      <family val="2"/>
    </font>
    <font>
      <sz val="11"/>
      <name val="Calibri Light"/>
      <family val="2"/>
    </font>
    <font>
      <sz val="11"/>
      <name val="Arial"/>
      <family val="2"/>
    </font>
    <font>
      <sz val="11"/>
      <color rgb="FFFFFFFF"/>
      <name val="Calibri"/>
      <family val="2"/>
    </font>
    <font>
      <sz val="11"/>
      <color rgb="FFFFFF00"/>
      <name val="Calibri"/>
      <family val="2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dotted">
        <color auto="1"/>
      </top>
      <bottom style="hair">
        <color theme="1" tint="0.14996795556505021"/>
      </bottom>
      <diagonal/>
    </border>
    <border>
      <left/>
      <right/>
      <top style="dotted">
        <color auto="1"/>
      </top>
      <bottom style="hair">
        <color theme="1" tint="0.14996795556505021"/>
      </bottom>
      <diagonal/>
    </border>
    <border>
      <left/>
      <right style="thin">
        <color theme="0"/>
      </right>
      <top style="dotted">
        <color auto="1"/>
      </top>
      <bottom style="hair">
        <color theme="1" tint="0.14996795556505021"/>
      </bottom>
      <diagonal/>
    </border>
    <border>
      <left style="thin">
        <color theme="0"/>
      </left>
      <right/>
      <top style="hair">
        <color theme="1" tint="0.14996795556505021"/>
      </top>
      <bottom style="hair">
        <color theme="1" tint="0.14996795556505021"/>
      </bottom>
      <diagonal/>
    </border>
    <border>
      <left/>
      <right/>
      <top style="hair">
        <color theme="1" tint="0.14996795556505021"/>
      </top>
      <bottom style="hair">
        <color theme="1" tint="0.14996795556505021"/>
      </bottom>
      <diagonal/>
    </border>
    <border>
      <left/>
      <right style="thin">
        <color theme="0"/>
      </right>
      <top style="hair">
        <color theme="1" tint="0.14996795556505021"/>
      </top>
      <bottom style="hair">
        <color theme="1" tint="0.14996795556505021"/>
      </bottom>
      <diagonal/>
    </border>
    <border>
      <left/>
      <right style="thin">
        <color theme="0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06">
    <xf numFmtId="0" fontId="0" fillId="0" borderId="0" xfId="0"/>
    <xf numFmtId="165" fontId="1" fillId="2" borderId="2" xfId="0" applyNumberFormat="1" applyFont="1" applyFill="1" applyBorder="1" applyAlignment="1">
      <alignment horizontal="right" vertical="center" indent="4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/>
    <xf numFmtId="164" fontId="3" fillId="6" borderId="2" xfId="0" applyNumberFormat="1" applyFont="1" applyFill="1" applyBorder="1" applyAlignment="1">
      <alignment horizontal="center"/>
    </xf>
    <xf numFmtId="0" fontId="3" fillId="6" borderId="5" xfId="0" applyFont="1" applyFill="1" applyBorder="1"/>
    <xf numFmtId="0" fontId="4" fillId="6" borderId="4" xfId="0" applyFont="1" applyFill="1" applyBorder="1"/>
    <xf numFmtId="0" fontId="3" fillId="6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 indent="1"/>
    </xf>
    <xf numFmtId="0" fontId="5" fillId="6" borderId="2" xfId="0" applyFont="1" applyFill="1" applyBorder="1" applyAlignment="1">
      <alignment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5" fillId="6" borderId="7" xfId="0" applyFont="1" applyFill="1" applyBorder="1" applyAlignment="1">
      <alignment horizontal="center" vertical="center" wrapText="1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center"/>
    </xf>
    <xf numFmtId="2" fontId="6" fillId="6" borderId="2" xfId="0" applyNumberFormat="1" applyFont="1" applyFill="1" applyBorder="1" applyAlignment="1">
      <alignment horizontal="center"/>
    </xf>
    <xf numFmtId="0" fontId="5" fillId="6" borderId="2" xfId="0" applyFont="1" applyFill="1" applyBorder="1"/>
    <xf numFmtId="164" fontId="7" fillId="6" borderId="2" xfId="0" applyNumberFormat="1" applyFont="1" applyFill="1" applyBorder="1" applyAlignment="1">
      <alignment horizontal="right"/>
    </xf>
    <xf numFmtId="164" fontId="5" fillId="6" borderId="2" xfId="0" applyNumberFormat="1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left"/>
    </xf>
    <xf numFmtId="2" fontId="5" fillId="6" borderId="2" xfId="0" applyNumberFormat="1" applyFont="1" applyFill="1" applyBorder="1" applyAlignment="1">
      <alignment horizontal="center"/>
    </xf>
    <xf numFmtId="9" fontId="5" fillId="6" borderId="2" xfId="0" applyNumberFormat="1" applyFont="1" applyFill="1" applyBorder="1" applyAlignment="1">
      <alignment horizontal="center"/>
    </xf>
    <xf numFmtId="17" fontId="5" fillId="6" borderId="2" xfId="0" applyNumberFormat="1" applyFont="1" applyFill="1" applyBorder="1" applyAlignment="1">
      <alignment horizontal="center"/>
    </xf>
    <xf numFmtId="0" fontId="6" fillId="6" borderId="8" xfId="0" applyFont="1" applyFill="1" applyBorder="1"/>
    <xf numFmtId="164" fontId="6" fillId="6" borderId="8" xfId="0" applyNumberFormat="1" applyFont="1" applyFill="1" applyBorder="1" applyAlignment="1">
      <alignment horizontal="right"/>
    </xf>
    <xf numFmtId="164" fontId="6" fillId="6" borderId="8" xfId="0" applyNumberFormat="1" applyFont="1" applyFill="1" applyBorder="1" applyAlignment="1">
      <alignment horizontal="center"/>
    </xf>
    <xf numFmtId="164" fontId="9" fillId="6" borderId="8" xfId="0" applyNumberFormat="1" applyFont="1" applyFill="1" applyBorder="1" applyAlignment="1">
      <alignment horizontal="left"/>
    </xf>
    <xf numFmtId="2" fontId="6" fillId="6" borderId="8" xfId="0" applyNumberFormat="1" applyFont="1" applyFill="1" applyBorder="1" applyAlignment="1">
      <alignment horizontal="center"/>
    </xf>
    <xf numFmtId="9" fontId="6" fillId="6" borderId="8" xfId="0" applyNumberFormat="1" applyFont="1" applyFill="1" applyBorder="1" applyAlignment="1">
      <alignment horizontal="center"/>
    </xf>
    <xf numFmtId="17" fontId="6" fillId="6" borderId="8" xfId="0" applyNumberFormat="1" applyFont="1" applyFill="1" applyBorder="1" applyAlignment="1">
      <alignment horizontal="center"/>
    </xf>
    <xf numFmtId="0" fontId="5" fillId="6" borderId="7" xfId="0" applyFont="1" applyFill="1" applyBorder="1"/>
    <xf numFmtId="164" fontId="7" fillId="6" borderId="7" xfId="0" applyNumberFormat="1" applyFont="1" applyFill="1" applyBorder="1" applyAlignment="1">
      <alignment horizontal="right"/>
    </xf>
    <xf numFmtId="164" fontId="5" fillId="6" borderId="7" xfId="0" applyNumberFormat="1" applyFont="1" applyFill="1" applyBorder="1" applyAlignment="1">
      <alignment horizontal="center"/>
    </xf>
    <xf numFmtId="164" fontId="8" fillId="6" borderId="7" xfId="0" applyNumberFormat="1" applyFont="1" applyFill="1" applyBorder="1" applyAlignment="1">
      <alignment horizontal="left"/>
    </xf>
    <xf numFmtId="2" fontId="5" fillId="6" borderId="7" xfId="0" applyNumberFormat="1" applyFont="1" applyFill="1" applyBorder="1" applyAlignment="1">
      <alignment horizontal="center"/>
    </xf>
    <xf numFmtId="9" fontId="5" fillId="6" borderId="7" xfId="0" applyNumberFormat="1" applyFont="1" applyFill="1" applyBorder="1" applyAlignment="1">
      <alignment horizontal="center"/>
    </xf>
    <xf numFmtId="17" fontId="5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0" fontId="11" fillId="0" borderId="0" xfId="0" applyNumberFormat="1" applyFont="1"/>
    <xf numFmtId="9" fontId="0" fillId="0" borderId="0" xfId="0" applyNumberFormat="1"/>
    <xf numFmtId="10" fontId="0" fillId="0" borderId="0" xfId="1" applyNumberFormat="1" applyFont="1"/>
    <xf numFmtId="0" fontId="0" fillId="7" borderId="10" xfId="0" applyFill="1" applyBorder="1"/>
    <xf numFmtId="0" fontId="0" fillId="7" borderId="11" xfId="0" applyFill="1" applyBorder="1"/>
    <xf numFmtId="0" fontId="12" fillId="2" borderId="12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right" vertical="center" indent="4"/>
    </xf>
    <xf numFmtId="164" fontId="12" fillId="3" borderId="14" xfId="0" applyNumberFormat="1" applyFont="1" applyFill="1" applyBorder="1" applyAlignment="1">
      <alignment horizontal="right" vertical="center" indent="4"/>
    </xf>
    <xf numFmtId="0" fontId="12" fillId="2" borderId="13" xfId="0" applyFont="1" applyFill="1" applyBorder="1" applyAlignment="1">
      <alignment horizontal="left" vertical="center"/>
    </xf>
    <xf numFmtId="165" fontId="12" fillId="2" borderId="2" xfId="0" applyNumberFormat="1" applyFont="1" applyFill="1" applyBorder="1" applyAlignment="1">
      <alignment horizontal="right" vertical="center" indent="4"/>
    </xf>
    <xf numFmtId="165" fontId="12" fillId="2" borderId="14" xfId="0" applyNumberFormat="1" applyFont="1" applyFill="1" applyBorder="1" applyAlignment="1">
      <alignment horizontal="right" vertical="center" indent="4"/>
    </xf>
    <xf numFmtId="0" fontId="12" fillId="2" borderId="15" xfId="0" applyFont="1" applyFill="1" applyBorder="1"/>
    <xf numFmtId="164" fontId="12" fillId="2" borderId="3" xfId="0" applyNumberFormat="1" applyFont="1" applyFill="1" applyBorder="1" applyAlignment="1">
      <alignment horizontal="right" indent="4"/>
    </xf>
    <xf numFmtId="164" fontId="12" fillId="2" borderId="16" xfId="0" applyNumberFormat="1" applyFont="1" applyFill="1" applyBorder="1" applyAlignment="1">
      <alignment horizontal="right" indent="4"/>
    </xf>
    <xf numFmtId="0" fontId="13" fillId="2" borderId="13" xfId="0" applyFont="1" applyFill="1" applyBorder="1"/>
    <xf numFmtId="0" fontId="13" fillId="2" borderId="2" xfId="0" applyFont="1" applyFill="1" applyBorder="1"/>
    <xf numFmtId="0" fontId="13" fillId="2" borderId="14" xfId="0" applyFont="1" applyFill="1" applyBorder="1"/>
    <xf numFmtId="164" fontId="14" fillId="4" borderId="13" xfId="0" applyNumberFormat="1" applyFont="1" applyFill="1" applyBorder="1" applyAlignment="1">
      <alignment vertical="center"/>
    </xf>
    <xf numFmtId="164" fontId="14" fillId="4" borderId="2" xfId="0" applyNumberFormat="1" applyFont="1" applyFill="1" applyBorder="1" applyAlignment="1">
      <alignment horizontal="right" vertical="center" indent="4"/>
    </xf>
    <xf numFmtId="164" fontId="14" fillId="4" borderId="14" xfId="0" applyNumberFormat="1" applyFont="1" applyFill="1" applyBorder="1" applyAlignment="1">
      <alignment horizontal="right" vertical="center" indent="4"/>
    </xf>
    <xf numFmtId="2" fontId="14" fillId="4" borderId="2" xfId="0" applyNumberFormat="1" applyFont="1" applyFill="1" applyBorder="1" applyAlignment="1">
      <alignment horizontal="right" vertical="center" indent="4"/>
    </xf>
    <xf numFmtId="2" fontId="14" fillId="4" borderId="14" xfId="0" applyNumberFormat="1" applyFont="1" applyFill="1" applyBorder="1" applyAlignment="1">
      <alignment horizontal="right" vertical="center" indent="4"/>
    </xf>
    <xf numFmtId="0" fontId="0" fillId="7" borderId="13" xfId="0" applyFill="1" applyBorder="1"/>
    <xf numFmtId="0" fontId="0" fillId="7" borderId="2" xfId="0" applyFill="1" applyBorder="1"/>
    <xf numFmtId="0" fontId="0" fillId="7" borderId="14" xfId="0" applyFill="1" applyBorder="1"/>
    <xf numFmtId="164" fontId="15" fillId="4" borderId="17" xfId="0" applyNumberFormat="1" applyFont="1" applyFill="1" applyBorder="1" applyAlignment="1">
      <alignment vertical="center"/>
    </xf>
    <xf numFmtId="164" fontId="15" fillId="4" borderId="18" xfId="0" applyNumberFormat="1" applyFont="1" applyFill="1" applyBorder="1" applyAlignment="1">
      <alignment horizontal="right" vertical="center" indent="4"/>
    </xf>
    <xf numFmtId="164" fontId="15" fillId="4" borderId="19" xfId="0" applyNumberFormat="1" applyFont="1" applyFill="1" applyBorder="1" applyAlignment="1">
      <alignment horizontal="right" vertical="center" indent="4"/>
    </xf>
    <xf numFmtId="0" fontId="12" fillId="3" borderId="20" xfId="0" applyFont="1" applyFill="1" applyBorder="1" applyAlignment="1">
      <alignment horizontal="left" vertical="center"/>
    </xf>
    <xf numFmtId="164" fontId="12" fillId="3" borderId="21" xfId="0" applyNumberFormat="1" applyFont="1" applyFill="1" applyBorder="1" applyAlignment="1">
      <alignment horizontal="right" vertical="center" indent="4"/>
    </xf>
    <xf numFmtId="164" fontId="12" fillId="3" borderId="22" xfId="0" applyNumberFormat="1" applyFont="1" applyFill="1" applyBorder="1" applyAlignment="1">
      <alignment horizontal="right" vertical="center" indent="4"/>
    </xf>
    <xf numFmtId="0" fontId="12" fillId="2" borderId="23" xfId="0" applyFont="1" applyFill="1" applyBorder="1" applyAlignment="1">
      <alignment horizontal="left" vertical="center"/>
    </xf>
    <xf numFmtId="165" fontId="12" fillId="2" borderId="24" xfId="0" applyNumberFormat="1" applyFont="1" applyFill="1" applyBorder="1" applyAlignment="1">
      <alignment horizontal="right" vertical="center" indent="4"/>
    </xf>
    <xf numFmtId="165" fontId="12" fillId="2" borderId="25" xfId="0" applyNumberFormat="1" applyFont="1" applyFill="1" applyBorder="1" applyAlignment="1">
      <alignment horizontal="right" vertical="center" indent="4"/>
    </xf>
    <xf numFmtId="0" fontId="12" fillId="3" borderId="23" xfId="0" applyFont="1" applyFill="1" applyBorder="1" applyAlignment="1">
      <alignment horizontal="left" vertical="center"/>
    </xf>
    <xf numFmtId="164" fontId="12" fillId="3" borderId="24" xfId="0" applyNumberFormat="1" applyFont="1" applyFill="1" applyBorder="1" applyAlignment="1">
      <alignment horizontal="right" vertical="center" indent="4"/>
    </xf>
    <xf numFmtId="164" fontId="12" fillId="3" borderId="25" xfId="0" applyNumberFormat="1" applyFont="1" applyFill="1" applyBorder="1" applyAlignment="1">
      <alignment horizontal="right" vertical="center" indent="4"/>
    </xf>
    <xf numFmtId="165" fontId="12" fillId="2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9" fontId="12" fillId="2" borderId="26" xfId="0" applyNumberFormat="1" applyFont="1" applyFill="1" applyBorder="1" applyAlignment="1">
      <alignment horizontal="center" vertical="center" wrapText="1"/>
    </xf>
    <xf numFmtId="9" fontId="12" fillId="2" borderId="27" xfId="0" applyNumberFormat="1" applyFont="1" applyFill="1" applyBorder="1" applyAlignment="1">
      <alignment horizontal="center" vertical="center" wrapText="1"/>
    </xf>
    <xf numFmtId="164" fontId="16" fillId="4" borderId="10" xfId="0" applyNumberFormat="1" applyFont="1" applyFill="1" applyBorder="1" applyAlignment="1">
      <alignment vertical="center"/>
    </xf>
    <xf numFmtId="164" fontId="16" fillId="4" borderId="11" xfId="0" applyNumberFormat="1" applyFont="1" applyFill="1" applyBorder="1" applyAlignment="1">
      <alignment horizontal="right" vertical="center" indent="4"/>
    </xf>
    <xf numFmtId="164" fontId="16" fillId="4" borderId="28" xfId="0" applyNumberFormat="1" applyFont="1" applyFill="1" applyBorder="1" applyAlignment="1">
      <alignment horizontal="right" vertical="center" indent="4"/>
    </xf>
    <xf numFmtId="164" fontId="16" fillId="4" borderId="17" xfId="0" applyNumberFormat="1" applyFont="1" applyFill="1" applyBorder="1" applyAlignment="1">
      <alignment vertical="center"/>
    </xf>
    <xf numFmtId="164" fontId="16" fillId="4" borderId="18" xfId="0" applyNumberFormat="1" applyFont="1" applyFill="1" applyBorder="1" applyAlignment="1">
      <alignment horizontal="right" vertical="center" indent="4"/>
    </xf>
    <xf numFmtId="164" fontId="16" fillId="4" borderId="19" xfId="0" applyNumberFormat="1" applyFont="1" applyFill="1" applyBorder="1" applyAlignment="1">
      <alignment horizontal="right" vertical="center" indent="4"/>
    </xf>
    <xf numFmtId="0" fontId="0" fillId="7" borderId="29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/>
    </xf>
    <xf numFmtId="0" fontId="0" fillId="0" borderId="0" xfId="0"/>
    <xf numFmtId="2" fontId="3" fillId="6" borderId="2" xfId="0" applyNumberFormat="1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0" fontId="0" fillId="0" borderId="6" xfId="0" applyBorder="1"/>
    <xf numFmtId="0" fontId="2" fillId="5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0" fillId="0" borderId="9" xfId="0" applyBorder="1"/>
    <xf numFmtId="0" fontId="5" fillId="6" borderId="7" xfId="0" applyFont="1" applyFill="1" applyBorder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9" fontId="0" fillId="7" borderId="0" xfId="1" applyFont="1" applyFill="1" applyAlignment="1">
      <alignment horizontal="center"/>
    </xf>
    <xf numFmtId="164" fontId="0" fillId="7" borderId="0" xfId="1" applyNumberFormat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9229305454925"/>
          <c:y val="3.3485540334855401E-2"/>
          <c:w val="0.84610659195879412"/>
          <c:h val="0.80713669071905036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0%</c:formatCode>
                <c:ptCount val="13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-0.15000000000000002</c:v>
                </c:pt>
                <c:pt idx="4">
                  <c:v>-0.10000000000000002</c:v>
                </c:pt>
                <c:pt idx="5">
                  <c:v>-5.0000000000000017E-2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0.15000000000000002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cat>
          <c:val>
            <c:numRef>
              <c:f>Sheet1!$B$7:$B$19</c:f>
              <c:numCache>
                <c:formatCode>0%</c:formatCode>
                <c:ptCount val="13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-0.15000000000000002</c:v>
                </c:pt>
                <c:pt idx="4">
                  <c:v>-0.10000000000000002</c:v>
                </c:pt>
                <c:pt idx="5">
                  <c:v>-5.0000000000000017E-2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0.15000000000000002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4-C244-A55C-86E2BAD44D95}"/>
            </c:ext>
          </c:extLst>
        </c:ser>
        <c:ser>
          <c:idx val="1"/>
          <c:order val="1"/>
          <c:spPr>
            <a:ln w="3492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0%</c:formatCode>
                <c:ptCount val="13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-0.15000000000000002</c:v>
                </c:pt>
                <c:pt idx="4">
                  <c:v>-0.10000000000000002</c:v>
                </c:pt>
                <c:pt idx="5">
                  <c:v>-5.0000000000000017E-2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0.15000000000000002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cat>
          <c:val>
            <c:numRef>
              <c:f>Sheet1!$C$7:$C$19</c:f>
              <c:numCache>
                <c:formatCode>0%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4-C244-A55C-86E2BAD44D95}"/>
            </c:ext>
          </c:extLst>
        </c:ser>
        <c:ser>
          <c:idx val="2"/>
          <c:order val="2"/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0%</c:formatCode>
                <c:ptCount val="13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-0.15000000000000002</c:v>
                </c:pt>
                <c:pt idx="4">
                  <c:v>-0.10000000000000002</c:v>
                </c:pt>
                <c:pt idx="5">
                  <c:v>-5.0000000000000017E-2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0.15000000000000002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cat>
          <c:val>
            <c:numRef>
              <c:f>Sheet1!$D$7:$D$19</c:f>
              <c:numCache>
                <c:formatCode>0.0%</c:formatCode>
                <c:ptCount val="13"/>
                <c:pt idx="0">
                  <c:v>-0.15000000000000002</c:v>
                </c:pt>
                <c:pt idx="1">
                  <c:v>-0.1</c:v>
                </c:pt>
                <c:pt idx="2">
                  <c:v>-0.05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4-C244-A55C-86E2BAD4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925375"/>
        <c:axId val="1556927087"/>
      </c:lineChart>
      <c:catAx>
        <c:axId val="155692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Underlying Cumulative Return at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27087"/>
        <c:crossesAt val="0"/>
        <c:auto val="1"/>
        <c:lblAlgn val="ctr"/>
        <c:lblOffset val="100"/>
        <c:tickLblSkip val="2"/>
        <c:tickMarkSkip val="3"/>
        <c:noMultiLvlLbl val="0"/>
      </c:catAx>
      <c:valAx>
        <c:axId val="155692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Payoff at Maturity (% Notional)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25375"/>
        <c:crossesAt val="7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F-7942-9950-DC98E1E9551E}"/>
            </c:ext>
          </c:extLst>
        </c:ser>
        <c:ser>
          <c:idx val="1"/>
          <c:order val="1"/>
          <c:tx>
            <c:strRef>
              <c:f>ws_SAA!$K$2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F-7942-9950-DC98E1E9551E}"/>
            </c:ext>
          </c:extLst>
        </c:ser>
        <c:ser>
          <c:idx val="2"/>
          <c:order val="2"/>
          <c:tx>
            <c:strRef>
              <c:f>ws_SAA!$L$2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F-7942-9950-DC98E1E9551E}"/>
            </c:ext>
          </c:extLst>
        </c:ser>
        <c:ser>
          <c:idx val="3"/>
          <c:order val="3"/>
          <c:tx>
            <c:strRef>
              <c:f>ws_SAA!$M$2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DF-7942-9950-DC98E1E95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83.274644252714282</c:v>
                </c:pt>
                <c:pt idx="2">
                  <c:v>83.091003290594429</c:v>
                </c:pt>
                <c:pt idx="3">
                  <c:v>83.205155925495092</c:v>
                </c:pt>
                <c:pt idx="4">
                  <c:v>82.299290067753759</c:v>
                </c:pt>
                <c:pt idx="5">
                  <c:v>82.754468618143747</c:v>
                </c:pt>
                <c:pt idx="6">
                  <c:v>83.848995352800401</c:v>
                </c:pt>
                <c:pt idx="7">
                  <c:v>82.941448522886816</c:v>
                </c:pt>
                <c:pt idx="8">
                  <c:v>82.775974559693751</c:v>
                </c:pt>
                <c:pt idx="9">
                  <c:v>82.214464425360873</c:v>
                </c:pt>
                <c:pt idx="10">
                  <c:v>83.099677541688621</c:v>
                </c:pt>
                <c:pt idx="11">
                  <c:v>84.535920121230177</c:v>
                </c:pt>
                <c:pt idx="12">
                  <c:v>85.418694795649259</c:v>
                </c:pt>
                <c:pt idx="13">
                  <c:v>87.478475195042364</c:v>
                </c:pt>
                <c:pt idx="14">
                  <c:v>88.425413769077608</c:v>
                </c:pt>
                <c:pt idx="15">
                  <c:v>89.328174831200371</c:v>
                </c:pt>
                <c:pt idx="16">
                  <c:v>92.346240291718146</c:v>
                </c:pt>
                <c:pt idx="17">
                  <c:v>94.654834423174947</c:v>
                </c:pt>
                <c:pt idx="18">
                  <c:v>96.571391384329658</c:v>
                </c:pt>
                <c:pt idx="19">
                  <c:v>99.298307747483804</c:v>
                </c:pt>
                <c:pt idx="20">
                  <c:v>102.3272600561673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0-2143-B865-97845E86EAC8}"/>
            </c:ext>
          </c:extLst>
        </c:ser>
        <c:ser>
          <c:idx val="1"/>
          <c:order val="1"/>
          <c:tx>
            <c:strRef>
              <c:f>ws_SAA!$C$2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94.157933234180078</c:v>
                </c:pt>
                <c:pt idx="2">
                  <c:v>95.787002442333417</c:v>
                </c:pt>
                <c:pt idx="3">
                  <c:v>99.446643740700139</c:v>
                </c:pt>
                <c:pt idx="4">
                  <c:v>102.615982497728</c:v>
                </c:pt>
                <c:pt idx="5">
                  <c:v>106.5894561887162</c:v>
                </c:pt>
                <c:pt idx="6">
                  <c:v>110.8884141219194</c:v>
                </c:pt>
                <c:pt idx="7">
                  <c:v>114.6442481281877</c:v>
                </c:pt>
                <c:pt idx="8">
                  <c:v>118.5532274099852</c:v>
                </c:pt>
                <c:pt idx="9">
                  <c:v>121.8780847359168</c:v>
                </c:pt>
                <c:pt idx="10">
                  <c:v>126.5445746499467</c:v>
                </c:pt>
                <c:pt idx="11">
                  <c:v>130.37557500039171</c:v>
                </c:pt>
                <c:pt idx="12">
                  <c:v>135.54417358474521</c:v>
                </c:pt>
                <c:pt idx="13">
                  <c:v>140.23155078795861</c:v>
                </c:pt>
                <c:pt idx="14">
                  <c:v>145.97840246878121</c:v>
                </c:pt>
                <c:pt idx="15">
                  <c:v>151.48198782314711</c:v>
                </c:pt>
                <c:pt idx="16">
                  <c:v>157.3854809265882</c:v>
                </c:pt>
                <c:pt idx="17">
                  <c:v>163.45627874741339</c:v>
                </c:pt>
                <c:pt idx="18">
                  <c:v>169.92822442168449</c:v>
                </c:pt>
                <c:pt idx="19">
                  <c:v>176.29823117470829</c:v>
                </c:pt>
                <c:pt idx="20">
                  <c:v>184.82797011447181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0-2143-B865-97845E86EAC8}"/>
            </c:ext>
          </c:extLst>
        </c:ser>
        <c:ser>
          <c:idx val="2"/>
          <c:order val="2"/>
          <c:tx>
            <c:strRef>
              <c:f>ws_SAA!$D$2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108.4922638244291</c:v>
                </c:pt>
                <c:pt idx="2">
                  <c:v>115.29957653652821</c:v>
                </c:pt>
                <c:pt idx="3">
                  <c:v>122.5886129832482</c:v>
                </c:pt>
                <c:pt idx="4">
                  <c:v>131.59096303354951</c:v>
                </c:pt>
                <c:pt idx="5">
                  <c:v>141.60596313628761</c:v>
                </c:pt>
                <c:pt idx="6">
                  <c:v>151.93391686549339</c:v>
                </c:pt>
                <c:pt idx="7">
                  <c:v>162.76336850402041</c:v>
                </c:pt>
                <c:pt idx="8">
                  <c:v>173.87424519496619</c:v>
                </c:pt>
                <c:pt idx="9">
                  <c:v>185.93385369415489</c:v>
                </c:pt>
                <c:pt idx="10">
                  <c:v>197.7507097298039</c:v>
                </c:pt>
                <c:pt idx="11">
                  <c:v>211.05688189366921</c:v>
                </c:pt>
                <c:pt idx="12">
                  <c:v>223.78041352294429</c:v>
                </c:pt>
                <c:pt idx="13">
                  <c:v>238.0170870409373</c:v>
                </c:pt>
                <c:pt idx="14">
                  <c:v>253.0803446941832</c:v>
                </c:pt>
                <c:pt idx="15">
                  <c:v>268.63315306151071</c:v>
                </c:pt>
                <c:pt idx="16">
                  <c:v>285.41824071945922</c:v>
                </c:pt>
                <c:pt idx="17">
                  <c:v>302.51470381917318</c:v>
                </c:pt>
                <c:pt idx="18">
                  <c:v>323.58167215422083</c:v>
                </c:pt>
                <c:pt idx="19">
                  <c:v>343.23516037045908</c:v>
                </c:pt>
                <c:pt idx="20">
                  <c:v>364.78351307051832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E0-2143-B865-97845E86EAC8}"/>
            </c:ext>
          </c:extLst>
        </c:ser>
        <c:ser>
          <c:idx val="3"/>
          <c:order val="3"/>
          <c:tx>
            <c:strRef>
              <c:f>ws_SAA!$E$2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120.673076997678</c:v>
                </c:pt>
                <c:pt idx="2">
                  <c:v>135.389307738203</c:v>
                </c:pt>
                <c:pt idx="3">
                  <c:v>149.83952187836681</c:v>
                </c:pt>
                <c:pt idx="4">
                  <c:v>166.35358530382391</c:v>
                </c:pt>
                <c:pt idx="5">
                  <c:v>184.54574300836961</c:v>
                </c:pt>
                <c:pt idx="6">
                  <c:v>202.71070200446741</c:v>
                </c:pt>
                <c:pt idx="7">
                  <c:v>223.18816275014299</c:v>
                </c:pt>
                <c:pt idx="8">
                  <c:v>245.52497862730411</c:v>
                </c:pt>
                <c:pt idx="9">
                  <c:v>269.63575038220011</c:v>
                </c:pt>
                <c:pt idx="10">
                  <c:v>294.45439044436552</c:v>
                </c:pt>
                <c:pt idx="11">
                  <c:v>320.29541404169589</c:v>
                </c:pt>
                <c:pt idx="12">
                  <c:v>350.54254774162342</c:v>
                </c:pt>
                <c:pt idx="13">
                  <c:v>381.88129171513918</c:v>
                </c:pt>
                <c:pt idx="14">
                  <c:v>416.92443955648349</c:v>
                </c:pt>
                <c:pt idx="15">
                  <c:v>453.69452198993417</c:v>
                </c:pt>
                <c:pt idx="16">
                  <c:v>491.9755376653606</c:v>
                </c:pt>
                <c:pt idx="17">
                  <c:v>534.84556991948511</c:v>
                </c:pt>
                <c:pt idx="18">
                  <c:v>581.3042743198024</c:v>
                </c:pt>
                <c:pt idx="19">
                  <c:v>627.62833811427413</c:v>
                </c:pt>
                <c:pt idx="20">
                  <c:v>679.57412233758134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E0-2143-B865-97845E86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80.447727206586279</c:v>
                </c:pt>
                <c:pt idx="2">
                  <c:v>78.4120319111383</c:v>
                </c:pt>
                <c:pt idx="3">
                  <c:v>76.871367545469028</c:v>
                </c:pt>
                <c:pt idx="4">
                  <c:v>74.654098090424782</c:v>
                </c:pt>
                <c:pt idx="5">
                  <c:v>73.358903667193346</c:v>
                </c:pt>
                <c:pt idx="6">
                  <c:v>72.883375389709158</c:v>
                </c:pt>
                <c:pt idx="7">
                  <c:v>70.428000334467995</c:v>
                </c:pt>
                <c:pt idx="8">
                  <c:v>70.046993370817702</c:v>
                </c:pt>
                <c:pt idx="9">
                  <c:v>67.507072669200653</c:v>
                </c:pt>
                <c:pt idx="10">
                  <c:v>67.717028537314619</c:v>
                </c:pt>
                <c:pt idx="11">
                  <c:v>67.511503869813723</c:v>
                </c:pt>
                <c:pt idx="12">
                  <c:v>66.843942406261249</c:v>
                </c:pt>
                <c:pt idx="13">
                  <c:v>66.775845632680159</c:v>
                </c:pt>
                <c:pt idx="14">
                  <c:v>66.177021632804141</c:v>
                </c:pt>
                <c:pt idx="15">
                  <c:v>66.043657266869545</c:v>
                </c:pt>
                <c:pt idx="16">
                  <c:v>67.077610664924677</c:v>
                </c:pt>
                <c:pt idx="17">
                  <c:v>67.584795622484108</c:v>
                </c:pt>
                <c:pt idx="18">
                  <c:v>67.031746425701144</c:v>
                </c:pt>
                <c:pt idx="19">
                  <c:v>68.621246456512807</c:v>
                </c:pt>
                <c:pt idx="20">
                  <c:v>68.894269157303881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9-1141-B095-875B7334F8F5}"/>
            </c:ext>
          </c:extLst>
        </c:ser>
        <c:ser>
          <c:idx val="1"/>
          <c:order val="1"/>
          <c:tx>
            <c:strRef>
              <c:f>ws_SAA!$G$2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91.806765012651894</c:v>
                </c:pt>
                <c:pt idx="2">
                  <c:v>91.090530784961601</c:v>
                </c:pt>
                <c:pt idx="3">
                  <c:v>92.486113073757934</c:v>
                </c:pt>
                <c:pt idx="4">
                  <c:v>93.31224799041307</c:v>
                </c:pt>
                <c:pt idx="5">
                  <c:v>94.869647256459231</c:v>
                </c:pt>
                <c:pt idx="6">
                  <c:v>96.525937965725305</c:v>
                </c:pt>
                <c:pt idx="7">
                  <c:v>97.952935332045357</c:v>
                </c:pt>
                <c:pt idx="8">
                  <c:v>99.402825517082746</c:v>
                </c:pt>
                <c:pt idx="9">
                  <c:v>100.4665988928557</c:v>
                </c:pt>
                <c:pt idx="10">
                  <c:v>102.1733945782387</c:v>
                </c:pt>
                <c:pt idx="11">
                  <c:v>103.4284420366677</c:v>
                </c:pt>
                <c:pt idx="12">
                  <c:v>105.0854226049868</c:v>
                </c:pt>
                <c:pt idx="13">
                  <c:v>106.824543931444</c:v>
                </c:pt>
                <c:pt idx="14">
                  <c:v>108.742454031403</c:v>
                </c:pt>
                <c:pt idx="15">
                  <c:v>110.9380386434346</c:v>
                </c:pt>
                <c:pt idx="16">
                  <c:v>113.1268091389622</c:v>
                </c:pt>
                <c:pt idx="17">
                  <c:v>115.26629093563881</c:v>
                </c:pt>
                <c:pt idx="18">
                  <c:v>117.78291776982731</c:v>
                </c:pt>
                <c:pt idx="19">
                  <c:v>120.1089071200556</c:v>
                </c:pt>
                <c:pt idx="20">
                  <c:v>122.7582988895666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C9-1141-B095-875B7334F8F5}"/>
            </c:ext>
          </c:extLst>
        </c:ser>
        <c:ser>
          <c:idx val="2"/>
          <c:order val="2"/>
          <c:tx>
            <c:strRef>
              <c:f>ws_SAA!$H$2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106.1303617113645</c:v>
                </c:pt>
                <c:pt idx="2">
                  <c:v>110.26723186422289</c:v>
                </c:pt>
                <c:pt idx="3">
                  <c:v>114.622719428908</c:v>
                </c:pt>
                <c:pt idx="4">
                  <c:v>120.3623240042425</c:v>
                </c:pt>
                <c:pt idx="5">
                  <c:v>126.90302315825549</c:v>
                </c:pt>
                <c:pt idx="6">
                  <c:v>133.27043354214581</c:v>
                </c:pt>
                <c:pt idx="7">
                  <c:v>139.81621593630629</c:v>
                </c:pt>
                <c:pt idx="8">
                  <c:v>146.41057279151951</c:v>
                </c:pt>
                <c:pt idx="9">
                  <c:v>153.22149348188611</c:v>
                </c:pt>
                <c:pt idx="10">
                  <c:v>160.0021729045946</c:v>
                </c:pt>
                <c:pt idx="11">
                  <c:v>167.00944694712231</c:v>
                </c:pt>
                <c:pt idx="12">
                  <c:v>173.5799397696359</c:v>
                </c:pt>
                <c:pt idx="13">
                  <c:v>181.58284117338809</c:v>
                </c:pt>
                <c:pt idx="14">
                  <c:v>189.52526780918549</c:v>
                </c:pt>
                <c:pt idx="15">
                  <c:v>197.03831210460899</c:v>
                </c:pt>
                <c:pt idx="16">
                  <c:v>205.565018865903</c:v>
                </c:pt>
                <c:pt idx="17">
                  <c:v>213.48096441813919</c:v>
                </c:pt>
                <c:pt idx="18">
                  <c:v>223.3062084432373</c:v>
                </c:pt>
                <c:pt idx="19">
                  <c:v>233.03221208562169</c:v>
                </c:pt>
                <c:pt idx="20">
                  <c:v>242.4197471325011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C9-1141-B095-875B7334F8F5}"/>
            </c:ext>
          </c:extLst>
        </c:ser>
        <c:ser>
          <c:idx val="3"/>
          <c:order val="3"/>
          <c:tx>
            <c:strRef>
              <c:f>ws_SAA!$I$2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118.2566274790338</c:v>
                </c:pt>
                <c:pt idx="2">
                  <c:v>129.8002225749448</c:v>
                </c:pt>
                <c:pt idx="3">
                  <c:v>140.4281194095725</c:v>
                </c:pt>
                <c:pt idx="4">
                  <c:v>152.8034042319062</c:v>
                </c:pt>
                <c:pt idx="5">
                  <c:v>166.2096306996425</c:v>
                </c:pt>
                <c:pt idx="6">
                  <c:v>178.5469467915355</c:v>
                </c:pt>
                <c:pt idx="7">
                  <c:v>192.55714974456271</c:v>
                </c:pt>
                <c:pt idx="8">
                  <c:v>207.97536635817281</c:v>
                </c:pt>
                <c:pt idx="9">
                  <c:v>223.930663746459</c:v>
                </c:pt>
                <c:pt idx="10">
                  <c:v>239.6229700910481</c:v>
                </c:pt>
                <c:pt idx="11">
                  <c:v>255.45991186295211</c:v>
                </c:pt>
                <c:pt idx="12">
                  <c:v>273.8691114641851</c:v>
                </c:pt>
                <c:pt idx="13">
                  <c:v>291.67003480341123</c:v>
                </c:pt>
                <c:pt idx="14">
                  <c:v>313.14921039027138</c:v>
                </c:pt>
                <c:pt idx="15">
                  <c:v>333.48173505473312</c:v>
                </c:pt>
                <c:pt idx="16">
                  <c:v>354.92709157487059</c:v>
                </c:pt>
                <c:pt idx="17">
                  <c:v>377.33002649757589</c:v>
                </c:pt>
                <c:pt idx="18">
                  <c:v>403.11820773106331</c:v>
                </c:pt>
                <c:pt idx="19">
                  <c:v>424.56612756611048</c:v>
                </c:pt>
                <c:pt idx="20">
                  <c:v>452.48228545065069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C9-1141-B095-875B7334F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4-FF48-8B58-EA6EEC8EA0F2}"/>
            </c:ext>
          </c:extLst>
        </c:ser>
        <c:ser>
          <c:idx val="1"/>
          <c:order val="1"/>
          <c:tx>
            <c:strRef>
              <c:f>ws_SAA!$O$2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4-FF48-8B58-EA6EEC8EA0F2}"/>
            </c:ext>
          </c:extLst>
        </c:ser>
        <c:ser>
          <c:idx val="2"/>
          <c:order val="2"/>
          <c:tx>
            <c:strRef>
              <c:f>ws_SAA!$P$2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4-FF48-8B58-EA6EEC8EA0F2}"/>
            </c:ext>
          </c:extLst>
        </c:ser>
        <c:ser>
          <c:idx val="3"/>
          <c:order val="3"/>
          <c:tx>
            <c:strRef>
              <c:f>ws_SAA!$Q$2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4-FF48-8B58-EA6EEC8EA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0-4F4D-8A53-7ED1E74B6AEF}"/>
            </c:ext>
          </c:extLst>
        </c:ser>
        <c:ser>
          <c:idx val="1"/>
          <c:order val="1"/>
          <c:tx>
            <c:strRef>
              <c:f>'ws_SAA_+_10%_Buffered_Note'!$K$2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0-4F4D-8A53-7ED1E74B6AEF}"/>
            </c:ext>
          </c:extLst>
        </c:ser>
        <c:ser>
          <c:idx val="2"/>
          <c:order val="2"/>
          <c:tx>
            <c:strRef>
              <c:f>'ws_SAA_+_10%_Buffered_Note'!$L$2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0-4F4D-8A53-7ED1E74B6AEF}"/>
            </c:ext>
          </c:extLst>
        </c:ser>
        <c:ser>
          <c:idx val="3"/>
          <c:order val="3"/>
          <c:tx>
            <c:strRef>
              <c:f>'ws_SAA_+_10%_Buffered_Note'!$M$2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50-4F4D-8A53-7ED1E74B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83.354566581330232</c:v>
                </c:pt>
                <c:pt idx="2">
                  <c:v>83.331276948180829</c:v>
                </c:pt>
                <c:pt idx="3">
                  <c:v>83.508243063699169</c:v>
                </c:pt>
                <c:pt idx="4">
                  <c:v>82.604144286063288</c:v>
                </c:pt>
                <c:pt idx="5">
                  <c:v>82.94679245955362</c:v>
                </c:pt>
                <c:pt idx="6">
                  <c:v>84.036981600935874</c:v>
                </c:pt>
                <c:pt idx="7">
                  <c:v>83.13671607930921</c:v>
                </c:pt>
                <c:pt idx="8">
                  <c:v>83.308506716249127</c:v>
                </c:pt>
                <c:pt idx="9">
                  <c:v>82.372690405192259</c:v>
                </c:pt>
                <c:pt idx="10">
                  <c:v>83.250266204401271</c:v>
                </c:pt>
                <c:pt idx="11">
                  <c:v>84.427598738014865</c:v>
                </c:pt>
                <c:pt idx="12">
                  <c:v>85.154620247919112</c:v>
                </c:pt>
                <c:pt idx="13">
                  <c:v>87.203369160058699</c:v>
                </c:pt>
                <c:pt idx="14">
                  <c:v>88.158570327970864</c:v>
                </c:pt>
                <c:pt idx="15">
                  <c:v>89.057599810329307</c:v>
                </c:pt>
                <c:pt idx="16">
                  <c:v>92.022165398650401</c:v>
                </c:pt>
                <c:pt idx="17">
                  <c:v>94.573489534760398</c:v>
                </c:pt>
                <c:pt idx="18">
                  <c:v>96.605493730645463</c:v>
                </c:pt>
                <c:pt idx="19">
                  <c:v>99.280478906090721</c:v>
                </c:pt>
                <c:pt idx="20">
                  <c:v>101.7956782980559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8-5840-9D62-F00CEA910BCD}"/>
            </c:ext>
          </c:extLst>
        </c:ser>
        <c:ser>
          <c:idx val="1"/>
          <c:order val="1"/>
          <c:tx>
            <c:strRef>
              <c:f>'ws_SAA_+_10%_Buffered_Note'!$C$2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94.25038241902017</c:v>
                </c:pt>
                <c:pt idx="2">
                  <c:v>95.908470365948816</c:v>
                </c:pt>
                <c:pt idx="3">
                  <c:v>99.514257261348106</c:v>
                </c:pt>
                <c:pt idx="4">
                  <c:v>102.7667261009594</c:v>
                </c:pt>
                <c:pt idx="5">
                  <c:v>106.7838632853597</c:v>
                </c:pt>
                <c:pt idx="6">
                  <c:v>110.9185923559176</c:v>
                </c:pt>
                <c:pt idx="7">
                  <c:v>114.66479323080181</c:v>
                </c:pt>
                <c:pt idx="8">
                  <c:v>118.6098718230232</c:v>
                </c:pt>
                <c:pt idx="9">
                  <c:v>121.827958452891</c:v>
                </c:pt>
                <c:pt idx="10">
                  <c:v>126.5341895388959</c:v>
                </c:pt>
                <c:pt idx="11">
                  <c:v>130.27788535641369</c:v>
                </c:pt>
                <c:pt idx="12">
                  <c:v>135.30706381096289</c:v>
                </c:pt>
                <c:pt idx="13">
                  <c:v>140.03318237411739</c:v>
                </c:pt>
                <c:pt idx="14">
                  <c:v>145.552113290655</c:v>
                </c:pt>
                <c:pt idx="15">
                  <c:v>151.15060843137189</c:v>
                </c:pt>
                <c:pt idx="16">
                  <c:v>156.628417217775</c:v>
                </c:pt>
                <c:pt idx="17">
                  <c:v>163.19534165763571</c:v>
                </c:pt>
                <c:pt idx="18">
                  <c:v>168.9101143702313</c:v>
                </c:pt>
                <c:pt idx="19">
                  <c:v>175.59274456578609</c:v>
                </c:pt>
                <c:pt idx="20">
                  <c:v>183.98837336577199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8-5840-9D62-F00CEA910BCD}"/>
            </c:ext>
          </c:extLst>
        </c:ser>
        <c:ser>
          <c:idx val="2"/>
          <c:order val="2"/>
          <c:tx>
            <c:strRef>
              <c:f>'ws_SAA_+_10%_Buffered_Note'!$D$2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108.497313071916</c:v>
                </c:pt>
                <c:pt idx="2">
                  <c:v>115.2757052181975</c:v>
                </c:pt>
                <c:pt idx="3">
                  <c:v>122.53675281134861</c:v>
                </c:pt>
                <c:pt idx="4">
                  <c:v>131.4706957627902</c:v>
                </c:pt>
                <c:pt idx="5">
                  <c:v>141.3889239466931</c:v>
                </c:pt>
                <c:pt idx="6">
                  <c:v>151.6616762754602</c:v>
                </c:pt>
                <c:pt idx="7">
                  <c:v>162.43010939478239</c:v>
                </c:pt>
                <c:pt idx="8">
                  <c:v>173.36132912183351</c:v>
                </c:pt>
                <c:pt idx="9">
                  <c:v>185.41380990562169</c:v>
                </c:pt>
                <c:pt idx="10">
                  <c:v>197.118002086985</c:v>
                </c:pt>
                <c:pt idx="11">
                  <c:v>210.22317344087421</c:v>
                </c:pt>
                <c:pt idx="12">
                  <c:v>222.74246582460009</c:v>
                </c:pt>
                <c:pt idx="13">
                  <c:v>236.73825386955801</c:v>
                </c:pt>
                <c:pt idx="14">
                  <c:v>251.58827161181651</c:v>
                </c:pt>
                <c:pt idx="15">
                  <c:v>267.28771527411283</c:v>
                </c:pt>
                <c:pt idx="16">
                  <c:v>283.85503690117599</c:v>
                </c:pt>
                <c:pt idx="17">
                  <c:v>300.24965823683402</c:v>
                </c:pt>
                <c:pt idx="18">
                  <c:v>321.10432580935549</c:v>
                </c:pt>
                <c:pt idx="19">
                  <c:v>340.50039475075408</c:v>
                </c:pt>
                <c:pt idx="20">
                  <c:v>361.71855316486989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8-5840-9D62-F00CEA910BCD}"/>
            </c:ext>
          </c:extLst>
        </c:ser>
        <c:ser>
          <c:idx val="3"/>
          <c:order val="3"/>
          <c:tx>
            <c:strRef>
              <c:f>'ws_SAA_+_10%_Buffered_Note'!$E$2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120.5234939589082</c:v>
                </c:pt>
                <c:pt idx="2">
                  <c:v>135.1454049646571</c:v>
                </c:pt>
                <c:pt idx="3">
                  <c:v>149.44759536865479</c:v>
                </c:pt>
                <c:pt idx="4">
                  <c:v>165.61130645120079</c:v>
                </c:pt>
                <c:pt idx="5">
                  <c:v>183.8441525110847</c:v>
                </c:pt>
                <c:pt idx="6">
                  <c:v>201.68316522936871</c:v>
                </c:pt>
                <c:pt idx="7">
                  <c:v>221.91512281915371</c:v>
                </c:pt>
                <c:pt idx="8">
                  <c:v>243.85401970461311</c:v>
                </c:pt>
                <c:pt idx="9">
                  <c:v>267.77920444773031</c:v>
                </c:pt>
                <c:pt idx="10">
                  <c:v>292.24005778525452</c:v>
                </c:pt>
                <c:pt idx="11">
                  <c:v>318.3107547702391</c:v>
                </c:pt>
                <c:pt idx="12">
                  <c:v>347.14870714363741</c:v>
                </c:pt>
                <c:pt idx="13">
                  <c:v>378.58420477756931</c:v>
                </c:pt>
                <c:pt idx="14">
                  <c:v>412.94129637271692</c:v>
                </c:pt>
                <c:pt idx="15">
                  <c:v>448.72656977037133</c:v>
                </c:pt>
                <c:pt idx="16">
                  <c:v>487.77080819422162</c:v>
                </c:pt>
                <c:pt idx="17">
                  <c:v>527.69914528549612</c:v>
                </c:pt>
                <c:pt idx="18">
                  <c:v>573.89116825798283</c:v>
                </c:pt>
                <c:pt idx="19">
                  <c:v>619.62189603333934</c:v>
                </c:pt>
                <c:pt idx="20">
                  <c:v>670.07608939792533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C8-5840-9D62-F00CEA910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80.500829779848857</c:v>
                </c:pt>
                <c:pt idx="2">
                  <c:v>78.713998552853297</c:v>
                </c:pt>
                <c:pt idx="3">
                  <c:v>77.163863496227748</c:v>
                </c:pt>
                <c:pt idx="4">
                  <c:v>74.764097459464239</c:v>
                </c:pt>
                <c:pt idx="5">
                  <c:v>73.599426034337057</c:v>
                </c:pt>
                <c:pt idx="6">
                  <c:v>73.375097830998243</c:v>
                </c:pt>
                <c:pt idx="7">
                  <c:v>70.566707397995557</c:v>
                </c:pt>
                <c:pt idx="8">
                  <c:v>70.319024411349844</c:v>
                </c:pt>
                <c:pt idx="9">
                  <c:v>68.140370349601952</c:v>
                </c:pt>
                <c:pt idx="10">
                  <c:v>67.562209289333381</c:v>
                </c:pt>
                <c:pt idx="11">
                  <c:v>67.677507628305733</c:v>
                </c:pt>
                <c:pt idx="12">
                  <c:v>66.745654589014549</c:v>
                </c:pt>
                <c:pt idx="13">
                  <c:v>66.721831554301204</c:v>
                </c:pt>
                <c:pt idx="14">
                  <c:v>66.225500059020732</c:v>
                </c:pt>
                <c:pt idx="15">
                  <c:v>66.108652545449345</c:v>
                </c:pt>
                <c:pt idx="16">
                  <c:v>67.07564067191899</c:v>
                </c:pt>
                <c:pt idx="17">
                  <c:v>67.35238757610405</c:v>
                </c:pt>
                <c:pt idx="18">
                  <c:v>67.429776384969287</c:v>
                </c:pt>
                <c:pt idx="19">
                  <c:v>68.834894843935174</c:v>
                </c:pt>
                <c:pt idx="20">
                  <c:v>69.249612333608695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5-1245-920D-9A69EEAEC353}"/>
            </c:ext>
          </c:extLst>
        </c:ser>
        <c:ser>
          <c:idx val="1"/>
          <c:order val="1"/>
          <c:tx>
            <c:strRef>
              <c:f>'ws_SAA_+_10%_Buffered_Note'!$G$2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91.887174307086141</c:v>
                </c:pt>
                <c:pt idx="2">
                  <c:v>91.237502572574726</c:v>
                </c:pt>
                <c:pt idx="3">
                  <c:v>92.540419845876485</c:v>
                </c:pt>
                <c:pt idx="4">
                  <c:v>93.419651628732822</c:v>
                </c:pt>
                <c:pt idx="5">
                  <c:v>94.993732583068265</c:v>
                </c:pt>
                <c:pt idx="6">
                  <c:v>96.602468759712565</c:v>
                </c:pt>
                <c:pt idx="7">
                  <c:v>97.912299225038083</c:v>
                </c:pt>
                <c:pt idx="8">
                  <c:v>99.368483190787771</c:v>
                </c:pt>
                <c:pt idx="9">
                  <c:v>100.3940324809698</c:v>
                </c:pt>
                <c:pt idx="10">
                  <c:v>101.98837392723939</c:v>
                </c:pt>
                <c:pt idx="11">
                  <c:v>103.5135317039837</c:v>
                </c:pt>
                <c:pt idx="12">
                  <c:v>104.8354359451517</c:v>
                </c:pt>
                <c:pt idx="13">
                  <c:v>106.6627217079091</c:v>
                </c:pt>
                <c:pt idx="14">
                  <c:v>108.4327633148356</c:v>
                </c:pt>
                <c:pt idx="15">
                  <c:v>110.60649510856651</c:v>
                </c:pt>
                <c:pt idx="16">
                  <c:v>112.8324246119785</c:v>
                </c:pt>
                <c:pt idx="17">
                  <c:v>114.9583423725858</c:v>
                </c:pt>
                <c:pt idx="18">
                  <c:v>117.2097569214136</c:v>
                </c:pt>
                <c:pt idx="19">
                  <c:v>119.2981377946078</c:v>
                </c:pt>
                <c:pt idx="20">
                  <c:v>122.06414059103911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D5-1245-920D-9A69EEAEC353}"/>
            </c:ext>
          </c:extLst>
        </c:ser>
        <c:ser>
          <c:idx val="2"/>
          <c:order val="2"/>
          <c:tx>
            <c:strRef>
              <c:f>'ws_SAA_+_10%_Buffered_Note'!$H$2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106.1447287549891</c:v>
                </c:pt>
                <c:pt idx="2">
                  <c:v>110.26407068822741</c:v>
                </c:pt>
                <c:pt idx="3">
                  <c:v>114.5620334028151</c:v>
                </c:pt>
                <c:pt idx="4">
                  <c:v>120.24888777509931</c:v>
                </c:pt>
                <c:pt idx="5">
                  <c:v>126.72405684822709</c:v>
                </c:pt>
                <c:pt idx="6">
                  <c:v>132.95399912662529</c:v>
                </c:pt>
                <c:pt idx="7">
                  <c:v>139.59394751297009</c:v>
                </c:pt>
                <c:pt idx="8">
                  <c:v>146.0402311843807</c:v>
                </c:pt>
                <c:pt idx="9">
                  <c:v>152.70794861909991</c:v>
                </c:pt>
                <c:pt idx="10">
                  <c:v>159.3276844106193</c:v>
                </c:pt>
                <c:pt idx="11">
                  <c:v>166.4236244089104</c:v>
                </c:pt>
                <c:pt idx="12">
                  <c:v>172.73936388023449</c:v>
                </c:pt>
                <c:pt idx="13">
                  <c:v>180.6566904571566</c:v>
                </c:pt>
                <c:pt idx="14">
                  <c:v>188.4767949368082</c:v>
                </c:pt>
                <c:pt idx="15">
                  <c:v>195.76342064204911</c:v>
                </c:pt>
                <c:pt idx="16">
                  <c:v>204.20232797143021</c:v>
                </c:pt>
                <c:pt idx="17">
                  <c:v>212.00622626395929</c:v>
                </c:pt>
                <c:pt idx="18">
                  <c:v>221.42489003438109</c:v>
                </c:pt>
                <c:pt idx="19">
                  <c:v>231.18749358965789</c:v>
                </c:pt>
                <c:pt idx="20">
                  <c:v>240.3656047514811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D5-1245-920D-9A69EEAEC353}"/>
            </c:ext>
          </c:extLst>
        </c:ser>
        <c:ser>
          <c:idx val="3"/>
          <c:order val="3"/>
          <c:tx>
            <c:strRef>
              <c:f>'ws_SAA_+_10%_Buffered_Note'!$I$2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118.06189468898521</c:v>
                </c:pt>
                <c:pt idx="2">
                  <c:v>129.52993975200641</c:v>
                </c:pt>
                <c:pt idx="3">
                  <c:v>139.979510927056</c:v>
                </c:pt>
                <c:pt idx="4">
                  <c:v>152.32158283739889</c:v>
                </c:pt>
                <c:pt idx="5">
                  <c:v>165.5888218876182</c:v>
                </c:pt>
                <c:pt idx="6">
                  <c:v>177.88181167810379</c:v>
                </c:pt>
                <c:pt idx="7">
                  <c:v>191.7268052817584</c:v>
                </c:pt>
                <c:pt idx="8">
                  <c:v>206.7682558190175</c:v>
                </c:pt>
                <c:pt idx="9">
                  <c:v>222.2122861343183</c:v>
                </c:pt>
                <c:pt idx="10">
                  <c:v>237.9593616465414</c:v>
                </c:pt>
                <c:pt idx="11">
                  <c:v>253.42681679644539</c:v>
                </c:pt>
                <c:pt idx="12">
                  <c:v>271.53781326261043</c:v>
                </c:pt>
                <c:pt idx="13">
                  <c:v>289.51161125391889</c:v>
                </c:pt>
                <c:pt idx="14">
                  <c:v>309.87991780722132</c:v>
                </c:pt>
                <c:pt idx="15">
                  <c:v>330.15791589784129</c:v>
                </c:pt>
                <c:pt idx="16">
                  <c:v>350.66063926871669</c:v>
                </c:pt>
                <c:pt idx="17">
                  <c:v>372.95233805924238</c:v>
                </c:pt>
                <c:pt idx="18">
                  <c:v>398.03267936961328</c:v>
                </c:pt>
                <c:pt idx="19">
                  <c:v>419.10615832981608</c:v>
                </c:pt>
                <c:pt idx="20">
                  <c:v>447.41808384736407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D5-1245-920D-9A69EEAEC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E-AD49-9911-F715D24C2E30}"/>
            </c:ext>
          </c:extLst>
        </c:ser>
        <c:ser>
          <c:idx val="1"/>
          <c:order val="1"/>
          <c:tx>
            <c:strRef>
              <c:f>'ws_SAA_+_10%_Buffered_Note'!$O$2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E-AD49-9911-F715D24C2E30}"/>
            </c:ext>
          </c:extLst>
        </c:ser>
        <c:ser>
          <c:idx val="2"/>
          <c:order val="2"/>
          <c:tx>
            <c:strRef>
              <c:f>'ws_SAA_+_10%_Buffered_Note'!$P$2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E-AD49-9911-F715D24C2E30}"/>
            </c:ext>
          </c:extLst>
        </c:ser>
        <c:ser>
          <c:idx val="3"/>
          <c:order val="3"/>
          <c:tx>
            <c:strRef>
              <c:f>'ws_SAA_+_10%_Buffered_Note'!$Q$2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4E-AD49-9911-F715D24C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6-8E4C-843B-C9809A73CD80}"/>
            </c:ext>
          </c:extLst>
        </c:ser>
        <c:ser>
          <c:idx val="1"/>
          <c:order val="1"/>
          <c:tx>
            <c:strRef>
              <c:f>'ws_SAA_+_20%_Buffered_Note'!$K$2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6-8E4C-843B-C9809A73CD80}"/>
            </c:ext>
          </c:extLst>
        </c:ser>
        <c:ser>
          <c:idx val="2"/>
          <c:order val="2"/>
          <c:tx>
            <c:strRef>
              <c:f>'ws_SAA_+_20%_Buffered_Note'!$L$2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6-8E4C-843B-C9809A73CD80}"/>
            </c:ext>
          </c:extLst>
        </c:ser>
        <c:ser>
          <c:idx val="3"/>
          <c:order val="3"/>
          <c:tx>
            <c:strRef>
              <c:f>'ws_SAA_+_20%_Buffered_Note'!$M$2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6-8E4C-843B-C9809A73C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83.418050644581641</c:v>
                </c:pt>
                <c:pt idx="2">
                  <c:v>83.451143177158869</c:v>
                </c:pt>
                <c:pt idx="3">
                  <c:v>83.7424651081094</c:v>
                </c:pt>
                <c:pt idx="4">
                  <c:v>82.722369904720338</c:v>
                </c:pt>
                <c:pt idx="5">
                  <c:v>82.956394479154284</c:v>
                </c:pt>
                <c:pt idx="6">
                  <c:v>83.90064338810555</c:v>
                </c:pt>
                <c:pt idx="7">
                  <c:v>83.068750574238919</c:v>
                </c:pt>
                <c:pt idx="8">
                  <c:v>83.367029936546274</c:v>
                </c:pt>
                <c:pt idx="9">
                  <c:v>82.426657219778207</c:v>
                </c:pt>
                <c:pt idx="10">
                  <c:v>82.922016704595592</c:v>
                </c:pt>
                <c:pt idx="11">
                  <c:v>84.342793274013914</c:v>
                </c:pt>
                <c:pt idx="12">
                  <c:v>84.910644634543445</c:v>
                </c:pt>
                <c:pt idx="13">
                  <c:v>87.053784969310385</c:v>
                </c:pt>
                <c:pt idx="14">
                  <c:v>87.674545296305411</c:v>
                </c:pt>
                <c:pt idx="15">
                  <c:v>89.081007867713296</c:v>
                </c:pt>
                <c:pt idx="16">
                  <c:v>91.688376114649714</c:v>
                </c:pt>
                <c:pt idx="17">
                  <c:v>93.79665257069594</c:v>
                </c:pt>
                <c:pt idx="18">
                  <c:v>96.192091831493343</c:v>
                </c:pt>
                <c:pt idx="19">
                  <c:v>98.921839519239413</c:v>
                </c:pt>
                <c:pt idx="20">
                  <c:v>101.12538256076751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2-944D-A0CF-B5884B2E819C}"/>
            </c:ext>
          </c:extLst>
        </c:ser>
        <c:ser>
          <c:idx val="1"/>
          <c:order val="1"/>
          <c:tx>
            <c:strRef>
              <c:f>'ws_SAA_+_20%_Buffered_Note'!$C$2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94.31328925568927</c:v>
                </c:pt>
                <c:pt idx="2">
                  <c:v>95.990628716625466</c:v>
                </c:pt>
                <c:pt idx="3">
                  <c:v>99.595067772106432</c:v>
                </c:pt>
                <c:pt idx="4">
                  <c:v>102.74710695454171</c:v>
                </c:pt>
                <c:pt idx="5">
                  <c:v>106.7341209496319</c:v>
                </c:pt>
                <c:pt idx="6">
                  <c:v>110.84091526080471</c:v>
                </c:pt>
                <c:pt idx="7">
                  <c:v>114.4907181277383</c:v>
                </c:pt>
                <c:pt idx="8">
                  <c:v>118.3858010859162</c:v>
                </c:pt>
                <c:pt idx="9">
                  <c:v>121.5604781322466</c:v>
                </c:pt>
                <c:pt idx="10">
                  <c:v>126.2286132682091</c:v>
                </c:pt>
                <c:pt idx="11">
                  <c:v>129.93812155529099</c:v>
                </c:pt>
                <c:pt idx="12">
                  <c:v>134.76986628885129</c:v>
                </c:pt>
                <c:pt idx="13">
                  <c:v>139.42344099726131</c:v>
                </c:pt>
                <c:pt idx="14">
                  <c:v>144.91901857341881</c:v>
                </c:pt>
                <c:pt idx="15">
                  <c:v>150.38649842587171</c:v>
                </c:pt>
                <c:pt idx="16">
                  <c:v>155.58325206329289</c:v>
                </c:pt>
                <c:pt idx="17">
                  <c:v>162.13390882951231</c:v>
                </c:pt>
                <c:pt idx="18">
                  <c:v>167.637960818019</c:v>
                </c:pt>
                <c:pt idx="19">
                  <c:v>174.44529139722849</c:v>
                </c:pt>
                <c:pt idx="20">
                  <c:v>182.23613631308979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2-944D-A0CF-B5884B2E819C}"/>
            </c:ext>
          </c:extLst>
        </c:ser>
        <c:ser>
          <c:idx val="2"/>
          <c:order val="2"/>
          <c:tx>
            <c:strRef>
              <c:f>'ws_SAA_+_20%_Buffered_Note'!$D$2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108.4874452319393</c:v>
                </c:pt>
                <c:pt idx="2">
                  <c:v>115.2447072932553</c:v>
                </c:pt>
                <c:pt idx="3">
                  <c:v>122.42186106552241</c:v>
                </c:pt>
                <c:pt idx="4">
                  <c:v>131.3022706152916</c:v>
                </c:pt>
                <c:pt idx="5">
                  <c:v>141.18923206819659</c:v>
                </c:pt>
                <c:pt idx="6">
                  <c:v>151.19445714236741</c:v>
                </c:pt>
                <c:pt idx="7">
                  <c:v>162.10481427752021</c:v>
                </c:pt>
                <c:pt idx="8">
                  <c:v>172.87486918490001</c:v>
                </c:pt>
                <c:pt idx="9">
                  <c:v>184.77213917862909</c:v>
                </c:pt>
                <c:pt idx="10">
                  <c:v>196.37281579664219</c:v>
                </c:pt>
                <c:pt idx="11">
                  <c:v>209.26071302603401</c:v>
                </c:pt>
                <c:pt idx="12">
                  <c:v>221.3929048650138</c:v>
                </c:pt>
                <c:pt idx="13">
                  <c:v>235.604447173593</c:v>
                </c:pt>
                <c:pt idx="14">
                  <c:v>250.15395628778271</c:v>
                </c:pt>
                <c:pt idx="15">
                  <c:v>265.5433754581137</c:v>
                </c:pt>
                <c:pt idx="16">
                  <c:v>281.87633376160159</c:v>
                </c:pt>
                <c:pt idx="17">
                  <c:v>298.21383986008459</c:v>
                </c:pt>
                <c:pt idx="18">
                  <c:v>318.52602028355022</c:v>
                </c:pt>
                <c:pt idx="19">
                  <c:v>337.75418016098558</c:v>
                </c:pt>
                <c:pt idx="20">
                  <c:v>358.09236213240268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2-944D-A0CF-B5884B2E819C}"/>
            </c:ext>
          </c:extLst>
        </c:ser>
        <c:ser>
          <c:idx val="3"/>
          <c:order val="3"/>
          <c:tx>
            <c:strRef>
              <c:f>'ws_SAA_+_20%_Buffered_Note'!$E$2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120.42785180806089</c:v>
                </c:pt>
                <c:pt idx="2">
                  <c:v>134.94998567082149</c:v>
                </c:pt>
                <c:pt idx="3">
                  <c:v>149.12570625105201</c:v>
                </c:pt>
                <c:pt idx="4">
                  <c:v>165.2077983794523</c:v>
                </c:pt>
                <c:pt idx="5">
                  <c:v>183.2596426108752</c:v>
                </c:pt>
                <c:pt idx="6">
                  <c:v>200.9763155221469</c:v>
                </c:pt>
                <c:pt idx="7">
                  <c:v>220.90456564026761</c:v>
                </c:pt>
                <c:pt idx="8">
                  <c:v>242.68277712744089</c:v>
                </c:pt>
                <c:pt idx="9">
                  <c:v>266.14735210378768</c:v>
                </c:pt>
                <c:pt idx="10">
                  <c:v>290.48501199854098</c:v>
                </c:pt>
                <c:pt idx="11">
                  <c:v>316.31318564915011</c:v>
                </c:pt>
                <c:pt idx="12">
                  <c:v>345.18822013696962</c:v>
                </c:pt>
                <c:pt idx="13">
                  <c:v>375.71960485882568</c:v>
                </c:pt>
                <c:pt idx="14">
                  <c:v>409.86755277881821</c:v>
                </c:pt>
                <c:pt idx="15">
                  <c:v>444.70868653228342</c:v>
                </c:pt>
                <c:pt idx="16">
                  <c:v>483.15317602387972</c:v>
                </c:pt>
                <c:pt idx="17">
                  <c:v>522.67888021611827</c:v>
                </c:pt>
                <c:pt idx="18">
                  <c:v>567.42112628875861</c:v>
                </c:pt>
                <c:pt idx="19">
                  <c:v>612.4521828346634</c:v>
                </c:pt>
                <c:pt idx="20">
                  <c:v>662.53668857435093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2-944D-A0CF-B5884B2E8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80.650969465730256</c:v>
                </c:pt>
                <c:pt idx="2">
                  <c:v>78.72338760072752</c:v>
                </c:pt>
                <c:pt idx="3">
                  <c:v>77.368234934402295</c:v>
                </c:pt>
                <c:pt idx="4">
                  <c:v>74.888445054128567</c:v>
                </c:pt>
                <c:pt idx="5">
                  <c:v>73.657583889855729</c:v>
                </c:pt>
                <c:pt idx="6">
                  <c:v>73.268758562111458</c:v>
                </c:pt>
                <c:pt idx="7">
                  <c:v>70.549589375870156</c:v>
                </c:pt>
                <c:pt idx="8">
                  <c:v>70.45022864972583</c:v>
                </c:pt>
                <c:pt idx="9">
                  <c:v>68.233289215627664</c:v>
                </c:pt>
                <c:pt idx="10">
                  <c:v>67.394782353468131</c:v>
                </c:pt>
                <c:pt idx="11">
                  <c:v>67.305995514297408</c:v>
                </c:pt>
                <c:pt idx="12">
                  <c:v>66.713552143561458</c:v>
                </c:pt>
                <c:pt idx="13">
                  <c:v>66.267272372107357</c:v>
                </c:pt>
                <c:pt idx="14">
                  <c:v>66.129940234122401</c:v>
                </c:pt>
                <c:pt idx="15">
                  <c:v>65.794213758762979</c:v>
                </c:pt>
                <c:pt idx="16">
                  <c:v>66.631421148422874</c:v>
                </c:pt>
                <c:pt idx="17">
                  <c:v>66.776505710188104</c:v>
                </c:pt>
                <c:pt idx="18">
                  <c:v>67.030601586069892</c:v>
                </c:pt>
                <c:pt idx="19">
                  <c:v>68.077533699848843</c:v>
                </c:pt>
                <c:pt idx="20">
                  <c:v>68.57550206614188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564D-9627-33949E384854}"/>
            </c:ext>
          </c:extLst>
        </c:ser>
        <c:ser>
          <c:idx val="1"/>
          <c:order val="1"/>
          <c:tx>
            <c:strRef>
              <c:f>'ws_SAA_+_20%_Buffered_Note'!$G$2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91.907577363464938</c:v>
                </c:pt>
                <c:pt idx="2">
                  <c:v>91.284301990082426</c:v>
                </c:pt>
                <c:pt idx="3">
                  <c:v>92.598136642912678</c:v>
                </c:pt>
                <c:pt idx="4">
                  <c:v>93.375358749601745</c:v>
                </c:pt>
                <c:pt idx="5">
                  <c:v>94.961750006160642</c:v>
                </c:pt>
                <c:pt idx="6">
                  <c:v>96.570816130586508</c:v>
                </c:pt>
                <c:pt idx="7">
                  <c:v>97.835747795468762</c:v>
                </c:pt>
                <c:pt idx="8">
                  <c:v>99.317831467355077</c:v>
                </c:pt>
                <c:pt idx="9">
                  <c:v>100.0316532856484</c:v>
                </c:pt>
                <c:pt idx="10">
                  <c:v>101.76292752052539</c:v>
                </c:pt>
                <c:pt idx="11">
                  <c:v>103.20083149263949</c:v>
                </c:pt>
                <c:pt idx="12">
                  <c:v>104.4698486076192</c:v>
                </c:pt>
                <c:pt idx="13">
                  <c:v>106.2187982317779</c:v>
                </c:pt>
                <c:pt idx="14">
                  <c:v>107.9708405982993</c:v>
                </c:pt>
                <c:pt idx="15">
                  <c:v>109.9714140549824</c:v>
                </c:pt>
                <c:pt idx="16">
                  <c:v>112.04487906721801</c:v>
                </c:pt>
                <c:pt idx="17">
                  <c:v>114.20113212019621</c:v>
                </c:pt>
                <c:pt idx="18">
                  <c:v>116.3741368522841</c:v>
                </c:pt>
                <c:pt idx="19">
                  <c:v>118.29633920943429</c:v>
                </c:pt>
                <c:pt idx="20">
                  <c:v>121.1433702894947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564D-9627-33949E384854}"/>
            </c:ext>
          </c:extLst>
        </c:ser>
        <c:ser>
          <c:idx val="2"/>
          <c:order val="2"/>
          <c:tx>
            <c:strRef>
              <c:f>'ws_SAA_+_20%_Buffered_Note'!$H$2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106.13997293822349</c:v>
                </c:pt>
                <c:pt idx="2">
                  <c:v>110.2162021139533</c:v>
                </c:pt>
                <c:pt idx="3">
                  <c:v>114.47642848265509</c:v>
                </c:pt>
                <c:pt idx="4">
                  <c:v>120.1204872891349</c:v>
                </c:pt>
                <c:pt idx="5">
                  <c:v>126.52561821982189</c:v>
                </c:pt>
                <c:pt idx="6">
                  <c:v>132.7274584069132</c:v>
                </c:pt>
                <c:pt idx="7">
                  <c:v>139.2840460773011</c:v>
                </c:pt>
                <c:pt idx="8">
                  <c:v>145.64066752217059</c:v>
                </c:pt>
                <c:pt idx="9">
                  <c:v>152.25877421202841</c:v>
                </c:pt>
                <c:pt idx="10">
                  <c:v>158.61568828446889</c:v>
                </c:pt>
                <c:pt idx="11">
                  <c:v>165.7493370086641</c:v>
                </c:pt>
                <c:pt idx="12">
                  <c:v>171.84520900496281</c:v>
                </c:pt>
                <c:pt idx="13">
                  <c:v>179.73256340451289</c:v>
                </c:pt>
                <c:pt idx="14">
                  <c:v>187.4182444565013</c:v>
                </c:pt>
                <c:pt idx="15">
                  <c:v>194.35898476627941</c:v>
                </c:pt>
                <c:pt idx="16">
                  <c:v>202.76707142240349</c:v>
                </c:pt>
                <c:pt idx="17">
                  <c:v>210.24898709376171</c:v>
                </c:pt>
                <c:pt idx="18">
                  <c:v>219.60792675613121</c:v>
                </c:pt>
                <c:pt idx="19">
                  <c:v>229.17016221788171</c:v>
                </c:pt>
                <c:pt idx="20">
                  <c:v>238.0189871596086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564D-9627-33949E384854}"/>
            </c:ext>
          </c:extLst>
        </c:ser>
        <c:ser>
          <c:idx val="3"/>
          <c:order val="3"/>
          <c:tx>
            <c:strRef>
              <c:f>'ws_SAA_+_20%_Buffered_Note'!$I$2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117.9399128815396</c:v>
                </c:pt>
                <c:pt idx="2">
                  <c:v>129.32276559437491</c:v>
                </c:pt>
                <c:pt idx="3">
                  <c:v>139.73950605690959</c:v>
                </c:pt>
                <c:pt idx="4">
                  <c:v>151.9706479931956</c:v>
                </c:pt>
                <c:pt idx="5">
                  <c:v>165.0318816000314</c:v>
                </c:pt>
                <c:pt idx="6">
                  <c:v>177.2750945651579</c:v>
                </c:pt>
                <c:pt idx="7">
                  <c:v>190.87490131686019</c:v>
                </c:pt>
                <c:pt idx="8">
                  <c:v>205.7576039494908</c:v>
                </c:pt>
                <c:pt idx="9">
                  <c:v>220.98516340140921</c:v>
                </c:pt>
                <c:pt idx="10">
                  <c:v>236.59860587945991</c:v>
                </c:pt>
                <c:pt idx="11">
                  <c:v>252.02491961201801</c:v>
                </c:pt>
                <c:pt idx="12">
                  <c:v>269.59657588962608</c:v>
                </c:pt>
                <c:pt idx="13">
                  <c:v>287.23083264124881</c:v>
                </c:pt>
                <c:pt idx="14">
                  <c:v>307.20666151280739</c:v>
                </c:pt>
                <c:pt idx="15">
                  <c:v>327.19617041681988</c:v>
                </c:pt>
                <c:pt idx="16">
                  <c:v>347.76603501758882</c:v>
                </c:pt>
                <c:pt idx="17">
                  <c:v>369.50004563022918</c:v>
                </c:pt>
                <c:pt idx="18">
                  <c:v>393.34934925902257</c:v>
                </c:pt>
                <c:pt idx="19">
                  <c:v>414.88474918086609</c:v>
                </c:pt>
                <c:pt idx="20">
                  <c:v>441.34529471324242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564D-9627-33949E38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9-A848-8B75-1A667964FC2B}"/>
            </c:ext>
          </c:extLst>
        </c:ser>
        <c:ser>
          <c:idx val="1"/>
          <c:order val="1"/>
          <c:tx>
            <c:strRef>
              <c:f>'ws_SAA_+_20%_Buffered_Note'!$O$2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9-A848-8B75-1A667964FC2B}"/>
            </c:ext>
          </c:extLst>
        </c:ser>
        <c:ser>
          <c:idx val="2"/>
          <c:order val="2"/>
          <c:tx>
            <c:strRef>
              <c:f>'ws_SAA_+_20%_Buffered_Note'!$P$2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B9-A848-8B75-1A667964FC2B}"/>
            </c:ext>
          </c:extLst>
        </c:ser>
        <c:ser>
          <c:idx val="3"/>
          <c:order val="3"/>
          <c:tx>
            <c:strRef>
              <c:f>'ws_SAA_+_20%_Buffered_Note'!$Q$2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B9-A848-8B75-1A667964F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4-CB43-8538-F387EAE8D6E3}"/>
            </c:ext>
          </c:extLst>
        </c:ser>
        <c:ser>
          <c:idx val="1"/>
          <c:order val="1"/>
          <c:tx>
            <c:strRef>
              <c:f>'ws_SAA_+_30%_Buffered_Note'!$K$2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4-CB43-8538-F387EAE8D6E3}"/>
            </c:ext>
          </c:extLst>
        </c:ser>
        <c:ser>
          <c:idx val="2"/>
          <c:order val="2"/>
          <c:tx>
            <c:strRef>
              <c:f>'ws_SAA_+_30%_Buffered_Note'!$L$2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4-CB43-8538-F387EAE8D6E3}"/>
            </c:ext>
          </c:extLst>
        </c:ser>
        <c:ser>
          <c:idx val="3"/>
          <c:order val="3"/>
          <c:tx>
            <c:strRef>
              <c:f>'ws_SAA_+_30%_Buffered_Note'!$M$2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A4-CB43-8538-F387EAE8D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83.449241762840714</c:v>
                </c:pt>
                <c:pt idx="2">
                  <c:v>83.439726194103457</c:v>
                </c:pt>
                <c:pt idx="3">
                  <c:v>83.725088320905385</c:v>
                </c:pt>
                <c:pt idx="4">
                  <c:v>82.49434275695198</c:v>
                </c:pt>
                <c:pt idx="5">
                  <c:v>82.889517314931425</c:v>
                </c:pt>
                <c:pt idx="6">
                  <c:v>83.75356880036334</c:v>
                </c:pt>
                <c:pt idx="7">
                  <c:v>82.908220529470483</c:v>
                </c:pt>
                <c:pt idx="8">
                  <c:v>83.24382096408614</c:v>
                </c:pt>
                <c:pt idx="9">
                  <c:v>82.407210348631267</c:v>
                </c:pt>
                <c:pt idx="10">
                  <c:v>82.677400159050819</c:v>
                </c:pt>
                <c:pt idx="11">
                  <c:v>83.902830653761754</c:v>
                </c:pt>
                <c:pt idx="12">
                  <c:v>84.433575082045039</c:v>
                </c:pt>
                <c:pt idx="13">
                  <c:v>86.258498359877763</c:v>
                </c:pt>
                <c:pt idx="14">
                  <c:v>87.124871491006829</c:v>
                </c:pt>
                <c:pt idx="15">
                  <c:v>88.392475874938754</c:v>
                </c:pt>
                <c:pt idx="16">
                  <c:v>90.584656170294551</c:v>
                </c:pt>
                <c:pt idx="17">
                  <c:v>92.587652101448271</c:v>
                </c:pt>
                <c:pt idx="18">
                  <c:v>95.045799909426947</c:v>
                </c:pt>
                <c:pt idx="19">
                  <c:v>97.924392695055232</c:v>
                </c:pt>
                <c:pt idx="20">
                  <c:v>99.980749763334458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0-AF41-9A42-E94B16DF3530}"/>
            </c:ext>
          </c:extLst>
        </c:ser>
        <c:ser>
          <c:idx val="1"/>
          <c:order val="1"/>
          <c:tx>
            <c:strRef>
              <c:f>'ws_SAA_+_30%_Buffered_Note'!$C$2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94.250952450388894</c:v>
                </c:pt>
                <c:pt idx="2">
                  <c:v>95.910390680364003</c:v>
                </c:pt>
                <c:pt idx="3">
                  <c:v>99.53928006924086</c:v>
                </c:pt>
                <c:pt idx="4">
                  <c:v>102.66936068067641</c:v>
                </c:pt>
                <c:pt idx="5">
                  <c:v>106.54513596966309</c:v>
                </c:pt>
                <c:pt idx="6">
                  <c:v>110.6448855041684</c:v>
                </c:pt>
                <c:pt idx="7">
                  <c:v>114.1673245086367</c:v>
                </c:pt>
                <c:pt idx="8">
                  <c:v>117.9408046427385</c:v>
                </c:pt>
                <c:pt idx="9">
                  <c:v>121.2624092528805</c:v>
                </c:pt>
                <c:pt idx="10">
                  <c:v>125.5763324621561</c:v>
                </c:pt>
                <c:pt idx="11">
                  <c:v>129.2097113442212</c:v>
                </c:pt>
                <c:pt idx="12">
                  <c:v>133.7491898644262</c:v>
                </c:pt>
                <c:pt idx="13">
                  <c:v>138.4668417762951</c:v>
                </c:pt>
                <c:pt idx="14">
                  <c:v>143.8458719878293</c:v>
                </c:pt>
                <c:pt idx="15">
                  <c:v>149.20743894367621</c:v>
                </c:pt>
                <c:pt idx="16">
                  <c:v>154.25905666304001</c:v>
                </c:pt>
                <c:pt idx="17">
                  <c:v>160.41136949020321</c:v>
                </c:pt>
                <c:pt idx="18">
                  <c:v>166.19554458067739</c:v>
                </c:pt>
                <c:pt idx="19">
                  <c:v>172.62635800579369</c:v>
                </c:pt>
                <c:pt idx="20">
                  <c:v>180.14478125418509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0-AF41-9A42-E94B16DF3530}"/>
            </c:ext>
          </c:extLst>
        </c:ser>
        <c:ser>
          <c:idx val="2"/>
          <c:order val="2"/>
          <c:tx>
            <c:strRef>
              <c:f>'ws_SAA_+_30%_Buffered_Note'!$D$2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108.4578515094735</c:v>
                </c:pt>
                <c:pt idx="2">
                  <c:v>115.194984698723</c:v>
                </c:pt>
                <c:pt idx="3">
                  <c:v>122.3300336456554</c:v>
                </c:pt>
                <c:pt idx="4">
                  <c:v>131.15997657947801</c:v>
                </c:pt>
                <c:pt idx="5">
                  <c:v>140.97450570417359</c:v>
                </c:pt>
                <c:pt idx="6">
                  <c:v>150.88747928446421</c:v>
                </c:pt>
                <c:pt idx="7">
                  <c:v>161.62856097656029</c:v>
                </c:pt>
                <c:pt idx="8">
                  <c:v>172.33236236670029</c:v>
                </c:pt>
                <c:pt idx="9">
                  <c:v>184.0575284761093</c:v>
                </c:pt>
                <c:pt idx="10">
                  <c:v>195.43872231015621</c:v>
                </c:pt>
                <c:pt idx="11">
                  <c:v>208.13991325548389</c:v>
                </c:pt>
                <c:pt idx="12">
                  <c:v>220.15699775130699</c:v>
                </c:pt>
                <c:pt idx="13">
                  <c:v>234.21643315785531</c:v>
                </c:pt>
                <c:pt idx="14">
                  <c:v>248.51988152527741</c:v>
                </c:pt>
                <c:pt idx="15">
                  <c:v>263.38684409822292</c:v>
                </c:pt>
                <c:pt idx="16">
                  <c:v>279.69349878366143</c:v>
                </c:pt>
                <c:pt idx="17">
                  <c:v>295.66606814773792</c:v>
                </c:pt>
                <c:pt idx="18">
                  <c:v>315.53762447795037</c:v>
                </c:pt>
                <c:pt idx="19">
                  <c:v>334.51582907311632</c:v>
                </c:pt>
                <c:pt idx="20">
                  <c:v>354.36805028859038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0-AF41-9A42-E94B16DF3530}"/>
            </c:ext>
          </c:extLst>
        </c:ser>
        <c:ser>
          <c:idx val="3"/>
          <c:order val="3"/>
          <c:tx>
            <c:strRef>
              <c:f>'ws_SAA_+_30%_Buffered_Note'!$E$2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120.3938750234214</c:v>
                </c:pt>
                <c:pt idx="2">
                  <c:v>134.86614196138291</c:v>
                </c:pt>
                <c:pt idx="3">
                  <c:v>148.95766279921139</c:v>
                </c:pt>
                <c:pt idx="4">
                  <c:v>164.9700076212562</c:v>
                </c:pt>
                <c:pt idx="5">
                  <c:v>182.81830563676169</c:v>
                </c:pt>
                <c:pt idx="6">
                  <c:v>200.50615761600611</c:v>
                </c:pt>
                <c:pt idx="7">
                  <c:v>220.17959663110639</c:v>
                </c:pt>
                <c:pt idx="8">
                  <c:v>241.8199445693451</c:v>
                </c:pt>
                <c:pt idx="9">
                  <c:v>265.06085063288731</c:v>
                </c:pt>
                <c:pt idx="10">
                  <c:v>288.74920214922378</c:v>
                </c:pt>
                <c:pt idx="11">
                  <c:v>314.92677011340442</c:v>
                </c:pt>
                <c:pt idx="12">
                  <c:v>343.00050544530097</c:v>
                </c:pt>
                <c:pt idx="13">
                  <c:v>373.19020654075689</c:v>
                </c:pt>
                <c:pt idx="14">
                  <c:v>406.98660977813398</c:v>
                </c:pt>
                <c:pt idx="15">
                  <c:v>440.79140198473351</c:v>
                </c:pt>
                <c:pt idx="16">
                  <c:v>479.43286009910798</c:v>
                </c:pt>
                <c:pt idx="17">
                  <c:v>517.9731209429425</c:v>
                </c:pt>
                <c:pt idx="18">
                  <c:v>562.14807016601719</c:v>
                </c:pt>
                <c:pt idx="19">
                  <c:v>607.07586528440379</c:v>
                </c:pt>
                <c:pt idx="20">
                  <c:v>656.13632783299704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0-AF41-9A42-E94B16DF3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80.718039533895606</c:v>
                </c:pt>
                <c:pt idx="2">
                  <c:v>78.714349948407843</c:v>
                </c:pt>
                <c:pt idx="3">
                  <c:v>77.391476873374714</c:v>
                </c:pt>
                <c:pt idx="4">
                  <c:v>74.760961302820519</c:v>
                </c:pt>
                <c:pt idx="5">
                  <c:v>73.612218578606814</c:v>
                </c:pt>
                <c:pt idx="6">
                  <c:v>73.1414505870098</c:v>
                </c:pt>
                <c:pt idx="7">
                  <c:v>70.387539804436187</c:v>
                </c:pt>
                <c:pt idx="8">
                  <c:v>69.953233838412501</c:v>
                </c:pt>
                <c:pt idx="9">
                  <c:v>67.873172891862112</c:v>
                </c:pt>
                <c:pt idx="10">
                  <c:v>67.0485473021036</c:v>
                </c:pt>
                <c:pt idx="11">
                  <c:v>67.045775740091074</c:v>
                </c:pt>
                <c:pt idx="12">
                  <c:v>66.252659908248248</c:v>
                </c:pt>
                <c:pt idx="13">
                  <c:v>65.869277391343743</c:v>
                </c:pt>
                <c:pt idx="14">
                  <c:v>65.560470117891853</c:v>
                </c:pt>
                <c:pt idx="15">
                  <c:v>65.258782584413268</c:v>
                </c:pt>
                <c:pt idx="16">
                  <c:v>66.206737463417397</c:v>
                </c:pt>
                <c:pt idx="17">
                  <c:v>66.272324560263655</c:v>
                </c:pt>
                <c:pt idx="18">
                  <c:v>66.38381958715712</c:v>
                </c:pt>
                <c:pt idx="19">
                  <c:v>67.304724044570932</c:v>
                </c:pt>
                <c:pt idx="20">
                  <c:v>67.974292244311783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D-1643-9989-D688A894B505}"/>
            </c:ext>
          </c:extLst>
        </c:ser>
        <c:ser>
          <c:idx val="1"/>
          <c:order val="1"/>
          <c:tx>
            <c:strRef>
              <c:f>'ws_SAA_+_30%_Buffered_Note'!$G$2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91.896905520499487</c:v>
                </c:pt>
                <c:pt idx="2">
                  <c:v>91.24665679146915</c:v>
                </c:pt>
                <c:pt idx="3">
                  <c:v>92.534956329164757</c:v>
                </c:pt>
                <c:pt idx="4">
                  <c:v>93.314727983193649</c:v>
                </c:pt>
                <c:pt idx="5">
                  <c:v>94.779896379547694</c:v>
                </c:pt>
                <c:pt idx="6">
                  <c:v>96.441803195513458</c:v>
                </c:pt>
                <c:pt idx="7">
                  <c:v>97.63155287729704</c:v>
                </c:pt>
                <c:pt idx="8">
                  <c:v>98.952395630796644</c:v>
                </c:pt>
                <c:pt idx="9">
                  <c:v>99.637365350695845</c:v>
                </c:pt>
                <c:pt idx="10">
                  <c:v>101.3435275020764</c:v>
                </c:pt>
                <c:pt idx="11">
                  <c:v>102.6731717608601</c:v>
                </c:pt>
                <c:pt idx="12">
                  <c:v>103.8453569857883</c:v>
                </c:pt>
                <c:pt idx="13">
                  <c:v>105.5999543854204</c:v>
                </c:pt>
                <c:pt idx="14">
                  <c:v>107.2269895365345</c:v>
                </c:pt>
                <c:pt idx="15">
                  <c:v>109.1725396070551</c:v>
                </c:pt>
                <c:pt idx="16">
                  <c:v>111.09780418622501</c:v>
                </c:pt>
                <c:pt idx="17">
                  <c:v>113.232379838434</c:v>
                </c:pt>
                <c:pt idx="18">
                  <c:v>115.2717121817884</c:v>
                </c:pt>
                <c:pt idx="19">
                  <c:v>116.98957641958221</c:v>
                </c:pt>
                <c:pt idx="20">
                  <c:v>119.77976422583821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D-1643-9989-D688A894B505}"/>
            </c:ext>
          </c:extLst>
        </c:ser>
        <c:ser>
          <c:idx val="2"/>
          <c:order val="2"/>
          <c:tx>
            <c:strRef>
              <c:f>'ws_SAA_+_30%_Buffered_Note'!$H$2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106.1153118383241</c:v>
                </c:pt>
                <c:pt idx="2">
                  <c:v>110.1259855460423</c:v>
                </c:pt>
                <c:pt idx="3">
                  <c:v>114.335963622794</c:v>
                </c:pt>
                <c:pt idx="4">
                  <c:v>119.93952974883079</c:v>
                </c:pt>
                <c:pt idx="5">
                  <c:v>126.365190070514</c:v>
                </c:pt>
                <c:pt idx="6">
                  <c:v>132.3890281231173</c:v>
                </c:pt>
                <c:pt idx="7">
                  <c:v>138.8783873123846</c:v>
                </c:pt>
                <c:pt idx="8">
                  <c:v>145.2182156871695</c:v>
                </c:pt>
                <c:pt idx="9">
                  <c:v>151.7631265358819</c:v>
                </c:pt>
                <c:pt idx="10">
                  <c:v>157.97495978635851</c:v>
                </c:pt>
                <c:pt idx="11">
                  <c:v>164.92284301358299</c:v>
                </c:pt>
                <c:pt idx="12">
                  <c:v>170.93299895967769</c:v>
                </c:pt>
                <c:pt idx="13">
                  <c:v>178.5657468878189</c:v>
                </c:pt>
                <c:pt idx="14">
                  <c:v>186.01422863088609</c:v>
                </c:pt>
                <c:pt idx="15">
                  <c:v>193.0414416088457</c:v>
                </c:pt>
                <c:pt idx="16">
                  <c:v>201.23270968473179</c:v>
                </c:pt>
                <c:pt idx="17">
                  <c:v>208.51959647540579</c:v>
                </c:pt>
                <c:pt idx="18">
                  <c:v>217.57514913874579</c:v>
                </c:pt>
                <c:pt idx="19">
                  <c:v>226.8837393413996</c:v>
                </c:pt>
                <c:pt idx="20">
                  <c:v>235.77756441749449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D-1643-9989-D688A894B505}"/>
            </c:ext>
          </c:extLst>
        </c:ser>
        <c:ser>
          <c:idx val="3"/>
          <c:order val="3"/>
          <c:tx>
            <c:strRef>
              <c:f>'ws_SAA_+_30%_Buffered_Note'!$I$2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117.90336551794449</c:v>
                </c:pt>
                <c:pt idx="2">
                  <c:v>129.22816274262959</c:v>
                </c:pt>
                <c:pt idx="3">
                  <c:v>139.57948191613451</c:v>
                </c:pt>
                <c:pt idx="4">
                  <c:v>151.64870173690639</c:v>
                </c:pt>
                <c:pt idx="5">
                  <c:v>164.70213748486319</c:v>
                </c:pt>
                <c:pt idx="6">
                  <c:v>176.93282105286741</c:v>
                </c:pt>
                <c:pt idx="7">
                  <c:v>190.24745387402521</c:v>
                </c:pt>
                <c:pt idx="8">
                  <c:v>204.97574961337151</c:v>
                </c:pt>
                <c:pt idx="9">
                  <c:v>220.085512628499</c:v>
                </c:pt>
                <c:pt idx="10">
                  <c:v>235.54038219017781</c:v>
                </c:pt>
                <c:pt idx="11">
                  <c:v>250.6953580591109</c:v>
                </c:pt>
                <c:pt idx="12">
                  <c:v>268.09022382878021</c:v>
                </c:pt>
                <c:pt idx="13">
                  <c:v>285.50676165171802</c:v>
                </c:pt>
                <c:pt idx="14">
                  <c:v>305.46259918267702</c:v>
                </c:pt>
                <c:pt idx="15">
                  <c:v>324.86809489701147</c:v>
                </c:pt>
                <c:pt idx="16">
                  <c:v>344.80889061988512</c:v>
                </c:pt>
                <c:pt idx="17">
                  <c:v>366.17150185128548</c:v>
                </c:pt>
                <c:pt idx="18">
                  <c:v>389.96251692572622</c:v>
                </c:pt>
                <c:pt idx="19">
                  <c:v>410.97538123485339</c:v>
                </c:pt>
                <c:pt idx="20">
                  <c:v>437.05757728293781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9D-1643-9989-D688A894B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4-9A42-A396-83E627502930}"/>
            </c:ext>
          </c:extLst>
        </c:ser>
        <c:ser>
          <c:idx val="1"/>
          <c:order val="1"/>
          <c:tx>
            <c:strRef>
              <c:f>'ws_SAA_+_30%_Buffered_Note'!$O$2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4-9A42-A396-83E627502930}"/>
            </c:ext>
          </c:extLst>
        </c:ser>
        <c:ser>
          <c:idx val="2"/>
          <c:order val="2"/>
          <c:tx>
            <c:strRef>
              <c:f>'ws_SAA_+_30%_Buffered_Note'!$P$2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94-9A42-A396-83E627502930}"/>
            </c:ext>
          </c:extLst>
        </c:ser>
        <c:ser>
          <c:idx val="3"/>
          <c:order val="3"/>
          <c:tx>
            <c:strRef>
              <c:f>'ws_SAA_+_30%_Buffered_Note'!$Q$2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94-9A42-A396-83E627502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6</xdr:row>
      <xdr:rowOff>139699</xdr:rowOff>
    </xdr:from>
    <xdr:to>
      <xdr:col>12</xdr:col>
      <xdr:colOff>36286</xdr:colOff>
      <xdr:row>23</xdr:row>
      <xdr:rowOff>117928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63AB9-5AE2-8BE9-BFF4-2A64539F9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workbookViewId="0">
      <selection activeCell="D63" sqref="D63"/>
    </sheetView>
  </sheetViews>
  <sheetFormatPr baseColWidth="10" defaultColWidth="8.83203125" defaultRowHeight="15"/>
  <cols>
    <col min="1" max="1" width="28.5" customWidth="1"/>
    <col min="2" max="4" width="11.33203125" customWidth="1"/>
    <col min="5" max="5" width="11.33203125" hidden="1" customWidth="1"/>
    <col min="6" max="6" width="11.33203125" style="80" customWidth="1"/>
  </cols>
  <sheetData>
    <row r="1" spans="1:7" ht="20" customHeight="1">
      <c r="A1" s="43"/>
      <c r="B1" s="44"/>
      <c r="C1" s="90" t="s">
        <v>84</v>
      </c>
      <c r="D1" s="90"/>
      <c r="E1" s="90"/>
      <c r="F1" s="91"/>
    </row>
    <row r="2" spans="1:7" ht="27" customHeight="1">
      <c r="A2" s="45"/>
      <c r="B2" s="46" t="s">
        <v>0</v>
      </c>
      <c r="C2" s="83">
        <v>0.1</v>
      </c>
      <c r="D2" s="83">
        <v>0.2</v>
      </c>
      <c r="E2" s="83">
        <v>0.3</v>
      </c>
      <c r="F2" s="82">
        <v>0.4</v>
      </c>
    </row>
    <row r="3" spans="1:7" ht="17" customHeight="1">
      <c r="A3" s="70" t="s">
        <v>4</v>
      </c>
      <c r="B3" s="71">
        <v>0.20499999999999999</v>
      </c>
      <c r="C3" s="71">
        <v>0.20499999999999999</v>
      </c>
      <c r="D3" s="71">
        <v>0.20499999999999999</v>
      </c>
      <c r="E3" s="71">
        <v>0.20499999999999999</v>
      </c>
      <c r="F3" s="72">
        <v>0.20499999999999999</v>
      </c>
    </row>
    <row r="4" spans="1:7" ht="17" hidden="1" customHeight="1">
      <c r="A4" s="73" t="s">
        <v>5</v>
      </c>
      <c r="B4" s="74">
        <v>14.5</v>
      </c>
      <c r="C4" s="74">
        <v>14.5</v>
      </c>
      <c r="D4" s="74">
        <v>14.5</v>
      </c>
      <c r="E4" s="74">
        <v>14.5</v>
      </c>
      <c r="F4" s="75">
        <v>14.5</v>
      </c>
    </row>
    <row r="5" spans="1:7" ht="17" hidden="1" customHeight="1">
      <c r="A5" s="73" t="s">
        <v>6</v>
      </c>
      <c r="B5" s="74">
        <v>6.0000000000000009</v>
      </c>
      <c r="C5" s="74">
        <v>6.0000000000000009</v>
      </c>
      <c r="D5" s="74">
        <v>6.0000000000000009</v>
      </c>
      <c r="E5" s="74">
        <v>6</v>
      </c>
      <c r="F5" s="75">
        <v>6</v>
      </c>
    </row>
    <row r="6" spans="1:7" ht="17" customHeight="1">
      <c r="A6" s="76" t="s">
        <v>7</v>
      </c>
      <c r="B6" s="77">
        <v>7.0000000000000021E-2</v>
      </c>
      <c r="C6" s="77">
        <v>7.0000000000000021E-2</v>
      </c>
      <c r="D6" s="77">
        <v>7.0000000000000021E-2</v>
      </c>
      <c r="E6" s="77">
        <v>7.0000000000000007E-2</v>
      </c>
      <c r="F6" s="78">
        <v>7.0000000000000007E-2</v>
      </c>
    </row>
    <row r="7" spans="1:7" ht="17" hidden="1" customHeight="1">
      <c r="A7" s="73" t="s">
        <v>8</v>
      </c>
      <c r="B7" s="74">
        <v>7.0000000000000018</v>
      </c>
      <c r="C7" s="74">
        <v>7.0000000000000018</v>
      </c>
      <c r="D7" s="74">
        <v>7.0000000000000018</v>
      </c>
      <c r="E7" s="74">
        <v>7.0000000000000009</v>
      </c>
      <c r="F7" s="75">
        <v>7.0000000000000009</v>
      </c>
    </row>
    <row r="8" spans="1:7" ht="17" customHeight="1">
      <c r="A8" s="76" t="s">
        <v>9</v>
      </c>
      <c r="B8" s="77">
        <v>0.65900000000000014</v>
      </c>
      <c r="C8" s="77">
        <v>0.65900000000000014</v>
      </c>
      <c r="D8" s="77">
        <v>0.65900000000000014</v>
      </c>
      <c r="E8" s="77">
        <v>0.65900000000000003</v>
      </c>
      <c r="F8" s="78">
        <v>0.65900000000000003</v>
      </c>
    </row>
    <row r="9" spans="1:7" ht="17" customHeight="1">
      <c r="A9" s="50" t="s">
        <v>10</v>
      </c>
      <c r="B9" s="51" t="s">
        <v>83</v>
      </c>
      <c r="C9" s="51">
        <v>10</v>
      </c>
      <c r="D9" s="51">
        <v>20</v>
      </c>
      <c r="E9" s="51">
        <v>30</v>
      </c>
      <c r="F9" s="52">
        <v>40</v>
      </c>
      <c r="G9" s="41">
        <v>0.09</v>
      </c>
    </row>
    <row r="10" spans="1:7" ht="17" customHeight="1">
      <c r="A10" s="50" t="s">
        <v>11</v>
      </c>
      <c r="B10" s="51">
        <v>18.530297029702972</v>
      </c>
      <c r="C10" s="51">
        <v>14.48471298411893</v>
      </c>
      <c r="D10" s="51">
        <v>10.43912893853488</v>
      </c>
      <c r="E10" s="51">
        <v>6.3935448929508336</v>
      </c>
      <c r="F10" s="52">
        <v>2.3215049504950529</v>
      </c>
      <c r="G10" s="40">
        <v>4.4999999999999997E-3</v>
      </c>
    </row>
    <row r="11" spans="1:7" ht="17" customHeight="1">
      <c r="A11" s="50" t="s">
        <v>12</v>
      </c>
      <c r="B11" s="51">
        <v>20.748712871287129</v>
      </c>
      <c r="C11" s="51">
        <v>16.218798341372601</v>
      </c>
      <c r="D11" s="51">
        <v>11.688883811458069</v>
      </c>
      <c r="E11" s="51">
        <v>7.1589692815435413</v>
      </c>
      <c r="F11" s="52">
        <v>2.6116930693069338</v>
      </c>
      <c r="G11" s="40">
        <v>1.8599999999999998E-2</v>
      </c>
    </row>
    <row r="12" spans="1:7" ht="17" customHeight="1">
      <c r="A12" s="50" t="s">
        <v>13</v>
      </c>
      <c r="B12" s="51">
        <v>6.5247524752475261</v>
      </c>
      <c r="C12" s="51">
        <v>5.1002510507461007</v>
      </c>
      <c r="D12" s="51">
        <v>3.6757496262446772</v>
      </c>
      <c r="E12" s="51">
        <v>2.2512482017432518</v>
      </c>
      <c r="F12" s="52">
        <v>0.87056435643564456</v>
      </c>
      <c r="G12" s="40">
        <v>1.2E-2</v>
      </c>
    </row>
    <row r="13" spans="1:7" ht="17" customHeight="1">
      <c r="A13" s="50" t="s">
        <v>14</v>
      </c>
      <c r="B13" s="51">
        <v>7.4382178217821799</v>
      </c>
      <c r="C13" s="51">
        <v>7.4382178217821799</v>
      </c>
      <c r="D13" s="51">
        <v>7.4382178217821799</v>
      </c>
      <c r="E13" s="51">
        <v>7.4382178217821782</v>
      </c>
      <c r="F13" s="52">
        <v>7.4382178217821782</v>
      </c>
    </row>
    <row r="14" spans="1:7" ht="17" customHeight="1">
      <c r="A14" s="50" t="s">
        <v>15</v>
      </c>
      <c r="B14" s="51">
        <v>2.2184158415841591</v>
      </c>
      <c r="C14" s="51">
        <v>2.2184158415841591</v>
      </c>
      <c r="D14" s="51">
        <v>2.2184158415841591</v>
      </c>
      <c r="E14" s="51">
        <v>2.2184158415841591</v>
      </c>
      <c r="F14" s="52">
        <v>2.2184158415841591</v>
      </c>
    </row>
    <row r="15" spans="1:7" ht="17" customHeight="1">
      <c r="A15" s="50" t="s">
        <v>16</v>
      </c>
      <c r="B15" s="51">
        <v>3.3928712871287132</v>
      </c>
      <c r="C15" s="51">
        <v>3.3928712871287132</v>
      </c>
      <c r="D15" s="51">
        <v>3.3928712871287132</v>
      </c>
      <c r="E15" s="51">
        <v>3.3928712871287119</v>
      </c>
      <c r="F15" s="52">
        <v>3.3928712871287119</v>
      </c>
    </row>
    <row r="16" spans="1:7" ht="17" customHeight="1">
      <c r="A16" s="50" t="s">
        <v>17</v>
      </c>
      <c r="B16" s="51">
        <v>1.6964356435643571</v>
      </c>
      <c r="C16" s="51">
        <v>1.6964356435643571</v>
      </c>
      <c r="D16" s="51">
        <v>1.6964356435643571</v>
      </c>
      <c r="E16" s="51">
        <v>1.6964356435643559</v>
      </c>
      <c r="F16" s="52">
        <v>1.6964356435643559</v>
      </c>
    </row>
    <row r="17" spans="1:6" ht="17" customHeight="1">
      <c r="A17" s="50" t="s">
        <v>18</v>
      </c>
      <c r="B17" s="51">
        <v>1.6964356435643571</v>
      </c>
      <c r="C17" s="51">
        <v>1.6964356435643571</v>
      </c>
      <c r="D17" s="51">
        <v>1.6964356435643571</v>
      </c>
      <c r="E17" s="51">
        <v>1.6964356435643559</v>
      </c>
      <c r="F17" s="52">
        <v>1.6964356435643559</v>
      </c>
    </row>
    <row r="18" spans="1:6" ht="17" customHeight="1">
      <c r="A18" s="50" t="s">
        <v>19</v>
      </c>
      <c r="B18" s="51">
        <v>1.826930693069307</v>
      </c>
      <c r="C18" s="51">
        <v>1.826930693069307</v>
      </c>
      <c r="D18" s="51">
        <v>1.826930693069307</v>
      </c>
      <c r="E18" s="51">
        <v>1.826930693069307</v>
      </c>
      <c r="F18" s="52">
        <v>1.826930693069307</v>
      </c>
    </row>
    <row r="19" spans="1:6" ht="17" customHeight="1">
      <c r="A19" s="50" t="s">
        <v>20</v>
      </c>
      <c r="B19" s="51">
        <v>1.826930693069307</v>
      </c>
      <c r="C19" s="51">
        <v>1.826930693069307</v>
      </c>
      <c r="D19" s="51">
        <v>1.826930693069307</v>
      </c>
      <c r="E19" s="51">
        <v>1.826930693069307</v>
      </c>
      <c r="F19" s="52">
        <v>1.826930693069307</v>
      </c>
    </row>
    <row r="20" spans="1:6" ht="17" customHeight="1">
      <c r="A20" s="47" t="s">
        <v>21</v>
      </c>
      <c r="B20" s="48">
        <v>6.6000000000000017E-2</v>
      </c>
      <c r="C20" s="48">
        <v>6.6000000000000017E-2</v>
      </c>
      <c r="D20" s="48">
        <v>6.6000000000000017E-2</v>
      </c>
      <c r="E20" s="48">
        <v>6.6000000000000003E-2</v>
      </c>
      <c r="F20" s="49">
        <v>6.6000000000000003E-2</v>
      </c>
    </row>
    <row r="21" spans="1:6" ht="17" hidden="1" customHeight="1">
      <c r="A21" s="50" t="s">
        <v>22</v>
      </c>
      <c r="B21" s="51">
        <v>0.66000000000000014</v>
      </c>
      <c r="C21" s="51">
        <v>0.66000000000000014</v>
      </c>
      <c r="D21" s="51">
        <v>0.66000000000000014</v>
      </c>
      <c r="E21" s="51">
        <v>0.66</v>
      </c>
      <c r="F21" s="52">
        <v>0.66</v>
      </c>
    </row>
    <row r="22" spans="1:6" ht="17" hidden="1" customHeight="1">
      <c r="A22" s="50" t="s">
        <v>23</v>
      </c>
      <c r="B22" s="51">
        <v>1.98</v>
      </c>
      <c r="C22" s="51">
        <v>1.98</v>
      </c>
      <c r="D22" s="51">
        <v>1.98</v>
      </c>
      <c r="E22" s="51">
        <v>1.98</v>
      </c>
      <c r="F22" s="52">
        <v>1.98</v>
      </c>
    </row>
    <row r="23" spans="1:6" ht="17" hidden="1" customHeight="1">
      <c r="A23" s="50" t="s">
        <v>24</v>
      </c>
      <c r="B23" s="51">
        <v>3.9600000000000009</v>
      </c>
      <c r="C23" s="51">
        <v>3.9600000000000009</v>
      </c>
      <c r="D23" s="51">
        <v>3.9600000000000009</v>
      </c>
      <c r="E23" s="51">
        <v>3.96</v>
      </c>
      <c r="F23" s="52">
        <v>3.96</v>
      </c>
    </row>
    <row r="24" spans="1:6" ht="23" customHeight="1">
      <c r="A24" s="53" t="s">
        <v>25</v>
      </c>
      <c r="B24" s="54">
        <v>1</v>
      </c>
      <c r="C24" s="54">
        <v>1</v>
      </c>
      <c r="D24" s="54">
        <v>1</v>
      </c>
      <c r="E24" s="54">
        <v>1</v>
      </c>
      <c r="F24" s="55">
        <v>1</v>
      </c>
    </row>
    <row r="25" spans="1:6" ht="3" customHeight="1">
      <c r="A25" s="56"/>
      <c r="B25" s="57">
        <v>0</v>
      </c>
      <c r="C25" s="57">
        <v>0</v>
      </c>
      <c r="D25" s="57">
        <v>0</v>
      </c>
      <c r="E25" s="57">
        <v>0</v>
      </c>
      <c r="F25" s="58">
        <v>0</v>
      </c>
    </row>
    <row r="26" spans="1:6" ht="23" customHeight="1">
      <c r="A26" s="59" t="s">
        <v>26</v>
      </c>
      <c r="B26" s="60">
        <v>6.6940349344910069E-2</v>
      </c>
      <c r="C26" s="60">
        <v>6.6319083370222021E-2</v>
      </c>
      <c r="D26" s="60">
        <v>6.5697817395533972E-2</v>
      </c>
      <c r="E26" s="60">
        <v>6.507655142084591E-2</v>
      </c>
      <c r="F26" s="61">
        <v>6.4463705643112046E-2</v>
      </c>
    </row>
    <row r="27" spans="1:6" ht="23" customHeight="1">
      <c r="A27" s="59" t="s">
        <v>27</v>
      </c>
      <c r="B27" s="62">
        <v>0.4241353698624088</v>
      </c>
      <c r="C27" s="62">
        <v>0.42271914653842579</v>
      </c>
      <c r="D27" s="62">
        <v>0.41942883313016999</v>
      </c>
      <c r="E27" s="62">
        <v>0.41422595228002029</v>
      </c>
      <c r="F27" s="63">
        <v>0.40721312931433168</v>
      </c>
    </row>
    <row r="28" spans="1:6" ht="3" customHeight="1">
      <c r="A28" s="56"/>
      <c r="B28" s="57">
        <v>0</v>
      </c>
      <c r="C28" s="57">
        <v>0</v>
      </c>
      <c r="D28" s="57">
        <v>0</v>
      </c>
      <c r="E28" s="57">
        <v>0</v>
      </c>
      <c r="F28" s="58">
        <v>0</v>
      </c>
    </row>
    <row r="29" spans="1:6" ht="23" customHeight="1">
      <c r="A29" s="59" t="s">
        <v>28</v>
      </c>
      <c r="B29" s="60">
        <v>9.8884347604670852E-2</v>
      </c>
      <c r="C29" s="60">
        <v>9.774594718166156E-2</v>
      </c>
      <c r="D29" s="60">
        <v>9.703152044128395E-2</v>
      </c>
      <c r="E29" s="60">
        <v>9.6750459985070689E-2</v>
      </c>
      <c r="F29" s="61">
        <v>9.6911673033630574E-2</v>
      </c>
    </row>
    <row r="30" spans="1:6" ht="3" customHeight="1">
      <c r="A30" s="64"/>
      <c r="B30" s="65"/>
      <c r="C30" s="65"/>
      <c r="D30" s="65"/>
      <c r="E30" s="65"/>
      <c r="F30" s="66"/>
    </row>
    <row r="31" spans="1:6" ht="20" customHeight="1">
      <c r="A31" s="67" t="s">
        <v>82</v>
      </c>
      <c r="B31" s="68" t="s">
        <v>83</v>
      </c>
      <c r="C31" s="68">
        <f>C40-$B$40</f>
        <v>7.8044444444444446E-3</v>
      </c>
      <c r="D31" s="68">
        <f t="shared" ref="D31:E31" si="0">D40-$B$40</f>
        <v>1.5608888888888891E-2</v>
      </c>
      <c r="E31" s="68">
        <f t="shared" si="0"/>
        <v>2.3413333333333335E-2</v>
      </c>
      <c r="F31" s="69">
        <f>F40-$B$40</f>
        <v>3.1218616099009902E-2</v>
      </c>
    </row>
    <row r="32" spans="1:6" ht="20" customHeight="1">
      <c r="A32" s="84" t="s">
        <v>85</v>
      </c>
      <c r="B32" s="85">
        <v>9.7000000000000003E-2</v>
      </c>
      <c r="C32" s="85">
        <v>8.4000000000000005E-2</v>
      </c>
      <c r="D32" s="85">
        <v>7.0000000000000007E-2</v>
      </c>
      <c r="E32" s="85">
        <f t="shared" ref="E32" si="1">E41-$B$40</f>
        <v>0.29452390574257425</v>
      </c>
      <c r="F32" s="86">
        <v>4.4999999999999998E-2</v>
      </c>
    </row>
    <row r="33" spans="1:6" ht="20" customHeight="1">
      <c r="A33" s="87" t="s">
        <v>86</v>
      </c>
      <c r="B33" s="88">
        <v>0.16300000000000001</v>
      </c>
      <c r="C33" s="88">
        <v>0.14499999999999999</v>
      </c>
      <c r="D33" s="88">
        <v>0.122</v>
      </c>
      <c r="E33" s="88">
        <f t="shared" ref="E33" si="2">E42-$B$40</f>
        <v>5.8459354672082596E-2</v>
      </c>
      <c r="F33" s="89">
        <v>7.8E-2</v>
      </c>
    </row>
    <row r="37" spans="1:6">
      <c r="A37">
        <v>100</v>
      </c>
    </row>
    <row r="40" spans="1:6">
      <c r="B40" s="42">
        <f>SUMPRODUCT(B41:B44,$G$9:$G$12)</f>
        <v>5.4760942574257421E-3</v>
      </c>
      <c r="C40" s="42">
        <f t="shared" ref="C40:E40" si="3">SUMPRODUCT(C41:C44,$G$9:$G$12)</f>
        <v>1.3280538701870187E-2</v>
      </c>
      <c r="D40" s="42">
        <f t="shared" si="3"/>
        <v>2.1084983146314632E-2</v>
      </c>
      <c r="E40" s="42">
        <f t="shared" si="3"/>
        <v>2.8889427590759076E-2</v>
      </c>
      <c r="F40" s="81">
        <f>SUMPRODUCT(F41:F44,$G$9:$G$12)</f>
        <v>3.6694710356435643E-2</v>
      </c>
    </row>
    <row r="41" spans="1:6" ht="17">
      <c r="B41" s="1">
        <v>0</v>
      </c>
      <c r="C41" s="1">
        <v>0.1</v>
      </c>
      <c r="D41" s="1">
        <v>0.2</v>
      </c>
      <c r="E41" s="1">
        <v>0.3</v>
      </c>
      <c r="F41" s="79">
        <v>0.4</v>
      </c>
    </row>
    <row r="42" spans="1:6" ht="17">
      <c r="B42" s="1">
        <v>0.18530297029702972</v>
      </c>
      <c r="C42" s="1">
        <v>0.1448471298411893</v>
      </c>
      <c r="D42" s="1">
        <v>0.10439128938534881</v>
      </c>
      <c r="E42" s="1">
        <v>6.3935448929508337E-2</v>
      </c>
      <c r="F42" s="79">
        <v>2.3215049504950527E-2</v>
      </c>
    </row>
    <row r="43" spans="1:6" ht="17">
      <c r="B43" s="1">
        <v>0.20748712871287128</v>
      </c>
      <c r="C43" s="1">
        <v>0.16218798341372601</v>
      </c>
      <c r="D43" s="1">
        <v>0.11688883811458069</v>
      </c>
      <c r="E43" s="1">
        <v>7.158969281543541E-2</v>
      </c>
      <c r="F43" s="79">
        <v>2.6116930693069338E-2</v>
      </c>
    </row>
    <row r="44" spans="1:6" ht="17">
      <c r="B44" s="1">
        <v>6.5247524752475264E-2</v>
      </c>
      <c r="C44" s="1">
        <v>5.1002510507461005E-2</v>
      </c>
      <c r="D44" s="1">
        <v>3.6757496262446773E-2</v>
      </c>
      <c r="E44" s="1">
        <v>2.2512482017432518E-2</v>
      </c>
      <c r="F44" s="79">
        <v>8.705643564356446E-3</v>
      </c>
    </row>
  </sheetData>
  <mergeCells count="1">
    <mergeCell ref="C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8951-1891-6245-8439-6EB4B80D47D3}">
  <dimension ref="A1:U48"/>
  <sheetViews>
    <sheetView tabSelected="1" topLeftCell="E1" zoomScale="140" zoomScaleNormal="140" workbookViewId="0">
      <selection activeCell="I5" sqref="I5"/>
    </sheetView>
  </sheetViews>
  <sheetFormatPr baseColWidth="10" defaultRowHeight="15"/>
  <cols>
    <col min="2" max="4" width="10.83203125" style="80"/>
  </cols>
  <sheetData>
    <row r="1" spans="1:21">
      <c r="A1" s="101"/>
      <c r="B1" s="102"/>
      <c r="C1" s="102"/>
      <c r="D1" s="102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1">
      <c r="A2" s="101"/>
      <c r="B2" s="102"/>
      <c r="C2" s="102"/>
      <c r="D2" s="102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1:21">
      <c r="A3" s="101"/>
      <c r="B3" s="102"/>
      <c r="C3" s="102"/>
      <c r="D3" s="102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1:21">
      <c r="A4" s="101"/>
      <c r="B4" s="102"/>
      <c r="C4" s="102"/>
      <c r="D4" s="102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</row>
    <row r="5" spans="1:21">
      <c r="A5" s="101"/>
      <c r="B5" s="102"/>
      <c r="C5" s="103">
        <v>0.09</v>
      </c>
      <c r="D5" s="102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</row>
    <row r="6" spans="1:21">
      <c r="A6" s="101"/>
      <c r="B6" s="102" t="s">
        <v>87</v>
      </c>
      <c r="C6" s="102" t="s">
        <v>88</v>
      </c>
      <c r="D6" s="102" t="s">
        <v>89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</row>
    <row r="7" spans="1:21">
      <c r="A7" s="101"/>
      <c r="B7" s="104">
        <v>-0.3</v>
      </c>
      <c r="C7" s="103" t="e">
        <f>NA()</f>
        <v>#N/A</v>
      </c>
      <c r="D7" s="105">
        <f>D8-5%</f>
        <v>-0.15000000000000002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</row>
    <row r="8" spans="1:21">
      <c r="A8" s="101"/>
      <c r="B8" s="104">
        <f>B7+5%</f>
        <v>-0.25</v>
      </c>
      <c r="C8" s="103" t="e">
        <f>NA()</f>
        <v>#N/A</v>
      </c>
      <c r="D8" s="105">
        <f>D9-5%</f>
        <v>-0.1</v>
      </c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</row>
    <row r="9" spans="1:21">
      <c r="A9" s="101"/>
      <c r="B9" s="104">
        <f t="shared" ref="B9:B19" si="0">B8+5%</f>
        <v>-0.2</v>
      </c>
      <c r="C9" s="103" t="e">
        <f>NA()</f>
        <v>#N/A</v>
      </c>
      <c r="D9" s="105">
        <v>-0.05</v>
      </c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</row>
    <row r="10" spans="1:21">
      <c r="A10" s="101"/>
      <c r="B10" s="104">
        <f t="shared" si="0"/>
        <v>-0.15000000000000002</v>
      </c>
      <c r="C10" s="103" t="e">
        <f>NA()</f>
        <v>#N/A</v>
      </c>
      <c r="D10" s="105">
        <v>0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</row>
    <row r="11" spans="1:21">
      <c r="A11" s="101"/>
      <c r="B11" s="104">
        <f t="shared" si="0"/>
        <v>-0.10000000000000002</v>
      </c>
      <c r="C11" s="103" t="e">
        <f>NA()</f>
        <v>#N/A</v>
      </c>
      <c r="D11" s="105">
        <v>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</row>
    <row r="12" spans="1:21">
      <c r="A12" s="101"/>
      <c r="B12" s="104">
        <f t="shared" si="0"/>
        <v>-5.0000000000000017E-2</v>
      </c>
      <c r="C12" s="103" t="e">
        <f>NA()</f>
        <v>#N/A</v>
      </c>
      <c r="D12" s="105">
        <v>0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</row>
    <row r="13" spans="1:21">
      <c r="A13" s="101"/>
      <c r="B13" s="104">
        <f t="shared" si="0"/>
        <v>0</v>
      </c>
      <c r="C13" s="103">
        <f t="shared" ref="C8:C19" si="1">$C$5*2</f>
        <v>0.18</v>
      </c>
      <c r="D13" s="105">
        <v>0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</row>
    <row r="14" spans="1:21">
      <c r="A14" s="101"/>
      <c r="B14" s="104">
        <f t="shared" si="0"/>
        <v>0.05</v>
      </c>
      <c r="C14" s="103">
        <f t="shared" si="1"/>
        <v>0.18</v>
      </c>
      <c r="D14" s="105" t="e">
        <f>NA()</f>
        <v>#N/A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</row>
    <row r="15" spans="1:21">
      <c r="A15" s="101"/>
      <c r="B15" s="104">
        <f t="shared" si="0"/>
        <v>0.1</v>
      </c>
      <c r="C15" s="103">
        <f t="shared" si="1"/>
        <v>0.18</v>
      </c>
      <c r="D15" s="105" t="e">
        <f>NA()</f>
        <v>#N/A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</row>
    <row r="16" spans="1:21">
      <c r="A16" s="101"/>
      <c r="B16" s="104">
        <f t="shared" si="0"/>
        <v>0.15000000000000002</v>
      </c>
      <c r="C16" s="103">
        <f t="shared" si="1"/>
        <v>0.18</v>
      </c>
      <c r="D16" s="105" t="e">
        <f>NA()</f>
        <v>#N/A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</row>
    <row r="17" spans="1:21">
      <c r="A17" s="101"/>
      <c r="B17" s="104">
        <f t="shared" si="0"/>
        <v>0.2</v>
      </c>
      <c r="C17" s="103">
        <f t="shared" si="1"/>
        <v>0.18</v>
      </c>
      <c r="D17" s="105" t="e">
        <f>NA()</f>
        <v>#N/A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</row>
    <row r="18" spans="1:21">
      <c r="A18" s="101"/>
      <c r="B18" s="104">
        <f>B17+5%</f>
        <v>0.25</v>
      </c>
      <c r="C18" s="103">
        <f t="shared" si="1"/>
        <v>0.18</v>
      </c>
      <c r="D18" s="105" t="e">
        <f>NA()</f>
        <v>#N/A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</row>
    <row r="19" spans="1:21">
      <c r="A19" s="101"/>
      <c r="B19" s="104">
        <f t="shared" si="0"/>
        <v>0.3</v>
      </c>
      <c r="C19" s="103">
        <f t="shared" si="1"/>
        <v>0.18</v>
      </c>
      <c r="D19" s="105" t="e">
        <f>NA()</f>
        <v>#N/A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</row>
    <row r="20" spans="1:21">
      <c r="A20" s="101"/>
      <c r="B20" s="102"/>
      <c r="C20" s="102"/>
      <c r="D20" s="102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</row>
    <row r="21" spans="1:21">
      <c r="A21" s="101"/>
      <c r="B21" s="102"/>
      <c r="C21" s="102"/>
      <c r="D21" s="102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</row>
    <row r="22" spans="1:21">
      <c r="A22" s="101"/>
      <c r="B22" s="102"/>
      <c r="C22" s="102"/>
      <c r="D22" s="102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</row>
    <row r="23" spans="1:21">
      <c r="A23" s="101"/>
      <c r="B23" s="102"/>
      <c r="C23" s="102"/>
      <c r="D23" s="102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</row>
    <row r="24" spans="1:21">
      <c r="A24" s="101"/>
      <c r="B24" s="102"/>
      <c r="C24" s="102"/>
      <c r="D24" s="102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</row>
    <row r="25" spans="1:21">
      <c r="A25" s="101"/>
      <c r="B25" s="102"/>
      <c r="C25" s="102"/>
      <c r="D25" s="102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</row>
    <row r="26" spans="1:21">
      <c r="A26" s="101"/>
      <c r="B26" s="102"/>
      <c r="C26" s="102"/>
      <c r="D26" s="102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</row>
    <row r="27" spans="1:21">
      <c r="A27" s="101"/>
      <c r="B27" s="102"/>
      <c r="C27" s="102"/>
      <c r="D27" s="102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</row>
    <row r="28" spans="1:21">
      <c r="A28" s="101"/>
      <c r="B28" s="102"/>
      <c r="C28" s="102"/>
      <c r="D28" s="102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</row>
    <row r="29" spans="1:21">
      <c r="A29" s="101"/>
      <c r="B29" s="102"/>
      <c r="C29" s="102"/>
      <c r="D29" s="102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</row>
    <row r="30" spans="1:21">
      <c r="A30" s="101"/>
      <c r="B30" s="102"/>
      <c r="C30" s="102"/>
      <c r="D30" s="102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</row>
    <row r="31" spans="1:21">
      <c r="A31" s="101"/>
      <c r="B31" s="102"/>
      <c r="C31" s="102"/>
      <c r="D31" s="102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</row>
    <row r="32" spans="1:21">
      <c r="A32" s="101"/>
      <c r="B32" s="102"/>
      <c r="C32" s="102"/>
      <c r="D32" s="102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</row>
    <row r="33" spans="1:21">
      <c r="A33" s="101"/>
      <c r="B33" s="102"/>
      <c r="C33" s="102"/>
      <c r="D33" s="102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</row>
    <row r="34" spans="1:21">
      <c r="A34" s="101"/>
      <c r="B34" s="102"/>
      <c r="C34" s="102"/>
      <c r="D34" s="102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</row>
    <row r="35" spans="1:21">
      <c r="A35" s="101"/>
      <c r="B35" s="102"/>
      <c r="C35" s="102"/>
      <c r="D35" s="102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</row>
    <row r="36" spans="1:21">
      <c r="A36" s="101"/>
      <c r="B36" s="102"/>
      <c r="C36" s="102"/>
      <c r="D36" s="102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</row>
    <row r="37" spans="1:21">
      <c r="A37" s="101"/>
      <c r="B37" s="102"/>
      <c r="C37" s="102"/>
      <c r="D37" s="102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</row>
    <row r="38" spans="1:21">
      <c r="A38" s="101"/>
      <c r="B38" s="102"/>
      <c r="C38" s="102"/>
      <c r="D38" s="102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</row>
    <row r="39" spans="1:21">
      <c r="A39" s="101"/>
      <c r="B39" s="102"/>
      <c r="C39" s="102"/>
      <c r="D39" s="102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</row>
    <row r="40" spans="1:21">
      <c r="A40" s="101"/>
      <c r="B40" s="102"/>
      <c r="C40" s="102"/>
      <c r="D40" s="102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</row>
    <row r="41" spans="1:21">
      <c r="A41" s="101"/>
      <c r="B41" s="102"/>
      <c r="C41" s="102"/>
      <c r="D41" s="102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</row>
    <row r="42" spans="1:21">
      <c r="A42" s="101"/>
      <c r="B42" s="102"/>
      <c r="C42" s="102"/>
      <c r="D42" s="102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</row>
    <row r="43" spans="1:21">
      <c r="A43" s="101"/>
      <c r="B43" s="102"/>
      <c r="C43" s="102"/>
      <c r="D43" s="102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</row>
    <row r="44" spans="1:21">
      <c r="A44" s="101"/>
      <c r="B44" s="102"/>
      <c r="C44" s="102"/>
      <c r="D44" s="102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</row>
    <row r="45" spans="1:21">
      <c r="A45" s="101"/>
      <c r="B45" s="102"/>
      <c r="C45" s="102"/>
      <c r="D45" s="102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</row>
    <row r="46" spans="1:21">
      <c r="A46" s="101"/>
      <c r="B46" s="102"/>
      <c r="C46" s="102"/>
      <c r="D46" s="102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</row>
    <row r="47" spans="1:21">
      <c r="A47" s="101"/>
      <c r="B47" s="102"/>
      <c r="C47" s="102"/>
      <c r="D47" s="102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</row>
    <row r="48" spans="1:21">
      <c r="A48" s="101"/>
      <c r="B48" s="102"/>
      <c r="C48" s="102"/>
      <c r="D48" s="102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/>
  </sheetViews>
  <sheetFormatPr baseColWidth="10" defaultColWidth="8.83203125" defaultRowHeight="15"/>
  <cols>
    <col min="1" max="1" width="40" customWidth="1"/>
    <col min="2" max="9" width="15" customWidth="1"/>
  </cols>
  <sheetData>
    <row r="1" spans="1:9" ht="35" customHeight="1">
      <c r="A1" s="2"/>
      <c r="B1" s="97" t="s">
        <v>0</v>
      </c>
      <c r="C1" s="93"/>
      <c r="D1" s="97" t="s">
        <v>1</v>
      </c>
      <c r="E1" s="93"/>
      <c r="F1" s="97" t="s">
        <v>2</v>
      </c>
      <c r="G1" s="93"/>
      <c r="H1" s="97" t="s">
        <v>3</v>
      </c>
      <c r="I1" s="93"/>
    </row>
    <row r="2" spans="1:9" ht="20" customHeight="1">
      <c r="A2" s="4" t="s">
        <v>4</v>
      </c>
      <c r="B2" s="92">
        <v>0.20499999999999999</v>
      </c>
      <c r="C2" s="93"/>
      <c r="D2" s="92">
        <v>0.20499999999999999</v>
      </c>
      <c r="E2" s="93"/>
      <c r="F2" s="92">
        <v>0.20499999999999999</v>
      </c>
      <c r="G2" s="93"/>
      <c r="H2" s="92">
        <v>0.20499999999999999</v>
      </c>
      <c r="I2" s="93"/>
    </row>
    <row r="3" spans="1:9" ht="16" customHeight="1">
      <c r="A3" s="4" t="s">
        <v>7</v>
      </c>
      <c r="B3" s="92">
        <v>7.0000000000000021E-2</v>
      </c>
      <c r="C3" s="93"/>
      <c r="D3" s="92">
        <v>7.0000000000000021E-2</v>
      </c>
      <c r="E3" s="93"/>
      <c r="F3" s="92">
        <v>7.0000000000000021E-2</v>
      </c>
      <c r="G3" s="93"/>
      <c r="H3" s="92">
        <v>7.0000000000000007E-2</v>
      </c>
      <c r="I3" s="93"/>
    </row>
    <row r="4" spans="1:9" ht="16" customHeight="1">
      <c r="A4" s="4" t="s">
        <v>9</v>
      </c>
      <c r="B4" s="92">
        <v>0.65900000000000014</v>
      </c>
      <c r="C4" s="93"/>
      <c r="D4" s="92">
        <v>0.65900000000000014</v>
      </c>
      <c r="E4" s="93"/>
      <c r="F4" s="92">
        <v>0.65900000000000014</v>
      </c>
      <c r="G4" s="93"/>
      <c r="H4" s="92">
        <v>0.65900000000000003</v>
      </c>
      <c r="I4" s="93"/>
    </row>
    <row r="5" spans="1:9" ht="16" customHeight="1">
      <c r="A5" s="4" t="s">
        <v>21</v>
      </c>
      <c r="B5" s="92">
        <v>6.6000000000000017E-2</v>
      </c>
      <c r="C5" s="93"/>
      <c r="D5" s="92">
        <v>6.6000000000000017E-2</v>
      </c>
      <c r="E5" s="93"/>
      <c r="F5" s="92">
        <v>6.6000000000000017E-2</v>
      </c>
      <c r="G5" s="93"/>
      <c r="H5" s="92">
        <v>6.6000000000000003E-2</v>
      </c>
      <c r="I5" s="93"/>
    </row>
    <row r="6" spans="1:9" ht="16" customHeight="1">
      <c r="A6" s="4"/>
      <c r="B6" s="92">
        <v>0</v>
      </c>
      <c r="C6" s="93"/>
      <c r="D6" s="92">
        <v>0</v>
      </c>
      <c r="E6" s="93"/>
      <c r="F6" s="92">
        <v>0</v>
      </c>
      <c r="G6" s="93"/>
      <c r="H6" s="92">
        <v>0</v>
      </c>
      <c r="I6" s="93"/>
    </row>
    <row r="7" spans="1:9" ht="16" customHeight="1">
      <c r="A7" s="4"/>
      <c r="B7" s="92">
        <v>0</v>
      </c>
      <c r="C7" s="93"/>
      <c r="D7" s="92">
        <v>0</v>
      </c>
      <c r="E7" s="93"/>
      <c r="F7" s="92">
        <v>0</v>
      </c>
      <c r="G7" s="93"/>
      <c r="H7" s="92">
        <v>0</v>
      </c>
      <c r="I7" s="93"/>
    </row>
    <row r="8" spans="1:9" ht="16" customHeight="1">
      <c r="A8" s="6" t="s">
        <v>26</v>
      </c>
      <c r="B8" s="95">
        <v>6.6940349344910069E-2</v>
      </c>
      <c r="C8" s="96"/>
      <c r="D8" s="95">
        <v>6.6319083370222021E-2</v>
      </c>
      <c r="E8" s="96"/>
      <c r="F8" s="95">
        <v>6.5697817395533972E-2</v>
      </c>
      <c r="G8" s="96"/>
      <c r="H8" s="95">
        <v>6.507655142084591E-2</v>
      </c>
      <c r="I8" s="96"/>
    </row>
    <row r="9" spans="1:9" ht="16" customHeight="1">
      <c r="A9" s="4" t="s">
        <v>27</v>
      </c>
      <c r="B9" s="94">
        <v>0.4241353698624088</v>
      </c>
      <c r="C9" s="93"/>
      <c r="D9" s="94">
        <v>0.42271914653842579</v>
      </c>
      <c r="E9" s="93"/>
      <c r="F9" s="94">
        <v>0.41942883313016999</v>
      </c>
      <c r="G9" s="93"/>
      <c r="H9" s="94">
        <v>0.41422595228002029</v>
      </c>
      <c r="I9" s="93"/>
    </row>
    <row r="10" spans="1:9" ht="16" customHeight="1">
      <c r="A10" s="4"/>
      <c r="B10" s="92">
        <v>0</v>
      </c>
      <c r="C10" s="93"/>
      <c r="D10" s="92">
        <v>0</v>
      </c>
      <c r="E10" s="93"/>
      <c r="F10" s="92">
        <v>0</v>
      </c>
      <c r="G10" s="93"/>
      <c r="H10" s="92">
        <v>0</v>
      </c>
      <c r="I10" s="93"/>
    </row>
    <row r="11" spans="1:9" ht="16" customHeight="1">
      <c r="A11" s="4"/>
      <c r="B11" s="92">
        <v>0</v>
      </c>
      <c r="C11" s="93"/>
      <c r="D11" s="92">
        <v>0</v>
      </c>
      <c r="E11" s="93"/>
      <c r="F11" s="92">
        <v>0</v>
      </c>
      <c r="G11" s="93"/>
      <c r="H11" s="92">
        <v>0</v>
      </c>
      <c r="I11" s="93"/>
    </row>
    <row r="12" spans="1:9" ht="16" customHeight="1">
      <c r="A12" s="4" t="s">
        <v>28</v>
      </c>
      <c r="B12" s="92">
        <v>9.8884347604670852E-2</v>
      </c>
      <c r="C12" s="93"/>
      <c r="D12" s="92">
        <v>9.774594718166156E-2</v>
      </c>
      <c r="E12" s="93"/>
      <c r="F12" s="92">
        <v>9.703152044128395E-2</v>
      </c>
      <c r="G12" s="93"/>
      <c r="H12" s="92">
        <v>9.6750459985070689E-2</v>
      </c>
      <c r="I12" s="93"/>
    </row>
    <row r="13" spans="1:9" ht="16" customHeight="1">
      <c r="A13" s="2" t="s">
        <v>29</v>
      </c>
      <c r="B13" s="3"/>
      <c r="C13" s="3"/>
      <c r="D13" s="3"/>
      <c r="E13" s="3"/>
      <c r="F13" s="3"/>
      <c r="G13" s="3"/>
      <c r="H13" s="3"/>
      <c r="I13" s="3"/>
    </row>
    <row r="14" spans="1:9" ht="16" customHeight="1">
      <c r="A14" s="7" t="s">
        <v>30</v>
      </c>
      <c r="B14" s="8" t="s">
        <v>31</v>
      </c>
      <c r="C14" s="8" t="s">
        <v>32</v>
      </c>
      <c r="D14" s="8" t="s">
        <v>31</v>
      </c>
      <c r="E14" s="8" t="s">
        <v>32</v>
      </c>
      <c r="F14" s="8" t="s">
        <v>31</v>
      </c>
      <c r="G14" s="8" t="s">
        <v>32</v>
      </c>
      <c r="H14" s="8" t="s">
        <v>31</v>
      </c>
      <c r="I14" s="8" t="s">
        <v>32</v>
      </c>
    </row>
    <row r="15" spans="1:9" ht="20" customHeight="1">
      <c r="A15" s="9" t="s">
        <v>33</v>
      </c>
      <c r="B15" s="5">
        <v>0.20034530716345331</v>
      </c>
      <c r="C15" s="5">
        <v>0.1441289309290876</v>
      </c>
      <c r="D15" s="5">
        <v>0.20147338255879871</v>
      </c>
      <c r="E15" s="5">
        <v>0.14520417460137211</v>
      </c>
      <c r="F15" s="5">
        <v>0.20260134605245941</v>
      </c>
      <c r="G15" s="5">
        <v>0.1462793116127199</v>
      </c>
      <c r="H15" s="5">
        <v>0.2037291955362783</v>
      </c>
      <c r="I15" s="5">
        <v>0.14735433995370609</v>
      </c>
    </row>
    <row r="16" spans="1:9" ht="16" customHeight="1">
      <c r="A16" s="9" t="s">
        <v>34</v>
      </c>
      <c r="B16" s="5">
        <v>-0.2548434794383464</v>
      </c>
      <c r="C16" s="5">
        <v>-0.36676307923825863</v>
      </c>
      <c r="D16" s="5">
        <v>-0.25592821069888733</v>
      </c>
      <c r="E16" s="5">
        <v>-0.36768488809898109</v>
      </c>
      <c r="F16" s="5">
        <v>-0.25701240550288501</v>
      </c>
      <c r="G16" s="5">
        <v>-0.36860624107683848</v>
      </c>
      <c r="H16" s="5">
        <v>-0.258096062488958</v>
      </c>
      <c r="I16" s="5">
        <v>-0.36952713701492362</v>
      </c>
    </row>
    <row r="17" spans="1:9" ht="16" customHeight="1">
      <c r="A17" s="9" t="s">
        <v>35</v>
      </c>
      <c r="B17" s="5">
        <v>0.1101384781682193</v>
      </c>
      <c r="C17" s="5">
        <v>-6.449751766232692E-2</v>
      </c>
      <c r="D17" s="5">
        <v>0.1070767364364746</v>
      </c>
      <c r="E17" s="5">
        <v>-6.7077616493825931E-2</v>
      </c>
      <c r="F17" s="5">
        <v>0.1040224164033334</v>
      </c>
      <c r="G17" s="5">
        <v>-6.9651461134876413E-2</v>
      </c>
      <c r="H17" s="5">
        <v>0.1009755025482451</v>
      </c>
      <c r="I17" s="5">
        <v>-7.2219064664489574E-2</v>
      </c>
    </row>
    <row r="18" spans="1:9" ht="16" customHeight="1">
      <c r="A18" s="9" t="s">
        <v>36</v>
      </c>
      <c r="B18" s="5">
        <v>-2.220953206393406E-2</v>
      </c>
      <c r="C18" s="5">
        <v>-0.14155468815168179</v>
      </c>
      <c r="D18" s="5">
        <v>-2.3897107636705162E-2</v>
      </c>
      <c r="E18" s="5">
        <v>-0.14303628506466159</v>
      </c>
      <c r="F18" s="5">
        <v>-2.558346370874498E-2</v>
      </c>
      <c r="G18" s="5">
        <v>-0.14451681132424471</v>
      </c>
      <c r="H18" s="5">
        <v>-2.7268597481721391E-2</v>
      </c>
      <c r="I18" s="5">
        <v>-0.14599626447365249</v>
      </c>
    </row>
    <row r="19" spans="1:9" ht="16" customHeight="1">
      <c r="A19" s="9" t="s">
        <v>37</v>
      </c>
      <c r="B19" s="5">
        <v>-0.1411320719551985</v>
      </c>
      <c r="C19" s="5">
        <v>-0.14337964987589841</v>
      </c>
      <c r="D19" s="5">
        <v>-0.14079816092705691</v>
      </c>
      <c r="E19" s="5">
        <v>-0.14304661266203009</v>
      </c>
      <c r="F19" s="5">
        <v>-0.14046424989891551</v>
      </c>
      <c r="G19" s="5">
        <v>-0.14271357544816191</v>
      </c>
      <c r="H19" s="5">
        <v>-0.140130338870774</v>
      </c>
      <c r="I19" s="5">
        <v>-0.1423805382342935</v>
      </c>
    </row>
    <row r="20" spans="1:9" ht="16" customHeight="1">
      <c r="A20" s="9" t="s">
        <v>38</v>
      </c>
      <c r="B20" s="5">
        <v>-4.1550727897481383E-2</v>
      </c>
      <c r="C20" s="5">
        <v>-6.3945054481720276E-2</v>
      </c>
      <c r="D20" s="5">
        <v>-4.2196243027889158E-2</v>
      </c>
      <c r="E20" s="5">
        <v>-6.4575487043789792E-2</v>
      </c>
      <c r="F20" s="5">
        <v>-4.2841654401992058E-2</v>
      </c>
      <c r="G20" s="5">
        <v>-6.5205818273837535E-2</v>
      </c>
      <c r="H20" s="5">
        <v>-4.3486961701320707E-2</v>
      </c>
      <c r="I20" s="5">
        <v>-6.5836047860835634E-2</v>
      </c>
    </row>
    <row r="21" spans="1:9" ht="16" customHeight="1">
      <c r="A21" s="9" t="s">
        <v>39</v>
      </c>
      <c r="B21" s="5">
        <v>-0.1026259692085109</v>
      </c>
      <c r="C21" s="5">
        <v>-0.10372780578272631</v>
      </c>
      <c r="D21" s="5">
        <v>-0.10142896845592431</v>
      </c>
      <c r="E21" s="5">
        <v>-0.1025322747620057</v>
      </c>
      <c r="F21" s="5">
        <v>-0.1002319677033382</v>
      </c>
      <c r="G21" s="5">
        <v>-0.10133674374128521</v>
      </c>
      <c r="H21" s="5">
        <v>-9.9034966950751757E-2</v>
      </c>
      <c r="I21" s="5">
        <v>-0.1001412127205646</v>
      </c>
    </row>
    <row r="22" spans="1:9" ht="16" customHeight="1">
      <c r="A22" s="9" t="s">
        <v>40</v>
      </c>
      <c r="B22" s="5">
        <v>-0.2522996541590985</v>
      </c>
      <c r="C22" s="5">
        <v>-0.29282898647372851</v>
      </c>
      <c r="D22" s="5">
        <v>-0.25809700202430819</v>
      </c>
      <c r="E22" s="5">
        <v>-0.29831208727528541</v>
      </c>
      <c r="F22" s="5">
        <v>-0.26385473899928402</v>
      </c>
      <c r="G22" s="5">
        <v>-0.30375772430736692</v>
      </c>
      <c r="H22" s="5">
        <v>-0.26957309437763821</v>
      </c>
      <c r="I22" s="5">
        <v>-0.30916611443465269</v>
      </c>
    </row>
    <row r="23" spans="1:9" ht="16" customHeight="1">
      <c r="A23" s="9" t="s">
        <v>41</v>
      </c>
      <c r="B23" s="5">
        <v>-0.36771485896668921</v>
      </c>
      <c r="C23" s="5">
        <v>-0.37816467439412388</v>
      </c>
      <c r="D23" s="5">
        <v>-0.36624170288124192</v>
      </c>
      <c r="E23" s="5">
        <v>-0.37671586524993728</v>
      </c>
      <c r="F23" s="5">
        <v>-0.36476643529879849</v>
      </c>
      <c r="G23" s="5">
        <v>-0.37526497950559529</v>
      </c>
      <c r="H23" s="5">
        <v>-0.36328905593194433</v>
      </c>
      <c r="I23" s="5">
        <v>-0.37381201687843341</v>
      </c>
    </row>
    <row r="24" spans="1:9" ht="16" customHeight="1">
      <c r="A24" s="9" t="s">
        <v>42</v>
      </c>
      <c r="B24" s="5">
        <v>-0.13749463321577499</v>
      </c>
      <c r="C24" s="5">
        <v>-0.1344414265931313</v>
      </c>
      <c r="D24" s="5">
        <v>-0.1361146539783149</v>
      </c>
      <c r="E24" s="5">
        <v>-0.1330565623289697</v>
      </c>
      <c r="F24" s="5">
        <v>-0.1347339923561538</v>
      </c>
      <c r="G24" s="5">
        <v>-0.1316710132645145</v>
      </c>
      <c r="H24" s="5">
        <v>-0.13335264834929189</v>
      </c>
      <c r="I24" s="5">
        <v>-0.13028477939976629</v>
      </c>
    </row>
    <row r="25" spans="1:9" ht="16" customHeight="1">
      <c r="A25" s="7" t="s">
        <v>43</v>
      </c>
      <c r="B25" s="8"/>
      <c r="C25" s="8"/>
      <c r="D25" s="8"/>
      <c r="E25" s="8"/>
      <c r="F25" s="8"/>
      <c r="G25" s="8"/>
      <c r="H25" s="8"/>
      <c r="I25" s="8"/>
    </row>
    <row r="26" spans="1:9" ht="16" customHeight="1">
      <c r="A26" s="9" t="s">
        <v>44</v>
      </c>
      <c r="B26" s="5">
        <v>7.4451566170829708E-2</v>
      </c>
      <c r="C26" s="5">
        <v>7.6409858682636389E-2</v>
      </c>
      <c r="D26" s="5">
        <v>7.3567769190620913E-2</v>
      </c>
      <c r="E26" s="5">
        <v>7.5527931656440894E-2</v>
      </c>
      <c r="F26" s="5">
        <v>7.3055121914142207E-2</v>
      </c>
      <c r="G26" s="5">
        <v>7.5016369048560794E-2</v>
      </c>
      <c r="H26" s="5">
        <v>7.2718610786734472E-2</v>
      </c>
      <c r="I26" s="5">
        <v>7.4680569917626505E-2</v>
      </c>
    </row>
    <row r="27" spans="1:9" ht="16" customHeight="1">
      <c r="A27" s="9" t="s">
        <v>45</v>
      </c>
      <c r="B27" s="5">
        <v>0.23403785289826889</v>
      </c>
      <c r="C27" s="5">
        <v>0.25139086015100037</v>
      </c>
      <c r="D27" s="5">
        <v>0.2323762134155182</v>
      </c>
      <c r="E27" s="5">
        <v>0.25002265014520009</v>
      </c>
      <c r="F27" s="5">
        <v>0.23181102668168879</v>
      </c>
      <c r="G27" s="5">
        <v>0.24987171832258309</v>
      </c>
      <c r="H27" s="5">
        <v>0.23174680110146709</v>
      </c>
      <c r="I27" s="5">
        <v>0.25076237640461352</v>
      </c>
    </row>
    <row r="28" spans="1:9" ht="16" customHeight="1">
      <c r="A28" s="9" t="s">
        <v>46</v>
      </c>
      <c r="B28" s="5">
        <v>0.27122933647867659</v>
      </c>
      <c r="C28" s="5">
        <v>0.31791022087462562</v>
      </c>
      <c r="D28" s="5">
        <v>0.2707755212393852</v>
      </c>
      <c r="E28" s="5">
        <v>0.3176358269848083</v>
      </c>
      <c r="F28" s="5">
        <v>0.26926056885076771</v>
      </c>
      <c r="G28" s="5">
        <v>0.31815646476470788</v>
      </c>
      <c r="H28" s="5">
        <v>0.27165640618017323</v>
      </c>
      <c r="I28" s="5">
        <v>0.31837653773349361</v>
      </c>
    </row>
    <row r="29" spans="1:9" ht="16" customHeight="1">
      <c r="A29" s="7" t="s">
        <v>47</v>
      </c>
      <c r="B29" s="8"/>
      <c r="C29" s="8"/>
      <c r="D29" s="8"/>
      <c r="E29" s="8"/>
      <c r="F29" s="8"/>
      <c r="G29" s="8"/>
      <c r="H29" s="8"/>
      <c r="I29" s="8"/>
    </row>
    <row r="30" spans="1:9" ht="16" customHeight="1">
      <c r="A30" s="9" t="s">
        <v>44</v>
      </c>
      <c r="B30" s="5">
        <v>0.102784402263759</v>
      </c>
      <c r="C30" s="5">
        <v>0.1046827476364089</v>
      </c>
      <c r="D30" s="5">
        <v>0.10178543204211329</v>
      </c>
      <c r="E30" s="5">
        <v>0.1036858910544531</v>
      </c>
      <c r="F30" s="5">
        <v>0.1009875911923408</v>
      </c>
      <c r="G30" s="5">
        <v>0.1028897382911215</v>
      </c>
      <c r="H30" s="5">
        <v>0.1003940248272036</v>
      </c>
      <c r="I30" s="5">
        <v>0.10229742780468901</v>
      </c>
    </row>
    <row r="31" spans="1:9" ht="16" customHeight="1">
      <c r="A31" s="9" t="s">
        <v>45</v>
      </c>
      <c r="B31" s="5">
        <v>0.27760168722538009</v>
      </c>
      <c r="C31" s="5">
        <v>0.2940170609926015</v>
      </c>
      <c r="D31" s="5">
        <v>0.27588185401904081</v>
      </c>
      <c r="E31" s="5">
        <v>0.29235189422660351</v>
      </c>
      <c r="F31" s="5">
        <v>0.27461117886337899</v>
      </c>
      <c r="G31" s="5">
        <v>0.29111348439186702</v>
      </c>
      <c r="H31" s="5">
        <v>0.27379350813918901</v>
      </c>
      <c r="I31" s="5">
        <v>0.29032273329284458</v>
      </c>
    </row>
    <row r="32" spans="1:9" ht="16" customHeight="1">
      <c r="A32" s="9" t="s">
        <v>46</v>
      </c>
      <c r="B32" s="5">
        <v>0.32858258202791429</v>
      </c>
      <c r="C32" s="5">
        <v>0.37069194754087248</v>
      </c>
      <c r="D32" s="5">
        <v>0.3270694990810078</v>
      </c>
      <c r="E32" s="5">
        <v>0.36928795937702119</v>
      </c>
      <c r="F32" s="5">
        <v>0.32665992672859651</v>
      </c>
      <c r="G32" s="5">
        <v>0.36893136280972721</v>
      </c>
      <c r="H32" s="5">
        <v>0.32740112183203568</v>
      </c>
      <c r="I32" s="5">
        <v>0.36963231708800171</v>
      </c>
    </row>
    <row r="33" spans="1:9" ht="16" customHeight="1">
      <c r="A33" s="7" t="s">
        <v>48</v>
      </c>
      <c r="B33" s="8"/>
      <c r="C33" s="8"/>
      <c r="D33" s="8"/>
      <c r="E33" s="8"/>
      <c r="F33" s="8"/>
      <c r="G33" s="8"/>
      <c r="H33" s="8"/>
      <c r="I33" s="8"/>
    </row>
    <row r="34" spans="1:9" ht="16" customHeight="1">
      <c r="A34" s="9" t="s">
        <v>44</v>
      </c>
      <c r="B34" s="5">
        <v>0.35265000000000002</v>
      </c>
      <c r="C34" s="5">
        <v>0.38190000000000002</v>
      </c>
      <c r="D34" s="5">
        <v>0.35044999999999998</v>
      </c>
      <c r="E34" s="5">
        <v>0.38009999999999999</v>
      </c>
      <c r="F34" s="5">
        <v>0.35054999999999997</v>
      </c>
      <c r="G34" s="5">
        <v>0.37964999999999999</v>
      </c>
      <c r="H34" s="5">
        <v>0.35094999999999998</v>
      </c>
      <c r="I34" s="5">
        <v>0.38009999999999999</v>
      </c>
    </row>
    <row r="35" spans="1:9" ht="16" customHeight="1">
      <c r="A35" s="9" t="s">
        <v>45</v>
      </c>
      <c r="B35" s="5">
        <v>0.21709999999999999</v>
      </c>
      <c r="C35" s="5">
        <v>0.27489999999999998</v>
      </c>
      <c r="D35" s="5">
        <v>0.21609999999999999</v>
      </c>
      <c r="E35" s="5">
        <v>0.27395000000000003</v>
      </c>
      <c r="F35" s="5">
        <v>0.21554999999999999</v>
      </c>
      <c r="G35" s="5">
        <v>0.27415</v>
      </c>
      <c r="H35" s="5">
        <v>0.21575</v>
      </c>
      <c r="I35" s="5">
        <v>0.27500000000000002</v>
      </c>
    </row>
    <row r="36" spans="1:9" ht="16" customHeight="1">
      <c r="A36" s="9" t="s">
        <v>46</v>
      </c>
      <c r="B36" s="5">
        <v>0.1371</v>
      </c>
      <c r="C36" s="5">
        <v>0.20569999999999999</v>
      </c>
      <c r="D36" s="5">
        <v>0.13744999999999999</v>
      </c>
      <c r="E36" s="5">
        <v>0.20594999999999999</v>
      </c>
      <c r="F36" s="5">
        <v>0.13875000000000001</v>
      </c>
      <c r="G36" s="5">
        <v>0.20715</v>
      </c>
      <c r="H36" s="5">
        <v>0.14080000000000001</v>
      </c>
      <c r="I36" s="5">
        <v>0.20954999999999999</v>
      </c>
    </row>
    <row r="37" spans="1:9" ht="16" customHeight="1">
      <c r="A37" s="2" t="s">
        <v>49</v>
      </c>
      <c r="B37" s="3"/>
      <c r="C37" s="3"/>
      <c r="D37" s="3"/>
      <c r="E37" s="3"/>
      <c r="F37" s="3"/>
      <c r="G37" s="3"/>
      <c r="H37" s="3"/>
      <c r="I37" s="3"/>
    </row>
    <row r="38" spans="1:9" ht="16" customHeight="1"/>
    <row r="39" spans="1:9" ht="20" customHeight="1"/>
  </sheetData>
  <mergeCells count="48">
    <mergeCell ref="B1:C1"/>
    <mergeCell ref="D1:E1"/>
    <mergeCell ref="F1:G1"/>
    <mergeCell ref="H1:I1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</mergeCells>
  <conditionalFormatting sqref="B15:I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10"/>
      <c r="B1" s="98" t="s">
        <v>50</v>
      </c>
      <c r="C1" s="99"/>
      <c r="D1" s="99"/>
      <c r="E1" s="99"/>
      <c r="F1" s="99"/>
      <c r="G1" s="99"/>
      <c r="H1" s="12"/>
      <c r="I1" s="98" t="s">
        <v>51</v>
      </c>
      <c r="J1" s="99"/>
    </row>
    <row r="2" spans="1:10" ht="49" customHeight="1">
      <c r="A2" s="13"/>
      <c r="B2" s="100" t="s">
        <v>52</v>
      </c>
      <c r="C2" s="99"/>
      <c r="D2" s="99"/>
      <c r="E2" s="11" t="s">
        <v>28</v>
      </c>
      <c r="F2" s="11" t="s">
        <v>27</v>
      </c>
      <c r="G2" s="14" t="s">
        <v>53</v>
      </c>
      <c r="H2" s="11" t="s">
        <v>54</v>
      </c>
      <c r="I2" s="11" t="s">
        <v>55</v>
      </c>
      <c r="J2" s="11" t="s">
        <v>56</v>
      </c>
    </row>
    <row r="3" spans="1:10" ht="17" customHeight="1">
      <c r="A3" s="15" t="s">
        <v>4</v>
      </c>
      <c r="B3" s="16"/>
      <c r="C3" s="16"/>
      <c r="D3" s="16"/>
      <c r="E3" s="16"/>
      <c r="F3" s="17"/>
      <c r="G3" s="16"/>
      <c r="H3" s="16"/>
      <c r="I3" s="16"/>
      <c r="J3" s="16"/>
    </row>
    <row r="4" spans="1:10" ht="17" customHeight="1">
      <c r="A4" s="18" t="s">
        <v>57</v>
      </c>
      <c r="B4" s="19">
        <v>5.7327167405640438E-3</v>
      </c>
      <c r="C4" s="20">
        <v>1.0867351760870111E-2</v>
      </c>
      <c r="D4" s="21">
        <v>1.6001986781176172E-2</v>
      </c>
      <c r="E4" s="20">
        <v>3.2110810353131243E-2</v>
      </c>
      <c r="F4" s="22">
        <v>0.33843280942956311</v>
      </c>
      <c r="G4" s="20">
        <v>3.5867351760870109E-2</v>
      </c>
      <c r="H4" s="23">
        <v>0</v>
      </c>
      <c r="I4" s="24">
        <v>26723</v>
      </c>
      <c r="J4" s="24">
        <v>45777</v>
      </c>
    </row>
    <row r="5" spans="1:10" ht="17" customHeight="1">
      <c r="A5" s="18" t="s">
        <v>58</v>
      </c>
      <c r="B5" s="19">
        <v>1.318813385797757E-2</v>
      </c>
      <c r="C5" s="20">
        <v>1.994219801661444E-2</v>
      </c>
      <c r="D5" s="21">
        <v>2.6696262175251301E-2</v>
      </c>
      <c r="E5" s="20">
        <v>4.2238342638410517E-2</v>
      </c>
      <c r="F5" s="22">
        <v>0.47213495537297651</v>
      </c>
      <c r="G5" s="20">
        <v>4.4942198016614428E-2</v>
      </c>
      <c r="H5" s="23">
        <v>0</v>
      </c>
      <c r="I5" s="24">
        <v>26723</v>
      </c>
      <c r="J5" s="24">
        <v>45777</v>
      </c>
    </row>
    <row r="6" spans="1:10" ht="17" customHeight="1">
      <c r="A6" s="25" t="s">
        <v>7</v>
      </c>
      <c r="B6" s="26"/>
      <c r="C6" s="27"/>
      <c r="D6" s="28"/>
      <c r="E6" s="27"/>
      <c r="F6" s="29"/>
      <c r="G6" s="27"/>
      <c r="H6" s="30"/>
      <c r="I6" s="31"/>
      <c r="J6" s="31"/>
    </row>
    <row r="7" spans="1:10" ht="17" customHeight="1">
      <c r="A7" s="18" t="s">
        <v>59</v>
      </c>
      <c r="B7" s="19">
        <v>1.983586277754092E-2</v>
      </c>
      <c r="C7" s="20">
        <v>3.2957299522559672E-2</v>
      </c>
      <c r="D7" s="21">
        <v>4.607873626757842E-2</v>
      </c>
      <c r="E7" s="20">
        <v>8.2058406335332817E-2</v>
      </c>
      <c r="F7" s="22">
        <v>0.40163221532574261</v>
      </c>
      <c r="G7" s="20">
        <v>5.7957299522559673E-2</v>
      </c>
      <c r="H7" s="23">
        <v>0</v>
      </c>
      <c r="I7" s="24">
        <v>30559</v>
      </c>
      <c r="J7" s="24">
        <v>45777</v>
      </c>
    </row>
    <row r="8" spans="1:10" ht="17" customHeight="1">
      <c r="A8" s="25" t="s">
        <v>9</v>
      </c>
      <c r="B8" s="26"/>
      <c r="C8" s="27"/>
      <c r="D8" s="28"/>
      <c r="E8" s="27"/>
      <c r="F8" s="29"/>
      <c r="G8" s="27"/>
      <c r="H8" s="30"/>
      <c r="I8" s="31"/>
      <c r="J8" s="31"/>
    </row>
    <row r="9" spans="1:10" ht="17" customHeight="1">
      <c r="A9" s="18" t="s">
        <v>60</v>
      </c>
      <c r="B9" s="19">
        <v>2.5031520693417471E-2</v>
      </c>
      <c r="C9" s="20">
        <v>4.9546246153327048E-2</v>
      </c>
      <c r="D9" s="21">
        <v>7.4060971613236617E-2</v>
      </c>
      <c r="E9" s="20">
        <v>0.14473552872979201</v>
      </c>
      <c r="F9" s="22">
        <v>0.34232262519194823</v>
      </c>
      <c r="G9" s="20">
        <v>7.4546246153327056E-2</v>
      </c>
      <c r="H9" s="23">
        <v>0</v>
      </c>
      <c r="I9" s="24">
        <v>32202</v>
      </c>
      <c r="J9" s="24">
        <v>45777</v>
      </c>
    </row>
    <row r="10" spans="1:10" ht="17" customHeight="1">
      <c r="A10" s="18" t="s">
        <v>61</v>
      </c>
      <c r="B10" s="19">
        <v>1.717616023930112E-2</v>
      </c>
      <c r="C10" s="20">
        <v>4.4244823467154477E-2</v>
      </c>
      <c r="D10" s="21">
        <v>7.1313486695007838E-2</v>
      </c>
      <c r="E10" s="20">
        <v>0.16928110917035849</v>
      </c>
      <c r="F10" s="22">
        <v>0.26136893646312342</v>
      </c>
      <c r="G10" s="20">
        <v>6.9244823467154493E-2</v>
      </c>
      <c r="H10" s="23">
        <v>0</v>
      </c>
      <c r="I10" s="24">
        <v>28886</v>
      </c>
      <c r="J10" s="24">
        <v>45777</v>
      </c>
    </row>
    <row r="11" spans="1:10" ht="17" customHeight="1">
      <c r="A11" s="18" t="s">
        <v>62</v>
      </c>
      <c r="B11" s="19">
        <v>3.8328393380117128E-2</v>
      </c>
      <c r="C11" s="20">
        <v>6.1473144644885652E-2</v>
      </c>
      <c r="D11" s="21">
        <v>8.4617895909654156E-2</v>
      </c>
      <c r="E11" s="20">
        <v>0.14474187855499729</v>
      </c>
      <c r="F11" s="22">
        <v>0.42470876610550418</v>
      </c>
      <c r="G11" s="20">
        <v>8.6473144644885647E-2</v>
      </c>
      <c r="H11" s="23">
        <v>0</v>
      </c>
      <c r="I11" s="24">
        <v>28886</v>
      </c>
      <c r="J11" s="24">
        <v>45777</v>
      </c>
    </row>
    <row r="12" spans="1:10" ht="17" customHeight="1">
      <c r="A12" s="18" t="s">
        <v>63</v>
      </c>
      <c r="B12" s="19">
        <v>3.9548088591888853E-2</v>
      </c>
      <c r="C12" s="20">
        <v>7.0287620802001807E-2</v>
      </c>
      <c r="D12" s="21">
        <v>0.1010271530121148</v>
      </c>
      <c r="E12" s="20">
        <v>0.1922378679768498</v>
      </c>
      <c r="F12" s="22">
        <v>0.36562838290771188</v>
      </c>
      <c r="G12" s="20">
        <v>9.5287620802001816E-2</v>
      </c>
      <c r="H12" s="23">
        <v>0</v>
      </c>
      <c r="I12" s="24">
        <v>28886</v>
      </c>
      <c r="J12" s="24">
        <v>45777</v>
      </c>
    </row>
    <row r="13" spans="1:10" ht="17" customHeight="1">
      <c r="A13" s="18" t="s">
        <v>64</v>
      </c>
      <c r="B13" s="19">
        <v>2.1019364331575089E-2</v>
      </c>
      <c r="C13" s="20">
        <v>4.7103364879311882E-2</v>
      </c>
      <c r="D13" s="21">
        <v>7.3187365427048678E-2</v>
      </c>
      <c r="E13" s="20">
        <v>0.16312325832838301</v>
      </c>
      <c r="F13" s="22">
        <v>0.28875934285525512</v>
      </c>
      <c r="G13" s="20">
        <v>7.2103364879311876E-2</v>
      </c>
      <c r="H13" s="23">
        <v>0.7</v>
      </c>
      <c r="I13" s="24">
        <v>25626</v>
      </c>
      <c r="J13" s="24">
        <v>45777</v>
      </c>
    </row>
    <row r="14" spans="1:10" ht="17" customHeight="1">
      <c r="A14" s="18" t="s">
        <v>65</v>
      </c>
      <c r="B14" s="19">
        <v>2.537093070079656E-2</v>
      </c>
      <c r="C14" s="20">
        <v>4.9088970154403527E-2</v>
      </c>
      <c r="D14" s="21">
        <v>7.2807009608010509E-2</v>
      </c>
      <c r="E14" s="20">
        <v>0.14832708923436991</v>
      </c>
      <c r="F14" s="22">
        <v>0.33095080883599509</v>
      </c>
      <c r="G14" s="20">
        <v>7.4088970154403536E-2</v>
      </c>
      <c r="H14" s="23">
        <v>0.7</v>
      </c>
      <c r="I14" s="24">
        <v>25598</v>
      </c>
      <c r="J14" s="24">
        <v>45777</v>
      </c>
    </row>
    <row r="15" spans="1:10" ht="17" customHeight="1">
      <c r="A15" s="18" t="s">
        <v>66</v>
      </c>
      <c r="B15" s="19">
        <v>-1.528425824486708E-3</v>
      </c>
      <c r="C15" s="20">
        <v>2.7945937897505491E-2</v>
      </c>
      <c r="D15" s="21">
        <v>5.7420301619497682E-2</v>
      </c>
      <c r="E15" s="20">
        <v>0.18432579920737729</v>
      </c>
      <c r="F15" s="22">
        <v>0.15161164643081071</v>
      </c>
      <c r="G15" s="20">
        <v>5.2945937897505492E-2</v>
      </c>
      <c r="H15" s="23">
        <v>0.7</v>
      </c>
      <c r="I15" s="24">
        <v>25598</v>
      </c>
      <c r="J15" s="24">
        <v>45777</v>
      </c>
    </row>
    <row r="16" spans="1:10" ht="17" customHeight="1">
      <c r="A16" s="18" t="s">
        <v>67</v>
      </c>
      <c r="B16" s="19">
        <v>2.752917685078874E-2</v>
      </c>
      <c r="C16" s="20">
        <v>5.6461831660523189E-2</v>
      </c>
      <c r="D16" s="21">
        <v>8.5394486470257644E-2</v>
      </c>
      <c r="E16" s="20">
        <v>0.1710272341976542</v>
      </c>
      <c r="F16" s="22">
        <v>0.33013357156481238</v>
      </c>
      <c r="G16" s="20">
        <v>8.146183166052319E-2</v>
      </c>
      <c r="H16" s="23">
        <v>0.7</v>
      </c>
      <c r="I16" s="24">
        <v>25626</v>
      </c>
      <c r="J16" s="24">
        <v>45777</v>
      </c>
    </row>
    <row r="17" spans="1:10" ht="17" customHeight="1">
      <c r="A17" s="18" t="s">
        <v>68</v>
      </c>
      <c r="B17" s="19">
        <v>3.5868022051295918E-2</v>
      </c>
      <c r="C17" s="20">
        <v>7.5245769473422777E-2</v>
      </c>
      <c r="D17" s="21">
        <v>0.1146235168955496</v>
      </c>
      <c r="E17" s="20">
        <v>0.2327704552115373</v>
      </c>
      <c r="F17" s="22">
        <v>0.32326168458553239</v>
      </c>
      <c r="G17" s="20">
        <v>0.1002457694734228</v>
      </c>
      <c r="H17" s="23">
        <v>0</v>
      </c>
      <c r="I17" s="24">
        <v>32171</v>
      </c>
      <c r="J17" s="24">
        <v>45777</v>
      </c>
    </row>
    <row r="18" spans="1:10" ht="17" customHeight="1">
      <c r="A18" s="18" t="s">
        <v>69</v>
      </c>
      <c r="B18" s="19">
        <v>3.4888825869154871E-2</v>
      </c>
      <c r="C18" s="20">
        <v>5.8342310196128878E-2</v>
      </c>
      <c r="D18" s="21">
        <v>8.1795794523102885E-2</v>
      </c>
      <c r="E18" s="20">
        <v>0.13562199119584281</v>
      </c>
      <c r="F18" s="22">
        <v>0.43018325923176132</v>
      </c>
      <c r="G18" s="20">
        <v>8.334231019612888E-2</v>
      </c>
      <c r="H18" s="23">
        <v>0.7</v>
      </c>
      <c r="I18" s="24">
        <v>32720</v>
      </c>
      <c r="J18" s="24">
        <v>44925</v>
      </c>
    </row>
    <row r="19" spans="1:10" ht="17" customHeight="1">
      <c r="A19" s="18" t="s">
        <v>70</v>
      </c>
      <c r="B19" s="19">
        <v>1.688838611526584E-2</v>
      </c>
      <c r="C19" s="20">
        <v>4.5625590064520882E-2</v>
      </c>
      <c r="D19" s="21">
        <v>7.4362794013775907E-2</v>
      </c>
      <c r="E19" s="20">
        <v>0.1405898501681038</v>
      </c>
      <c r="F19" s="22">
        <v>0.32452975808684759</v>
      </c>
      <c r="G19" s="20">
        <v>7.0625590064520877E-2</v>
      </c>
      <c r="H19" s="23">
        <v>0.7</v>
      </c>
      <c r="I19" s="24">
        <v>36189</v>
      </c>
      <c r="J19" s="24">
        <v>45777</v>
      </c>
    </row>
    <row r="20" spans="1:10" ht="17" customHeight="1">
      <c r="A20" s="25" t="s">
        <v>21</v>
      </c>
      <c r="B20" s="26"/>
      <c r="C20" s="27"/>
      <c r="D20" s="28"/>
      <c r="E20" s="27"/>
      <c r="F20" s="29"/>
      <c r="G20" s="27"/>
      <c r="H20" s="30"/>
      <c r="I20" s="31"/>
      <c r="J20" s="31"/>
    </row>
    <row r="21" spans="1:10" ht="17" customHeight="1">
      <c r="A21" s="18" t="s">
        <v>71</v>
      </c>
      <c r="B21" s="19">
        <v>7.8845227205770769E-3</v>
      </c>
      <c r="C21" s="20">
        <v>1.9381268325582329E-2</v>
      </c>
      <c r="D21" s="21">
        <v>3.0878013930587589E-2</v>
      </c>
      <c r="E21" s="20">
        <v>6.1838706545769923E-2</v>
      </c>
      <c r="F21" s="22">
        <v>0.31341645723519918</v>
      </c>
      <c r="G21" s="20">
        <v>4.4381268325582333E-2</v>
      </c>
      <c r="H21" s="23">
        <v>1</v>
      </c>
      <c r="I21" s="24">
        <v>34365</v>
      </c>
      <c r="J21" s="24">
        <v>45777</v>
      </c>
    </row>
    <row r="22" spans="1:10" ht="17" customHeight="1">
      <c r="A22" s="18" t="s">
        <v>72</v>
      </c>
      <c r="B22" s="19">
        <v>4.3523800542835459E-3</v>
      </c>
      <c r="C22" s="20">
        <v>2.0773446286426561E-2</v>
      </c>
      <c r="D22" s="21">
        <v>3.7194512518569582E-2</v>
      </c>
      <c r="E22" s="20">
        <v>8.8325647168886759E-2</v>
      </c>
      <c r="F22" s="22">
        <v>0.2351915548006778</v>
      </c>
      <c r="G22" s="20">
        <v>4.5773446286426572E-2</v>
      </c>
      <c r="H22" s="23">
        <v>1</v>
      </c>
      <c r="I22" s="24">
        <v>34365</v>
      </c>
      <c r="J22" s="24">
        <v>45777</v>
      </c>
    </row>
    <row r="23" spans="1:10" ht="17" customHeight="1">
      <c r="A23" s="32" t="s">
        <v>73</v>
      </c>
      <c r="B23" s="33">
        <v>1.069289996815625E-2</v>
      </c>
      <c r="C23" s="34">
        <v>2.7968658495309991E-2</v>
      </c>
      <c r="D23" s="35">
        <v>4.524441702246372E-2</v>
      </c>
      <c r="E23" s="34">
        <v>7.3138510600272974E-2</v>
      </c>
      <c r="F23" s="36">
        <v>0.38240672753330041</v>
      </c>
      <c r="G23" s="34">
        <v>5.2968658495309989E-2</v>
      </c>
      <c r="H23" s="37">
        <v>1</v>
      </c>
      <c r="I23" s="38">
        <v>38383</v>
      </c>
      <c r="J23" s="38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74</v>
      </c>
      <c r="C1" s="39" t="s">
        <v>74</v>
      </c>
      <c r="D1" s="39" t="s">
        <v>74</v>
      </c>
      <c r="E1" s="39" t="s">
        <v>74</v>
      </c>
      <c r="F1" s="39" t="s">
        <v>75</v>
      </c>
      <c r="G1" s="39" t="s">
        <v>75</v>
      </c>
      <c r="H1" s="39" t="s">
        <v>75</v>
      </c>
      <c r="I1" s="39" t="s">
        <v>75</v>
      </c>
      <c r="J1" s="39" t="s">
        <v>76</v>
      </c>
      <c r="K1" s="39" t="s">
        <v>76</v>
      </c>
      <c r="L1" s="39" t="s">
        <v>76</v>
      </c>
      <c r="M1" s="39" t="s">
        <v>76</v>
      </c>
      <c r="N1" s="39" t="s">
        <v>77</v>
      </c>
      <c r="O1" s="39" t="s">
        <v>77</v>
      </c>
      <c r="P1" s="39" t="s">
        <v>77</v>
      </c>
      <c r="Q1" s="39" t="s">
        <v>77</v>
      </c>
    </row>
    <row r="2" spans="1:17">
      <c r="A2" s="39"/>
      <c r="B2" s="39" t="s">
        <v>78</v>
      </c>
      <c r="C2" s="39" t="s">
        <v>79</v>
      </c>
      <c r="D2" s="39" t="s">
        <v>80</v>
      </c>
      <c r="E2" s="39" t="s">
        <v>81</v>
      </c>
      <c r="F2" s="39" t="s">
        <v>78</v>
      </c>
      <c r="G2" s="39" t="s">
        <v>79</v>
      </c>
      <c r="H2" s="39" t="s">
        <v>80</v>
      </c>
      <c r="I2" s="39" t="s">
        <v>81</v>
      </c>
      <c r="J2" s="39" t="s">
        <v>78</v>
      </c>
      <c r="K2" s="39" t="s">
        <v>79</v>
      </c>
      <c r="L2" s="39" t="s">
        <v>80</v>
      </c>
      <c r="M2" s="39" t="s">
        <v>81</v>
      </c>
      <c r="N2" s="39" t="s">
        <v>78</v>
      </c>
      <c r="O2" s="39" t="s">
        <v>79</v>
      </c>
      <c r="P2" s="39" t="s">
        <v>80</v>
      </c>
      <c r="Q2" s="39" t="s">
        <v>81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83.274644252714282</v>
      </c>
      <c r="C4" s="39">
        <v>94.157933234180078</v>
      </c>
      <c r="D4" s="39">
        <v>108.4922638244291</v>
      </c>
      <c r="E4" s="39">
        <v>120.673076997678</v>
      </c>
      <c r="F4" s="39">
        <v>80.447727206586279</v>
      </c>
      <c r="G4" s="39">
        <v>91.806765012651894</v>
      </c>
      <c r="H4" s="39">
        <v>106.1303617113645</v>
      </c>
      <c r="I4" s="39">
        <v>118.2566274790338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83.091003290594429</v>
      </c>
      <c r="C5" s="39">
        <v>95.787002442333417</v>
      </c>
      <c r="D5" s="39">
        <v>115.29957653652821</v>
      </c>
      <c r="E5" s="39">
        <v>135.389307738203</v>
      </c>
      <c r="F5" s="39">
        <v>78.4120319111383</v>
      </c>
      <c r="G5" s="39">
        <v>91.090530784961601</v>
      </c>
      <c r="H5" s="39">
        <v>110.26723186422289</v>
      </c>
      <c r="I5" s="39">
        <v>129.8002225749448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83.205155925495092</v>
      </c>
      <c r="C6" s="39">
        <v>99.446643740700139</v>
      </c>
      <c r="D6" s="39">
        <v>122.5886129832482</v>
      </c>
      <c r="E6" s="39">
        <v>149.83952187836681</v>
      </c>
      <c r="F6" s="39">
        <v>76.871367545469028</v>
      </c>
      <c r="G6" s="39">
        <v>92.486113073757934</v>
      </c>
      <c r="H6" s="39">
        <v>114.622719428908</v>
      </c>
      <c r="I6" s="39">
        <v>140.4281194095725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82.299290067753759</v>
      </c>
      <c r="C7" s="39">
        <v>102.615982497728</v>
      </c>
      <c r="D7" s="39">
        <v>131.59096303354951</v>
      </c>
      <c r="E7" s="39">
        <v>166.35358530382391</v>
      </c>
      <c r="F7" s="39">
        <v>74.654098090424782</v>
      </c>
      <c r="G7" s="39">
        <v>93.31224799041307</v>
      </c>
      <c r="H7" s="39">
        <v>120.3623240042425</v>
      </c>
      <c r="I7" s="39">
        <v>152.8034042319062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82.754468618143747</v>
      </c>
      <c r="C8" s="39">
        <v>106.5894561887162</v>
      </c>
      <c r="D8" s="39">
        <v>141.60596313628761</v>
      </c>
      <c r="E8" s="39">
        <v>184.54574300836961</v>
      </c>
      <c r="F8" s="39">
        <v>73.358903667193346</v>
      </c>
      <c r="G8" s="39">
        <v>94.869647256459231</v>
      </c>
      <c r="H8" s="39">
        <v>126.90302315825549</v>
      </c>
      <c r="I8" s="39">
        <v>166.2096306996425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83.848995352800401</v>
      </c>
      <c r="C9" s="39">
        <v>110.8884141219194</v>
      </c>
      <c r="D9" s="39">
        <v>151.93391686549339</v>
      </c>
      <c r="E9" s="39">
        <v>202.71070200446741</v>
      </c>
      <c r="F9" s="39">
        <v>72.883375389709158</v>
      </c>
      <c r="G9" s="39">
        <v>96.525937965725305</v>
      </c>
      <c r="H9" s="39">
        <v>133.27043354214581</v>
      </c>
      <c r="I9" s="39">
        <v>178.5469467915355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82.941448522886816</v>
      </c>
      <c r="C10" s="39">
        <v>114.6442481281877</v>
      </c>
      <c r="D10" s="39">
        <v>162.76336850402041</v>
      </c>
      <c r="E10" s="39">
        <v>223.18816275014299</v>
      </c>
      <c r="F10" s="39">
        <v>70.428000334467995</v>
      </c>
      <c r="G10" s="39">
        <v>97.952935332045357</v>
      </c>
      <c r="H10" s="39">
        <v>139.81621593630629</v>
      </c>
      <c r="I10" s="39">
        <v>192.55714974456271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82.775974559693751</v>
      </c>
      <c r="C11" s="39">
        <v>118.5532274099852</v>
      </c>
      <c r="D11" s="39">
        <v>173.87424519496619</v>
      </c>
      <c r="E11" s="39">
        <v>245.52497862730411</v>
      </c>
      <c r="F11" s="39">
        <v>70.046993370817702</v>
      </c>
      <c r="G11" s="39">
        <v>99.402825517082746</v>
      </c>
      <c r="H11" s="39">
        <v>146.41057279151951</v>
      </c>
      <c r="I11" s="39">
        <v>207.97536635817281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82.214464425360873</v>
      </c>
      <c r="C12" s="39">
        <v>121.8780847359168</v>
      </c>
      <c r="D12" s="39">
        <v>185.93385369415489</v>
      </c>
      <c r="E12" s="39">
        <v>269.63575038220011</v>
      </c>
      <c r="F12" s="39">
        <v>67.507072669200653</v>
      </c>
      <c r="G12" s="39">
        <v>100.4665988928557</v>
      </c>
      <c r="H12" s="39">
        <v>153.22149348188611</v>
      </c>
      <c r="I12" s="39">
        <v>223.930663746459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83.099677541688621</v>
      </c>
      <c r="C13" s="39">
        <v>126.5445746499467</v>
      </c>
      <c r="D13" s="39">
        <v>197.7507097298039</v>
      </c>
      <c r="E13" s="39">
        <v>294.45439044436552</v>
      </c>
      <c r="F13" s="39">
        <v>67.717028537314619</v>
      </c>
      <c r="G13" s="39">
        <v>102.1733945782387</v>
      </c>
      <c r="H13" s="39">
        <v>160.0021729045946</v>
      </c>
      <c r="I13" s="39">
        <v>239.6229700910481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84.535920121230177</v>
      </c>
      <c r="C14" s="39">
        <v>130.37557500039171</v>
      </c>
      <c r="D14" s="39">
        <v>211.05688189366921</v>
      </c>
      <c r="E14" s="39">
        <v>320.29541404169589</v>
      </c>
      <c r="F14" s="39">
        <v>67.511503869813723</v>
      </c>
      <c r="G14" s="39">
        <v>103.4284420366677</v>
      </c>
      <c r="H14" s="39">
        <v>167.00944694712231</v>
      </c>
      <c r="I14" s="39">
        <v>255.45991186295211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85.418694795649259</v>
      </c>
      <c r="C15" s="39">
        <v>135.54417358474521</v>
      </c>
      <c r="D15" s="39">
        <v>223.78041352294429</v>
      </c>
      <c r="E15" s="39">
        <v>350.54254774162342</v>
      </c>
      <c r="F15" s="39">
        <v>66.843942406261249</v>
      </c>
      <c r="G15" s="39">
        <v>105.0854226049868</v>
      </c>
      <c r="H15" s="39">
        <v>173.5799397696359</v>
      </c>
      <c r="I15" s="39">
        <v>273.8691114641851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87.478475195042364</v>
      </c>
      <c r="C16" s="39">
        <v>140.23155078795861</v>
      </c>
      <c r="D16" s="39">
        <v>238.0170870409373</v>
      </c>
      <c r="E16" s="39">
        <v>381.88129171513918</v>
      </c>
      <c r="F16" s="39">
        <v>66.775845632680159</v>
      </c>
      <c r="G16" s="39">
        <v>106.824543931444</v>
      </c>
      <c r="H16" s="39">
        <v>181.58284117338809</v>
      </c>
      <c r="I16" s="39">
        <v>291.67003480341123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88.425413769077608</v>
      </c>
      <c r="C17" s="39">
        <v>145.97840246878121</v>
      </c>
      <c r="D17" s="39">
        <v>253.0803446941832</v>
      </c>
      <c r="E17" s="39">
        <v>416.92443955648349</v>
      </c>
      <c r="F17" s="39">
        <v>66.177021632804141</v>
      </c>
      <c r="G17" s="39">
        <v>108.742454031403</v>
      </c>
      <c r="H17" s="39">
        <v>189.52526780918549</v>
      </c>
      <c r="I17" s="39">
        <v>313.14921039027138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89.328174831200371</v>
      </c>
      <c r="C18" s="39">
        <v>151.48198782314711</v>
      </c>
      <c r="D18" s="39">
        <v>268.63315306151071</v>
      </c>
      <c r="E18" s="39">
        <v>453.69452198993417</v>
      </c>
      <c r="F18" s="39">
        <v>66.043657266869545</v>
      </c>
      <c r="G18" s="39">
        <v>110.9380386434346</v>
      </c>
      <c r="H18" s="39">
        <v>197.03831210460899</v>
      </c>
      <c r="I18" s="39">
        <v>333.48173505473312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92.346240291718146</v>
      </c>
      <c r="C19" s="39">
        <v>157.3854809265882</v>
      </c>
      <c r="D19" s="39">
        <v>285.41824071945922</v>
      </c>
      <c r="E19" s="39">
        <v>491.9755376653606</v>
      </c>
      <c r="F19" s="39">
        <v>67.077610664924677</v>
      </c>
      <c r="G19" s="39">
        <v>113.1268091389622</v>
      </c>
      <c r="H19" s="39">
        <v>205.565018865903</v>
      </c>
      <c r="I19" s="39">
        <v>354.92709157487059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94.654834423174947</v>
      </c>
      <c r="C20" s="39">
        <v>163.45627874741339</v>
      </c>
      <c r="D20" s="39">
        <v>302.51470381917318</v>
      </c>
      <c r="E20" s="39">
        <v>534.84556991948511</v>
      </c>
      <c r="F20" s="39">
        <v>67.584795622484108</v>
      </c>
      <c r="G20" s="39">
        <v>115.26629093563881</v>
      </c>
      <c r="H20" s="39">
        <v>213.48096441813919</v>
      </c>
      <c r="I20" s="39">
        <v>377.33002649757589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96.571391384329658</v>
      </c>
      <c r="C21" s="39">
        <v>169.92822442168449</v>
      </c>
      <c r="D21" s="39">
        <v>323.58167215422083</v>
      </c>
      <c r="E21" s="39">
        <v>581.3042743198024</v>
      </c>
      <c r="F21" s="39">
        <v>67.031746425701144</v>
      </c>
      <c r="G21" s="39">
        <v>117.78291776982731</v>
      </c>
      <c r="H21" s="39">
        <v>223.3062084432373</v>
      </c>
      <c r="I21" s="39">
        <v>403.11820773106331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99.298307747483804</v>
      </c>
      <c r="C22" s="39">
        <v>176.29823117470829</v>
      </c>
      <c r="D22" s="39">
        <v>343.23516037045908</v>
      </c>
      <c r="E22" s="39">
        <v>627.62833811427413</v>
      </c>
      <c r="F22" s="39">
        <v>68.621246456512807</v>
      </c>
      <c r="G22" s="39">
        <v>120.1089071200556</v>
      </c>
      <c r="H22" s="39">
        <v>233.03221208562169</v>
      </c>
      <c r="I22" s="39">
        <v>424.56612756611048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102.3272600561673</v>
      </c>
      <c r="C23" s="39">
        <v>184.82797011447181</v>
      </c>
      <c r="D23" s="39">
        <v>364.78351307051832</v>
      </c>
      <c r="E23" s="39">
        <v>679.57412233758134</v>
      </c>
      <c r="F23" s="39">
        <v>68.894269157303881</v>
      </c>
      <c r="G23" s="39">
        <v>122.7582988895666</v>
      </c>
      <c r="H23" s="39">
        <v>242.4197471325011</v>
      </c>
      <c r="I23" s="39">
        <v>452.48228545065069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74</v>
      </c>
      <c r="C1" s="39" t="s">
        <v>74</v>
      </c>
      <c r="D1" s="39" t="s">
        <v>74</v>
      </c>
      <c r="E1" s="39" t="s">
        <v>74</v>
      </c>
      <c r="F1" s="39" t="s">
        <v>75</v>
      </c>
      <c r="G1" s="39" t="s">
        <v>75</v>
      </c>
      <c r="H1" s="39" t="s">
        <v>75</v>
      </c>
      <c r="I1" s="39" t="s">
        <v>75</v>
      </c>
      <c r="J1" s="39" t="s">
        <v>76</v>
      </c>
      <c r="K1" s="39" t="s">
        <v>76</v>
      </c>
      <c r="L1" s="39" t="s">
        <v>76</v>
      </c>
      <c r="M1" s="39" t="s">
        <v>76</v>
      </c>
      <c r="N1" s="39" t="s">
        <v>77</v>
      </c>
      <c r="O1" s="39" t="s">
        <v>77</v>
      </c>
      <c r="P1" s="39" t="s">
        <v>77</v>
      </c>
      <c r="Q1" s="39" t="s">
        <v>77</v>
      </c>
    </row>
    <row r="2" spans="1:17">
      <c r="A2" s="39"/>
      <c r="B2" s="39" t="s">
        <v>78</v>
      </c>
      <c r="C2" s="39" t="s">
        <v>79</v>
      </c>
      <c r="D2" s="39" t="s">
        <v>80</v>
      </c>
      <c r="E2" s="39" t="s">
        <v>81</v>
      </c>
      <c r="F2" s="39" t="s">
        <v>78</v>
      </c>
      <c r="G2" s="39" t="s">
        <v>79</v>
      </c>
      <c r="H2" s="39" t="s">
        <v>80</v>
      </c>
      <c r="I2" s="39" t="s">
        <v>81</v>
      </c>
      <c r="J2" s="39" t="s">
        <v>78</v>
      </c>
      <c r="K2" s="39" t="s">
        <v>79</v>
      </c>
      <c r="L2" s="39" t="s">
        <v>80</v>
      </c>
      <c r="M2" s="39" t="s">
        <v>81</v>
      </c>
      <c r="N2" s="39" t="s">
        <v>78</v>
      </c>
      <c r="O2" s="39" t="s">
        <v>79</v>
      </c>
      <c r="P2" s="39" t="s">
        <v>80</v>
      </c>
      <c r="Q2" s="39" t="s">
        <v>81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83.354566581330232</v>
      </c>
      <c r="C4" s="39">
        <v>94.25038241902017</v>
      </c>
      <c r="D4" s="39">
        <v>108.497313071916</v>
      </c>
      <c r="E4" s="39">
        <v>120.5234939589082</v>
      </c>
      <c r="F4" s="39">
        <v>80.500829779848857</v>
      </c>
      <c r="G4" s="39">
        <v>91.887174307086141</v>
      </c>
      <c r="H4" s="39">
        <v>106.1447287549891</v>
      </c>
      <c r="I4" s="39">
        <v>118.06189468898521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83.331276948180829</v>
      </c>
      <c r="C5" s="39">
        <v>95.908470365948816</v>
      </c>
      <c r="D5" s="39">
        <v>115.2757052181975</v>
      </c>
      <c r="E5" s="39">
        <v>135.1454049646571</v>
      </c>
      <c r="F5" s="39">
        <v>78.713998552853297</v>
      </c>
      <c r="G5" s="39">
        <v>91.237502572574726</v>
      </c>
      <c r="H5" s="39">
        <v>110.26407068822741</v>
      </c>
      <c r="I5" s="39">
        <v>129.52993975200641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83.508243063699169</v>
      </c>
      <c r="C6" s="39">
        <v>99.514257261348106</v>
      </c>
      <c r="D6" s="39">
        <v>122.53675281134861</v>
      </c>
      <c r="E6" s="39">
        <v>149.44759536865479</v>
      </c>
      <c r="F6" s="39">
        <v>77.163863496227748</v>
      </c>
      <c r="G6" s="39">
        <v>92.540419845876485</v>
      </c>
      <c r="H6" s="39">
        <v>114.5620334028151</v>
      </c>
      <c r="I6" s="39">
        <v>139.979510927056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82.604144286063288</v>
      </c>
      <c r="C7" s="39">
        <v>102.7667261009594</v>
      </c>
      <c r="D7" s="39">
        <v>131.4706957627902</v>
      </c>
      <c r="E7" s="39">
        <v>165.61130645120079</v>
      </c>
      <c r="F7" s="39">
        <v>74.764097459464239</v>
      </c>
      <c r="G7" s="39">
        <v>93.419651628732822</v>
      </c>
      <c r="H7" s="39">
        <v>120.24888777509931</v>
      </c>
      <c r="I7" s="39">
        <v>152.32158283739889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82.94679245955362</v>
      </c>
      <c r="C8" s="39">
        <v>106.7838632853597</v>
      </c>
      <c r="D8" s="39">
        <v>141.3889239466931</v>
      </c>
      <c r="E8" s="39">
        <v>183.8441525110847</v>
      </c>
      <c r="F8" s="39">
        <v>73.599426034337057</v>
      </c>
      <c r="G8" s="39">
        <v>94.993732583068265</v>
      </c>
      <c r="H8" s="39">
        <v>126.72405684822709</v>
      </c>
      <c r="I8" s="39">
        <v>165.5888218876182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84.036981600935874</v>
      </c>
      <c r="C9" s="39">
        <v>110.9185923559176</v>
      </c>
      <c r="D9" s="39">
        <v>151.6616762754602</v>
      </c>
      <c r="E9" s="39">
        <v>201.68316522936871</v>
      </c>
      <c r="F9" s="39">
        <v>73.375097830998243</v>
      </c>
      <c r="G9" s="39">
        <v>96.602468759712565</v>
      </c>
      <c r="H9" s="39">
        <v>132.95399912662529</v>
      </c>
      <c r="I9" s="39">
        <v>177.88181167810379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83.13671607930921</v>
      </c>
      <c r="C10" s="39">
        <v>114.66479323080181</v>
      </c>
      <c r="D10" s="39">
        <v>162.43010939478239</v>
      </c>
      <c r="E10" s="39">
        <v>221.91512281915371</v>
      </c>
      <c r="F10" s="39">
        <v>70.566707397995557</v>
      </c>
      <c r="G10" s="39">
        <v>97.912299225038083</v>
      </c>
      <c r="H10" s="39">
        <v>139.59394751297009</v>
      </c>
      <c r="I10" s="39">
        <v>191.7268052817584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83.308506716249127</v>
      </c>
      <c r="C11" s="39">
        <v>118.6098718230232</v>
      </c>
      <c r="D11" s="39">
        <v>173.36132912183351</v>
      </c>
      <c r="E11" s="39">
        <v>243.85401970461311</v>
      </c>
      <c r="F11" s="39">
        <v>70.319024411349844</v>
      </c>
      <c r="G11" s="39">
        <v>99.368483190787771</v>
      </c>
      <c r="H11" s="39">
        <v>146.0402311843807</v>
      </c>
      <c r="I11" s="39">
        <v>206.7682558190175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82.372690405192259</v>
      </c>
      <c r="C12" s="39">
        <v>121.827958452891</v>
      </c>
      <c r="D12" s="39">
        <v>185.41380990562169</v>
      </c>
      <c r="E12" s="39">
        <v>267.77920444773031</v>
      </c>
      <c r="F12" s="39">
        <v>68.140370349601952</v>
      </c>
      <c r="G12" s="39">
        <v>100.3940324809698</v>
      </c>
      <c r="H12" s="39">
        <v>152.70794861909991</v>
      </c>
      <c r="I12" s="39">
        <v>222.2122861343183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83.250266204401271</v>
      </c>
      <c r="C13" s="39">
        <v>126.5341895388959</v>
      </c>
      <c r="D13" s="39">
        <v>197.118002086985</v>
      </c>
      <c r="E13" s="39">
        <v>292.24005778525452</v>
      </c>
      <c r="F13" s="39">
        <v>67.562209289333381</v>
      </c>
      <c r="G13" s="39">
        <v>101.98837392723939</v>
      </c>
      <c r="H13" s="39">
        <v>159.3276844106193</v>
      </c>
      <c r="I13" s="39">
        <v>237.9593616465414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84.427598738014865</v>
      </c>
      <c r="C14" s="39">
        <v>130.27788535641369</v>
      </c>
      <c r="D14" s="39">
        <v>210.22317344087421</v>
      </c>
      <c r="E14" s="39">
        <v>318.3107547702391</v>
      </c>
      <c r="F14" s="39">
        <v>67.677507628305733</v>
      </c>
      <c r="G14" s="39">
        <v>103.5135317039837</v>
      </c>
      <c r="H14" s="39">
        <v>166.4236244089104</v>
      </c>
      <c r="I14" s="39">
        <v>253.42681679644539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85.154620247919112</v>
      </c>
      <c r="C15" s="39">
        <v>135.30706381096289</v>
      </c>
      <c r="D15" s="39">
        <v>222.74246582460009</v>
      </c>
      <c r="E15" s="39">
        <v>347.14870714363741</v>
      </c>
      <c r="F15" s="39">
        <v>66.745654589014549</v>
      </c>
      <c r="G15" s="39">
        <v>104.8354359451517</v>
      </c>
      <c r="H15" s="39">
        <v>172.73936388023449</v>
      </c>
      <c r="I15" s="39">
        <v>271.53781326261043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87.203369160058699</v>
      </c>
      <c r="C16" s="39">
        <v>140.03318237411739</v>
      </c>
      <c r="D16" s="39">
        <v>236.73825386955801</v>
      </c>
      <c r="E16" s="39">
        <v>378.58420477756931</v>
      </c>
      <c r="F16" s="39">
        <v>66.721831554301204</v>
      </c>
      <c r="G16" s="39">
        <v>106.6627217079091</v>
      </c>
      <c r="H16" s="39">
        <v>180.6566904571566</v>
      </c>
      <c r="I16" s="39">
        <v>289.51161125391889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88.158570327970864</v>
      </c>
      <c r="C17" s="39">
        <v>145.552113290655</v>
      </c>
      <c r="D17" s="39">
        <v>251.58827161181651</v>
      </c>
      <c r="E17" s="39">
        <v>412.94129637271692</v>
      </c>
      <c r="F17" s="39">
        <v>66.225500059020732</v>
      </c>
      <c r="G17" s="39">
        <v>108.4327633148356</v>
      </c>
      <c r="H17" s="39">
        <v>188.4767949368082</v>
      </c>
      <c r="I17" s="39">
        <v>309.87991780722132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89.057599810329307</v>
      </c>
      <c r="C18" s="39">
        <v>151.15060843137189</v>
      </c>
      <c r="D18" s="39">
        <v>267.28771527411283</v>
      </c>
      <c r="E18" s="39">
        <v>448.72656977037133</v>
      </c>
      <c r="F18" s="39">
        <v>66.108652545449345</v>
      </c>
      <c r="G18" s="39">
        <v>110.60649510856651</v>
      </c>
      <c r="H18" s="39">
        <v>195.76342064204911</v>
      </c>
      <c r="I18" s="39">
        <v>330.15791589784129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92.022165398650401</v>
      </c>
      <c r="C19" s="39">
        <v>156.628417217775</v>
      </c>
      <c r="D19" s="39">
        <v>283.85503690117599</v>
      </c>
      <c r="E19" s="39">
        <v>487.77080819422162</v>
      </c>
      <c r="F19" s="39">
        <v>67.07564067191899</v>
      </c>
      <c r="G19" s="39">
        <v>112.8324246119785</v>
      </c>
      <c r="H19" s="39">
        <v>204.20232797143021</v>
      </c>
      <c r="I19" s="39">
        <v>350.66063926871669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94.573489534760398</v>
      </c>
      <c r="C20" s="39">
        <v>163.19534165763571</v>
      </c>
      <c r="D20" s="39">
        <v>300.24965823683402</v>
      </c>
      <c r="E20" s="39">
        <v>527.69914528549612</v>
      </c>
      <c r="F20" s="39">
        <v>67.35238757610405</v>
      </c>
      <c r="G20" s="39">
        <v>114.9583423725858</v>
      </c>
      <c r="H20" s="39">
        <v>212.00622626395929</v>
      </c>
      <c r="I20" s="39">
        <v>372.95233805924238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96.605493730645463</v>
      </c>
      <c r="C21" s="39">
        <v>168.9101143702313</v>
      </c>
      <c r="D21" s="39">
        <v>321.10432580935549</v>
      </c>
      <c r="E21" s="39">
        <v>573.89116825798283</v>
      </c>
      <c r="F21" s="39">
        <v>67.429776384969287</v>
      </c>
      <c r="G21" s="39">
        <v>117.2097569214136</v>
      </c>
      <c r="H21" s="39">
        <v>221.42489003438109</v>
      </c>
      <c r="I21" s="39">
        <v>398.03267936961328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99.280478906090721</v>
      </c>
      <c r="C22" s="39">
        <v>175.59274456578609</v>
      </c>
      <c r="D22" s="39">
        <v>340.50039475075408</v>
      </c>
      <c r="E22" s="39">
        <v>619.62189603333934</v>
      </c>
      <c r="F22" s="39">
        <v>68.834894843935174</v>
      </c>
      <c r="G22" s="39">
        <v>119.2981377946078</v>
      </c>
      <c r="H22" s="39">
        <v>231.18749358965789</v>
      </c>
      <c r="I22" s="39">
        <v>419.10615832981608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101.7956782980559</v>
      </c>
      <c r="C23" s="39">
        <v>183.98837336577199</v>
      </c>
      <c r="D23" s="39">
        <v>361.71855316486989</v>
      </c>
      <c r="E23" s="39">
        <v>670.07608939792533</v>
      </c>
      <c r="F23" s="39">
        <v>69.249612333608695</v>
      </c>
      <c r="G23" s="39">
        <v>122.06414059103911</v>
      </c>
      <c r="H23" s="39">
        <v>240.3656047514811</v>
      </c>
      <c r="I23" s="39">
        <v>447.41808384736407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74</v>
      </c>
      <c r="C1" s="39" t="s">
        <v>74</v>
      </c>
      <c r="D1" s="39" t="s">
        <v>74</v>
      </c>
      <c r="E1" s="39" t="s">
        <v>74</v>
      </c>
      <c r="F1" s="39" t="s">
        <v>75</v>
      </c>
      <c r="G1" s="39" t="s">
        <v>75</v>
      </c>
      <c r="H1" s="39" t="s">
        <v>75</v>
      </c>
      <c r="I1" s="39" t="s">
        <v>75</v>
      </c>
      <c r="J1" s="39" t="s">
        <v>76</v>
      </c>
      <c r="K1" s="39" t="s">
        <v>76</v>
      </c>
      <c r="L1" s="39" t="s">
        <v>76</v>
      </c>
      <c r="M1" s="39" t="s">
        <v>76</v>
      </c>
      <c r="N1" s="39" t="s">
        <v>77</v>
      </c>
      <c r="O1" s="39" t="s">
        <v>77</v>
      </c>
      <c r="P1" s="39" t="s">
        <v>77</v>
      </c>
      <c r="Q1" s="39" t="s">
        <v>77</v>
      </c>
    </row>
    <row r="2" spans="1:17">
      <c r="A2" s="39"/>
      <c r="B2" s="39" t="s">
        <v>78</v>
      </c>
      <c r="C2" s="39" t="s">
        <v>79</v>
      </c>
      <c r="D2" s="39" t="s">
        <v>80</v>
      </c>
      <c r="E2" s="39" t="s">
        <v>81</v>
      </c>
      <c r="F2" s="39" t="s">
        <v>78</v>
      </c>
      <c r="G2" s="39" t="s">
        <v>79</v>
      </c>
      <c r="H2" s="39" t="s">
        <v>80</v>
      </c>
      <c r="I2" s="39" t="s">
        <v>81</v>
      </c>
      <c r="J2" s="39" t="s">
        <v>78</v>
      </c>
      <c r="K2" s="39" t="s">
        <v>79</v>
      </c>
      <c r="L2" s="39" t="s">
        <v>80</v>
      </c>
      <c r="M2" s="39" t="s">
        <v>81</v>
      </c>
      <c r="N2" s="39" t="s">
        <v>78</v>
      </c>
      <c r="O2" s="39" t="s">
        <v>79</v>
      </c>
      <c r="P2" s="39" t="s">
        <v>80</v>
      </c>
      <c r="Q2" s="39" t="s">
        <v>81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83.418050644581641</v>
      </c>
      <c r="C4" s="39">
        <v>94.31328925568927</v>
      </c>
      <c r="D4" s="39">
        <v>108.4874452319393</v>
      </c>
      <c r="E4" s="39">
        <v>120.42785180806089</v>
      </c>
      <c r="F4" s="39">
        <v>80.650969465730256</v>
      </c>
      <c r="G4" s="39">
        <v>91.907577363464938</v>
      </c>
      <c r="H4" s="39">
        <v>106.13997293822349</v>
      </c>
      <c r="I4" s="39">
        <v>117.9399128815396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83.451143177158869</v>
      </c>
      <c r="C5" s="39">
        <v>95.990628716625466</v>
      </c>
      <c r="D5" s="39">
        <v>115.2447072932553</v>
      </c>
      <c r="E5" s="39">
        <v>134.94998567082149</v>
      </c>
      <c r="F5" s="39">
        <v>78.72338760072752</v>
      </c>
      <c r="G5" s="39">
        <v>91.284301990082426</v>
      </c>
      <c r="H5" s="39">
        <v>110.2162021139533</v>
      </c>
      <c r="I5" s="39">
        <v>129.32276559437491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83.7424651081094</v>
      </c>
      <c r="C6" s="39">
        <v>99.595067772106432</v>
      </c>
      <c r="D6" s="39">
        <v>122.42186106552241</v>
      </c>
      <c r="E6" s="39">
        <v>149.12570625105201</v>
      </c>
      <c r="F6" s="39">
        <v>77.368234934402295</v>
      </c>
      <c r="G6" s="39">
        <v>92.598136642912678</v>
      </c>
      <c r="H6" s="39">
        <v>114.47642848265509</v>
      </c>
      <c r="I6" s="39">
        <v>139.73950605690959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82.722369904720338</v>
      </c>
      <c r="C7" s="39">
        <v>102.74710695454171</v>
      </c>
      <c r="D7" s="39">
        <v>131.3022706152916</v>
      </c>
      <c r="E7" s="39">
        <v>165.2077983794523</v>
      </c>
      <c r="F7" s="39">
        <v>74.888445054128567</v>
      </c>
      <c r="G7" s="39">
        <v>93.375358749601745</v>
      </c>
      <c r="H7" s="39">
        <v>120.1204872891349</v>
      </c>
      <c r="I7" s="39">
        <v>151.9706479931956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82.956394479154284</v>
      </c>
      <c r="C8" s="39">
        <v>106.7341209496319</v>
      </c>
      <c r="D8" s="39">
        <v>141.18923206819659</v>
      </c>
      <c r="E8" s="39">
        <v>183.2596426108752</v>
      </c>
      <c r="F8" s="39">
        <v>73.657583889855729</v>
      </c>
      <c r="G8" s="39">
        <v>94.961750006160642</v>
      </c>
      <c r="H8" s="39">
        <v>126.52561821982189</v>
      </c>
      <c r="I8" s="39">
        <v>165.0318816000314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83.90064338810555</v>
      </c>
      <c r="C9" s="39">
        <v>110.84091526080471</v>
      </c>
      <c r="D9" s="39">
        <v>151.19445714236741</v>
      </c>
      <c r="E9" s="39">
        <v>200.9763155221469</v>
      </c>
      <c r="F9" s="39">
        <v>73.268758562111458</v>
      </c>
      <c r="G9" s="39">
        <v>96.570816130586508</v>
      </c>
      <c r="H9" s="39">
        <v>132.7274584069132</v>
      </c>
      <c r="I9" s="39">
        <v>177.2750945651579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83.068750574238919</v>
      </c>
      <c r="C10" s="39">
        <v>114.4907181277383</v>
      </c>
      <c r="D10" s="39">
        <v>162.10481427752021</v>
      </c>
      <c r="E10" s="39">
        <v>220.90456564026761</v>
      </c>
      <c r="F10" s="39">
        <v>70.549589375870156</v>
      </c>
      <c r="G10" s="39">
        <v>97.835747795468762</v>
      </c>
      <c r="H10" s="39">
        <v>139.2840460773011</v>
      </c>
      <c r="I10" s="39">
        <v>190.87490131686019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83.367029936546274</v>
      </c>
      <c r="C11" s="39">
        <v>118.3858010859162</v>
      </c>
      <c r="D11" s="39">
        <v>172.87486918490001</v>
      </c>
      <c r="E11" s="39">
        <v>242.68277712744089</v>
      </c>
      <c r="F11" s="39">
        <v>70.45022864972583</v>
      </c>
      <c r="G11" s="39">
        <v>99.317831467355077</v>
      </c>
      <c r="H11" s="39">
        <v>145.64066752217059</v>
      </c>
      <c r="I11" s="39">
        <v>205.7576039494908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82.426657219778207</v>
      </c>
      <c r="C12" s="39">
        <v>121.5604781322466</v>
      </c>
      <c r="D12" s="39">
        <v>184.77213917862909</v>
      </c>
      <c r="E12" s="39">
        <v>266.14735210378768</v>
      </c>
      <c r="F12" s="39">
        <v>68.233289215627664</v>
      </c>
      <c r="G12" s="39">
        <v>100.0316532856484</v>
      </c>
      <c r="H12" s="39">
        <v>152.25877421202841</v>
      </c>
      <c r="I12" s="39">
        <v>220.98516340140921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82.922016704595592</v>
      </c>
      <c r="C13" s="39">
        <v>126.2286132682091</v>
      </c>
      <c r="D13" s="39">
        <v>196.37281579664219</v>
      </c>
      <c r="E13" s="39">
        <v>290.48501199854098</v>
      </c>
      <c r="F13" s="39">
        <v>67.394782353468131</v>
      </c>
      <c r="G13" s="39">
        <v>101.76292752052539</v>
      </c>
      <c r="H13" s="39">
        <v>158.61568828446889</v>
      </c>
      <c r="I13" s="39">
        <v>236.59860587945991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84.342793274013914</v>
      </c>
      <c r="C14" s="39">
        <v>129.93812155529099</v>
      </c>
      <c r="D14" s="39">
        <v>209.26071302603401</v>
      </c>
      <c r="E14" s="39">
        <v>316.31318564915011</v>
      </c>
      <c r="F14" s="39">
        <v>67.305995514297408</v>
      </c>
      <c r="G14" s="39">
        <v>103.20083149263949</v>
      </c>
      <c r="H14" s="39">
        <v>165.7493370086641</v>
      </c>
      <c r="I14" s="39">
        <v>252.02491961201801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84.910644634543445</v>
      </c>
      <c r="C15" s="39">
        <v>134.76986628885129</v>
      </c>
      <c r="D15" s="39">
        <v>221.3929048650138</v>
      </c>
      <c r="E15" s="39">
        <v>345.18822013696962</v>
      </c>
      <c r="F15" s="39">
        <v>66.713552143561458</v>
      </c>
      <c r="G15" s="39">
        <v>104.4698486076192</v>
      </c>
      <c r="H15" s="39">
        <v>171.84520900496281</v>
      </c>
      <c r="I15" s="39">
        <v>269.59657588962608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87.053784969310385</v>
      </c>
      <c r="C16" s="39">
        <v>139.42344099726131</v>
      </c>
      <c r="D16" s="39">
        <v>235.604447173593</v>
      </c>
      <c r="E16" s="39">
        <v>375.71960485882568</v>
      </c>
      <c r="F16" s="39">
        <v>66.267272372107357</v>
      </c>
      <c r="G16" s="39">
        <v>106.2187982317779</v>
      </c>
      <c r="H16" s="39">
        <v>179.73256340451289</v>
      </c>
      <c r="I16" s="39">
        <v>287.23083264124881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87.674545296305411</v>
      </c>
      <c r="C17" s="39">
        <v>144.91901857341881</v>
      </c>
      <c r="D17" s="39">
        <v>250.15395628778271</v>
      </c>
      <c r="E17" s="39">
        <v>409.86755277881821</v>
      </c>
      <c r="F17" s="39">
        <v>66.129940234122401</v>
      </c>
      <c r="G17" s="39">
        <v>107.9708405982993</v>
      </c>
      <c r="H17" s="39">
        <v>187.4182444565013</v>
      </c>
      <c r="I17" s="39">
        <v>307.20666151280739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89.081007867713296</v>
      </c>
      <c r="C18" s="39">
        <v>150.38649842587171</v>
      </c>
      <c r="D18" s="39">
        <v>265.5433754581137</v>
      </c>
      <c r="E18" s="39">
        <v>444.70868653228342</v>
      </c>
      <c r="F18" s="39">
        <v>65.794213758762979</v>
      </c>
      <c r="G18" s="39">
        <v>109.9714140549824</v>
      </c>
      <c r="H18" s="39">
        <v>194.35898476627941</v>
      </c>
      <c r="I18" s="39">
        <v>327.19617041681988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91.688376114649714</v>
      </c>
      <c r="C19" s="39">
        <v>155.58325206329289</v>
      </c>
      <c r="D19" s="39">
        <v>281.87633376160159</v>
      </c>
      <c r="E19" s="39">
        <v>483.15317602387972</v>
      </c>
      <c r="F19" s="39">
        <v>66.631421148422874</v>
      </c>
      <c r="G19" s="39">
        <v>112.04487906721801</v>
      </c>
      <c r="H19" s="39">
        <v>202.76707142240349</v>
      </c>
      <c r="I19" s="39">
        <v>347.76603501758882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93.79665257069594</v>
      </c>
      <c r="C20" s="39">
        <v>162.13390882951231</v>
      </c>
      <c r="D20" s="39">
        <v>298.21383986008459</v>
      </c>
      <c r="E20" s="39">
        <v>522.67888021611827</v>
      </c>
      <c r="F20" s="39">
        <v>66.776505710188104</v>
      </c>
      <c r="G20" s="39">
        <v>114.20113212019621</v>
      </c>
      <c r="H20" s="39">
        <v>210.24898709376171</v>
      </c>
      <c r="I20" s="39">
        <v>369.50004563022918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96.192091831493343</v>
      </c>
      <c r="C21" s="39">
        <v>167.637960818019</v>
      </c>
      <c r="D21" s="39">
        <v>318.52602028355022</v>
      </c>
      <c r="E21" s="39">
        <v>567.42112628875861</v>
      </c>
      <c r="F21" s="39">
        <v>67.030601586069892</v>
      </c>
      <c r="G21" s="39">
        <v>116.3741368522841</v>
      </c>
      <c r="H21" s="39">
        <v>219.60792675613121</v>
      </c>
      <c r="I21" s="39">
        <v>393.34934925902257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98.921839519239413</v>
      </c>
      <c r="C22" s="39">
        <v>174.44529139722849</v>
      </c>
      <c r="D22" s="39">
        <v>337.75418016098558</v>
      </c>
      <c r="E22" s="39">
        <v>612.4521828346634</v>
      </c>
      <c r="F22" s="39">
        <v>68.077533699848843</v>
      </c>
      <c r="G22" s="39">
        <v>118.29633920943429</v>
      </c>
      <c r="H22" s="39">
        <v>229.17016221788171</v>
      </c>
      <c r="I22" s="39">
        <v>414.88474918086609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101.12538256076751</v>
      </c>
      <c r="C23" s="39">
        <v>182.23613631308979</v>
      </c>
      <c r="D23" s="39">
        <v>358.09236213240268</v>
      </c>
      <c r="E23" s="39">
        <v>662.53668857435093</v>
      </c>
      <c r="F23" s="39">
        <v>68.57550206614188</v>
      </c>
      <c r="G23" s="39">
        <v>121.1433702894947</v>
      </c>
      <c r="H23" s="39">
        <v>238.0189871596086</v>
      </c>
      <c r="I23" s="39">
        <v>441.34529471324242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/>
  <sheetData>
    <row r="1" spans="1:17">
      <c r="A1" s="39"/>
      <c r="B1" s="39" t="s">
        <v>74</v>
      </c>
      <c r="C1" s="39" t="s">
        <v>74</v>
      </c>
      <c r="D1" s="39" t="s">
        <v>74</v>
      </c>
      <c r="E1" s="39" t="s">
        <v>74</v>
      </c>
      <c r="F1" s="39" t="s">
        <v>75</v>
      </c>
      <c r="G1" s="39" t="s">
        <v>75</v>
      </c>
      <c r="H1" s="39" t="s">
        <v>75</v>
      </c>
      <c r="I1" s="39" t="s">
        <v>75</v>
      </c>
      <c r="J1" s="39" t="s">
        <v>76</v>
      </c>
      <c r="K1" s="39" t="s">
        <v>76</v>
      </c>
      <c r="L1" s="39" t="s">
        <v>76</v>
      </c>
      <c r="M1" s="39" t="s">
        <v>76</v>
      </c>
      <c r="N1" s="39" t="s">
        <v>77</v>
      </c>
      <c r="O1" s="39" t="s">
        <v>77</v>
      </c>
      <c r="P1" s="39" t="s">
        <v>77</v>
      </c>
      <c r="Q1" s="39" t="s">
        <v>77</v>
      </c>
    </row>
    <row r="2" spans="1:17">
      <c r="A2" s="39"/>
      <c r="B2" s="39" t="s">
        <v>78</v>
      </c>
      <c r="C2" s="39" t="s">
        <v>79</v>
      </c>
      <c r="D2" s="39" t="s">
        <v>80</v>
      </c>
      <c r="E2" s="39" t="s">
        <v>81</v>
      </c>
      <c r="F2" s="39" t="s">
        <v>78</v>
      </c>
      <c r="G2" s="39" t="s">
        <v>79</v>
      </c>
      <c r="H2" s="39" t="s">
        <v>80</v>
      </c>
      <c r="I2" s="39" t="s">
        <v>81</v>
      </c>
      <c r="J2" s="39" t="s">
        <v>78</v>
      </c>
      <c r="K2" s="39" t="s">
        <v>79</v>
      </c>
      <c r="L2" s="39" t="s">
        <v>80</v>
      </c>
      <c r="M2" s="39" t="s">
        <v>81</v>
      </c>
      <c r="N2" s="39" t="s">
        <v>78</v>
      </c>
      <c r="O2" s="39" t="s">
        <v>79</v>
      </c>
      <c r="P2" s="39" t="s">
        <v>80</v>
      </c>
      <c r="Q2" s="39" t="s">
        <v>81</v>
      </c>
    </row>
    <row r="3" spans="1:17">
      <c r="A3" s="39">
        <v>0</v>
      </c>
      <c r="B3" s="39">
        <v>100</v>
      </c>
      <c r="C3" s="39">
        <v>100</v>
      </c>
      <c r="D3" s="39">
        <v>100</v>
      </c>
      <c r="E3" s="39">
        <v>100</v>
      </c>
      <c r="F3" s="39">
        <v>100</v>
      </c>
      <c r="G3" s="39">
        <v>100</v>
      </c>
      <c r="H3" s="39">
        <v>100</v>
      </c>
      <c r="I3" s="39">
        <v>100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</row>
    <row r="4" spans="1:17">
      <c r="A4" s="39">
        <v>1</v>
      </c>
      <c r="B4" s="39">
        <v>83.449241762840714</v>
      </c>
      <c r="C4" s="39">
        <v>94.250952450388894</v>
      </c>
      <c r="D4" s="39">
        <v>108.4578515094735</v>
      </c>
      <c r="E4" s="39">
        <v>120.3938750234214</v>
      </c>
      <c r="F4" s="39">
        <v>80.718039533895606</v>
      </c>
      <c r="G4" s="39">
        <v>91.896905520499487</v>
      </c>
      <c r="H4" s="39">
        <v>106.1153118383241</v>
      </c>
      <c r="I4" s="39">
        <v>117.90336551794449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</row>
    <row r="5" spans="1:17">
      <c r="A5" s="39">
        <v>2</v>
      </c>
      <c r="B5" s="39">
        <v>83.439726194103457</v>
      </c>
      <c r="C5" s="39">
        <v>95.910390680364003</v>
      </c>
      <c r="D5" s="39">
        <v>115.194984698723</v>
      </c>
      <c r="E5" s="39">
        <v>134.86614196138291</v>
      </c>
      <c r="F5" s="39">
        <v>78.714349948407843</v>
      </c>
      <c r="G5" s="39">
        <v>91.24665679146915</v>
      </c>
      <c r="H5" s="39">
        <v>110.1259855460423</v>
      </c>
      <c r="I5" s="39">
        <v>129.22816274262959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</row>
    <row r="6" spans="1:17">
      <c r="A6" s="39">
        <v>3</v>
      </c>
      <c r="B6" s="39">
        <v>83.725088320905385</v>
      </c>
      <c r="C6" s="39">
        <v>99.53928006924086</v>
      </c>
      <c r="D6" s="39">
        <v>122.3300336456554</v>
      </c>
      <c r="E6" s="39">
        <v>148.95766279921139</v>
      </c>
      <c r="F6" s="39">
        <v>77.391476873374714</v>
      </c>
      <c r="G6" s="39">
        <v>92.534956329164757</v>
      </c>
      <c r="H6" s="39">
        <v>114.335963622794</v>
      </c>
      <c r="I6" s="39">
        <v>139.57948191613451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</row>
    <row r="7" spans="1:17">
      <c r="A7" s="39">
        <v>4</v>
      </c>
      <c r="B7" s="39">
        <v>82.49434275695198</v>
      </c>
      <c r="C7" s="39">
        <v>102.66936068067641</v>
      </c>
      <c r="D7" s="39">
        <v>131.15997657947801</v>
      </c>
      <c r="E7" s="39">
        <v>164.9700076212562</v>
      </c>
      <c r="F7" s="39">
        <v>74.760961302820519</v>
      </c>
      <c r="G7" s="39">
        <v>93.314727983193649</v>
      </c>
      <c r="H7" s="39">
        <v>119.93952974883079</v>
      </c>
      <c r="I7" s="39">
        <v>151.64870173690639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</row>
    <row r="8" spans="1:17">
      <c r="A8" s="39">
        <v>5</v>
      </c>
      <c r="B8" s="39">
        <v>82.889517314931425</v>
      </c>
      <c r="C8" s="39">
        <v>106.54513596966309</v>
      </c>
      <c r="D8" s="39">
        <v>140.97450570417359</v>
      </c>
      <c r="E8" s="39">
        <v>182.81830563676169</v>
      </c>
      <c r="F8" s="39">
        <v>73.612218578606814</v>
      </c>
      <c r="G8" s="39">
        <v>94.779896379547694</v>
      </c>
      <c r="H8" s="39">
        <v>126.365190070514</v>
      </c>
      <c r="I8" s="39">
        <v>164.70213748486319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 s="39">
        <v>6</v>
      </c>
      <c r="B9" s="39">
        <v>83.75356880036334</v>
      </c>
      <c r="C9" s="39">
        <v>110.6448855041684</v>
      </c>
      <c r="D9" s="39">
        <v>150.88747928446421</v>
      </c>
      <c r="E9" s="39">
        <v>200.50615761600611</v>
      </c>
      <c r="F9" s="39">
        <v>73.1414505870098</v>
      </c>
      <c r="G9" s="39">
        <v>96.441803195513458</v>
      </c>
      <c r="H9" s="39">
        <v>132.3890281231173</v>
      </c>
      <c r="I9" s="39">
        <v>176.93282105286741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</row>
    <row r="10" spans="1:17">
      <c r="A10" s="39">
        <v>7</v>
      </c>
      <c r="B10" s="39">
        <v>82.908220529470483</v>
      </c>
      <c r="C10" s="39">
        <v>114.1673245086367</v>
      </c>
      <c r="D10" s="39">
        <v>161.62856097656029</v>
      </c>
      <c r="E10" s="39">
        <v>220.17959663110639</v>
      </c>
      <c r="F10" s="39">
        <v>70.387539804436187</v>
      </c>
      <c r="G10" s="39">
        <v>97.63155287729704</v>
      </c>
      <c r="H10" s="39">
        <v>138.8783873123846</v>
      </c>
      <c r="I10" s="39">
        <v>190.24745387402521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</row>
    <row r="11" spans="1:17">
      <c r="A11" s="39">
        <v>8</v>
      </c>
      <c r="B11" s="39">
        <v>83.24382096408614</v>
      </c>
      <c r="C11" s="39">
        <v>117.9408046427385</v>
      </c>
      <c r="D11" s="39">
        <v>172.33236236670029</v>
      </c>
      <c r="E11" s="39">
        <v>241.8199445693451</v>
      </c>
      <c r="F11" s="39">
        <v>69.953233838412501</v>
      </c>
      <c r="G11" s="39">
        <v>98.952395630796644</v>
      </c>
      <c r="H11" s="39">
        <v>145.2182156871695</v>
      </c>
      <c r="I11" s="39">
        <v>204.97574961337151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</row>
    <row r="12" spans="1:17">
      <c r="A12" s="39">
        <v>9</v>
      </c>
      <c r="B12" s="39">
        <v>82.407210348631267</v>
      </c>
      <c r="C12" s="39">
        <v>121.2624092528805</v>
      </c>
      <c r="D12" s="39">
        <v>184.0575284761093</v>
      </c>
      <c r="E12" s="39">
        <v>265.06085063288731</v>
      </c>
      <c r="F12" s="39">
        <v>67.873172891862112</v>
      </c>
      <c r="G12" s="39">
        <v>99.637365350695845</v>
      </c>
      <c r="H12" s="39">
        <v>151.7631265358819</v>
      </c>
      <c r="I12" s="39">
        <v>220.085512628499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</row>
    <row r="13" spans="1:17">
      <c r="A13" s="39">
        <v>10</v>
      </c>
      <c r="B13" s="39">
        <v>82.677400159050819</v>
      </c>
      <c r="C13" s="39">
        <v>125.5763324621561</v>
      </c>
      <c r="D13" s="39">
        <v>195.43872231015621</v>
      </c>
      <c r="E13" s="39">
        <v>288.74920214922378</v>
      </c>
      <c r="F13" s="39">
        <v>67.0485473021036</v>
      </c>
      <c r="G13" s="39">
        <v>101.3435275020764</v>
      </c>
      <c r="H13" s="39">
        <v>157.97495978635851</v>
      </c>
      <c r="I13" s="39">
        <v>235.54038219017781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</row>
    <row r="14" spans="1:17">
      <c r="A14" s="39">
        <v>11</v>
      </c>
      <c r="B14" s="39">
        <v>83.902830653761754</v>
      </c>
      <c r="C14" s="39">
        <v>129.2097113442212</v>
      </c>
      <c r="D14" s="39">
        <v>208.13991325548389</v>
      </c>
      <c r="E14" s="39">
        <v>314.92677011340442</v>
      </c>
      <c r="F14" s="39">
        <v>67.045775740091074</v>
      </c>
      <c r="G14" s="39">
        <v>102.6731717608601</v>
      </c>
      <c r="H14" s="39">
        <v>164.92284301358299</v>
      </c>
      <c r="I14" s="39">
        <v>250.6953580591109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</row>
    <row r="15" spans="1:17">
      <c r="A15" s="39">
        <v>12</v>
      </c>
      <c r="B15" s="39">
        <v>84.433575082045039</v>
      </c>
      <c r="C15" s="39">
        <v>133.7491898644262</v>
      </c>
      <c r="D15" s="39">
        <v>220.15699775130699</v>
      </c>
      <c r="E15" s="39">
        <v>343.00050544530097</v>
      </c>
      <c r="F15" s="39">
        <v>66.252659908248248</v>
      </c>
      <c r="G15" s="39">
        <v>103.8453569857883</v>
      </c>
      <c r="H15" s="39">
        <v>170.93299895967769</v>
      </c>
      <c r="I15" s="39">
        <v>268.09022382878021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A16" s="39">
        <v>13</v>
      </c>
      <c r="B16" s="39">
        <v>86.258498359877763</v>
      </c>
      <c r="C16" s="39">
        <v>138.4668417762951</v>
      </c>
      <c r="D16" s="39">
        <v>234.21643315785531</v>
      </c>
      <c r="E16" s="39">
        <v>373.19020654075689</v>
      </c>
      <c r="F16" s="39">
        <v>65.869277391343743</v>
      </c>
      <c r="G16" s="39">
        <v>105.5999543854204</v>
      </c>
      <c r="H16" s="39">
        <v>178.5657468878189</v>
      </c>
      <c r="I16" s="39">
        <v>285.50676165171802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1:17">
      <c r="A17" s="39">
        <v>14</v>
      </c>
      <c r="B17" s="39">
        <v>87.124871491006829</v>
      </c>
      <c r="C17" s="39">
        <v>143.8458719878293</v>
      </c>
      <c r="D17" s="39">
        <v>248.51988152527741</v>
      </c>
      <c r="E17" s="39">
        <v>406.98660977813398</v>
      </c>
      <c r="F17" s="39">
        <v>65.560470117891853</v>
      </c>
      <c r="G17" s="39">
        <v>107.2269895365345</v>
      </c>
      <c r="H17" s="39">
        <v>186.01422863088609</v>
      </c>
      <c r="I17" s="39">
        <v>305.46259918267702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1:17">
      <c r="A18" s="39">
        <v>15</v>
      </c>
      <c r="B18" s="39">
        <v>88.392475874938754</v>
      </c>
      <c r="C18" s="39">
        <v>149.20743894367621</v>
      </c>
      <c r="D18" s="39">
        <v>263.38684409822292</v>
      </c>
      <c r="E18" s="39">
        <v>440.79140198473351</v>
      </c>
      <c r="F18" s="39">
        <v>65.258782584413268</v>
      </c>
      <c r="G18" s="39">
        <v>109.1725396070551</v>
      </c>
      <c r="H18" s="39">
        <v>193.0414416088457</v>
      </c>
      <c r="I18" s="39">
        <v>324.86809489701147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>
      <c r="A19" s="39">
        <v>16</v>
      </c>
      <c r="B19" s="39">
        <v>90.584656170294551</v>
      </c>
      <c r="C19" s="39">
        <v>154.25905666304001</v>
      </c>
      <c r="D19" s="39">
        <v>279.69349878366143</v>
      </c>
      <c r="E19" s="39">
        <v>479.43286009910798</v>
      </c>
      <c r="F19" s="39">
        <v>66.206737463417397</v>
      </c>
      <c r="G19" s="39">
        <v>111.09780418622501</v>
      </c>
      <c r="H19" s="39">
        <v>201.23270968473179</v>
      </c>
      <c r="I19" s="39">
        <v>344.80889061988512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>
      <c r="A20" s="39">
        <v>17</v>
      </c>
      <c r="B20" s="39">
        <v>92.587652101448271</v>
      </c>
      <c r="C20" s="39">
        <v>160.41136949020321</v>
      </c>
      <c r="D20" s="39">
        <v>295.66606814773792</v>
      </c>
      <c r="E20" s="39">
        <v>517.9731209429425</v>
      </c>
      <c r="F20" s="39">
        <v>66.272324560263655</v>
      </c>
      <c r="G20" s="39">
        <v>113.232379838434</v>
      </c>
      <c r="H20" s="39">
        <v>208.51959647540579</v>
      </c>
      <c r="I20" s="39">
        <v>366.17150185128548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1:17">
      <c r="A21" s="39">
        <v>18</v>
      </c>
      <c r="B21" s="39">
        <v>95.045799909426947</v>
      </c>
      <c r="C21" s="39">
        <v>166.19554458067739</v>
      </c>
      <c r="D21" s="39">
        <v>315.53762447795037</v>
      </c>
      <c r="E21" s="39">
        <v>562.14807016601719</v>
      </c>
      <c r="F21" s="39">
        <v>66.38381958715712</v>
      </c>
      <c r="G21" s="39">
        <v>115.2717121817884</v>
      </c>
      <c r="H21" s="39">
        <v>217.57514913874579</v>
      </c>
      <c r="I21" s="39">
        <v>389.96251692572622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</row>
    <row r="22" spans="1:17">
      <c r="A22" s="39">
        <v>19</v>
      </c>
      <c r="B22" s="39">
        <v>97.924392695055232</v>
      </c>
      <c r="C22" s="39">
        <v>172.62635800579369</v>
      </c>
      <c r="D22" s="39">
        <v>334.51582907311632</v>
      </c>
      <c r="E22" s="39">
        <v>607.07586528440379</v>
      </c>
      <c r="F22" s="39">
        <v>67.304724044570932</v>
      </c>
      <c r="G22" s="39">
        <v>116.98957641958221</v>
      </c>
      <c r="H22" s="39">
        <v>226.8837393413996</v>
      </c>
      <c r="I22" s="39">
        <v>410.97538123485339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1:17">
      <c r="A23" s="39">
        <v>20</v>
      </c>
      <c r="B23" s="39">
        <v>99.980749763334458</v>
      </c>
      <c r="C23" s="39">
        <v>180.14478125418509</v>
      </c>
      <c r="D23" s="39">
        <v>354.36805028859038</v>
      </c>
      <c r="E23" s="39">
        <v>656.13632783299704</v>
      </c>
      <c r="F23" s="39">
        <v>67.974292244311783</v>
      </c>
      <c r="G23" s="39">
        <v>119.77976422583821</v>
      </c>
      <c r="H23" s="39">
        <v>235.77756441749449</v>
      </c>
      <c r="I23" s="39">
        <v>437.05757728293781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portfolios_old</vt:lpstr>
      <vt:lpstr>Sheet1</vt:lpstr>
      <vt:lpstr>risk_dashboard</vt:lpstr>
      <vt:lpstr>assumptions</vt:lpstr>
      <vt:lpstr>ws_SAA</vt:lpstr>
      <vt:lpstr>ws_SAA_+_10%_Buffered_Note</vt:lpstr>
      <vt:lpstr>ws_SAA_+_20%_Buffered_Note</vt:lpstr>
      <vt:lpstr>ws_SAA_+_30%_Buffered_Note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2025-07-03T08:11:19Z</dcterms:created>
  <dcterms:modified xsi:type="dcterms:W3CDTF">2025-07-03T18:34:37Z</dcterms:modified>
</cp:coreProperties>
</file>