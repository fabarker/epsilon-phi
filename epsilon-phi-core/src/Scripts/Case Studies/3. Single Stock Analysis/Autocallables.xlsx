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3. Single Stock Analysis/"/>
    </mc:Choice>
  </mc:AlternateContent>
  <xr:revisionPtr revIDLastSave="0" documentId="13_ncr:1_{ACAFA934-FD5C-F640-963B-A9795C41EC34}" xr6:coauthVersionLast="47" xr6:coauthVersionMax="47" xr10:uidLastSave="{00000000-0000-0000-0000-000000000000}"/>
  <bookViews>
    <workbookView xWindow="31520" yWindow="1260" windowWidth="23080" windowHeight="22140" activeTab="1" xr2:uid="{B44238BA-E5AE-5247-A63B-13C4E6F1B53D}"/>
  </bookViews>
  <sheets>
    <sheet name="Autocallable" sheetId="1" r:id="rId1"/>
    <sheet name="Payoff" sheetId="2" r:id="rId2"/>
    <sheet name="Sheet8" sheetId="8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8" l="1"/>
  <c r="D32" i="8"/>
  <c r="D29" i="8"/>
  <c r="D30" i="8"/>
  <c r="E18" i="8"/>
  <c r="D18" i="8"/>
  <c r="D17" i="8"/>
  <c r="D16" i="8"/>
  <c r="D7" i="2"/>
  <c r="D4" i="2"/>
  <c r="D5" i="2"/>
  <c r="D6" i="2"/>
  <c r="D8" i="2"/>
  <c r="F8" i="2"/>
  <c r="F5" i="2"/>
  <c r="F6" i="2"/>
  <c r="F7" i="2"/>
  <c r="A1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4" i="2"/>
  <c r="E2" i="2"/>
  <c r="D11" i="2"/>
  <c r="D12" i="2"/>
  <c r="D13" i="2"/>
  <c r="D14" i="2"/>
  <c r="D15" i="2"/>
  <c r="D16" i="2"/>
  <c r="D17" i="2"/>
  <c r="D18" i="2"/>
  <c r="D19" i="2"/>
  <c r="D20" i="2"/>
  <c r="D21" i="2"/>
  <c r="D22" i="2"/>
  <c r="D10" i="2"/>
  <c r="D9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4" i="2"/>
  <c r="B6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5" i="2"/>
</calcChain>
</file>

<file path=xl/sharedStrings.xml><?xml version="1.0" encoding="utf-8"?>
<sst xmlns="http://schemas.openxmlformats.org/spreadsheetml/2006/main" count="35" uniqueCount="32">
  <si>
    <t>Issuer</t>
  </si>
  <si>
    <t>Term</t>
  </si>
  <si>
    <t>Undelying</t>
  </si>
  <si>
    <t>Barrier Level</t>
  </si>
  <si>
    <t>Coupon</t>
  </si>
  <si>
    <t>Frequency</t>
  </si>
  <si>
    <t>Autocallable</t>
  </si>
  <si>
    <t>2 Years</t>
  </si>
  <si>
    <t>S&amp;P 500</t>
  </si>
  <si>
    <t>Quarterly</t>
  </si>
  <si>
    <t>a</t>
  </si>
  <si>
    <t>Hypothetical Example</t>
  </si>
  <si>
    <t>Underlying</t>
  </si>
  <si>
    <t>X Axis</t>
  </si>
  <si>
    <t>Buffer</t>
  </si>
  <si>
    <t>Coupon 1</t>
  </si>
  <si>
    <t>Coupon 2</t>
  </si>
  <si>
    <t>Coupon 3</t>
  </si>
  <si>
    <t>Coupon (%)</t>
  </si>
  <si>
    <t>Call Level</t>
  </si>
  <si>
    <t>First Call Date</t>
  </si>
  <si>
    <t>Bank</t>
  </si>
  <si>
    <t>S&amp;PCOMP</t>
  </si>
  <si>
    <t>AC Note</t>
  </si>
  <si>
    <t>1st to Worst</t>
  </si>
  <si>
    <t>90th to 10th</t>
  </si>
  <si>
    <t>90th to 99th</t>
  </si>
  <si>
    <t>Median</t>
  </si>
  <si>
    <t>1st-10th and 90th-99th</t>
  </si>
  <si>
    <t>Prob of loss</t>
  </si>
  <si>
    <t>85% of Underlying Initial Price</t>
  </si>
  <si>
    <t>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</si>
</sst>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1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 tint="-0.14996795556505021"/>
      </top>
      <bottom style="thin">
        <color theme="1"/>
      </bottom>
      <diagonal/>
    </border>
    <border>
      <left/>
      <right style="thin">
        <color theme="0"/>
      </right>
      <top style="thin">
        <color theme="0" tint="-0.1499679555650502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3" borderId="0" xfId="1" applyNumberFormat="1" applyFont="1" applyFill="1" applyAlignment="1">
      <alignment horizontal="center"/>
    </xf>
    <xf numFmtId="9" fontId="0" fillId="3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4" fillId="3" borderId="2" xfId="0" applyFont="1" applyFill="1" applyBorder="1"/>
    <xf numFmtId="0" fontId="5" fillId="2" borderId="3" xfId="0" applyFont="1" applyFill="1" applyBorder="1" applyAlignment="1">
      <alignment horizontal="left" vertical="center" indent="1"/>
    </xf>
    <xf numFmtId="0" fontId="5" fillId="3" borderId="4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1"/>
    </xf>
    <xf numFmtId="0" fontId="5" fillId="3" borderId="6" xfId="0" applyFont="1" applyFill="1" applyBorder="1" applyAlignment="1">
      <alignment horizontal="left" vertical="center" indent="1"/>
    </xf>
    <xf numFmtId="9" fontId="5" fillId="3" borderId="6" xfId="0" applyNumberFormat="1" applyFont="1" applyFill="1" applyBorder="1" applyAlignment="1">
      <alignment horizontal="left" vertical="center" indent="1"/>
    </xf>
    <xf numFmtId="0" fontId="5" fillId="2" borderId="7" xfId="0" applyFont="1" applyFill="1" applyBorder="1" applyAlignment="1">
      <alignment horizontal="left" vertical="center" indent="1"/>
    </xf>
    <xf numFmtId="0" fontId="5" fillId="3" borderId="8" xfId="0" applyFont="1" applyFill="1" applyBorder="1" applyAlignment="1">
      <alignment horizontal="left" vertical="center" wrapText="1" indent="1"/>
    </xf>
    <xf numFmtId="0" fontId="0" fillId="3" borderId="9" xfId="0" applyFill="1" applyBorder="1" applyAlignment="1">
      <alignment horizontal="center"/>
    </xf>
    <xf numFmtId="9" fontId="0" fillId="3" borderId="9" xfId="1" applyFont="1" applyFill="1" applyBorder="1" applyAlignment="1">
      <alignment horizontal="center"/>
    </xf>
    <xf numFmtId="9" fontId="0" fillId="3" borderId="0" xfId="1" applyNumberFormat="1" applyFont="1" applyFill="1" applyAlignment="1">
      <alignment horizontal="center"/>
    </xf>
    <xf numFmtId="0" fontId="0" fillId="3" borderId="10" xfId="0" applyFill="1" applyBorder="1"/>
    <xf numFmtId="9" fontId="0" fillId="3" borderId="11" xfId="1" applyFont="1" applyFill="1" applyBorder="1" applyAlignment="1">
      <alignment horizontal="center"/>
    </xf>
    <xf numFmtId="9" fontId="0" fillId="3" borderId="12" xfId="1" applyNumberFormat="1" applyFont="1" applyFill="1" applyBorder="1" applyAlignment="1">
      <alignment horizontal="center"/>
    </xf>
    <xf numFmtId="0" fontId="0" fillId="3" borderId="13" xfId="0" applyFill="1" applyBorder="1"/>
    <xf numFmtId="9" fontId="0" fillId="3" borderId="0" xfId="1" applyFont="1" applyFill="1" applyBorder="1" applyAlignment="1">
      <alignment horizontal="center"/>
    </xf>
    <xf numFmtId="9" fontId="0" fillId="3" borderId="14" xfId="1" applyNumberFormat="1" applyFont="1" applyFill="1" applyBorder="1" applyAlignment="1">
      <alignment horizontal="center"/>
    </xf>
    <xf numFmtId="0" fontId="0" fillId="3" borderId="15" xfId="0" applyFill="1" applyBorder="1"/>
    <xf numFmtId="9" fontId="0" fillId="3" borderId="16" xfId="1" applyNumberFormat="1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Payoff!$B$6:$B$12</c:f>
              <c:numCache>
                <c:formatCode>0%</c:formatCode>
                <c:ptCount val="7"/>
                <c:pt idx="0">
                  <c:v>-0.30000000000000004</c:v>
                </c:pt>
                <c:pt idx="1">
                  <c:v>-0.20000000000000004</c:v>
                </c:pt>
                <c:pt idx="2">
                  <c:v>-0.10000000000000003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</c:numCache>
            </c:numRef>
          </c:cat>
          <c:val>
            <c:numRef>
              <c:f>Payoff!$B$6:$B$12</c:f>
              <c:numCache>
                <c:formatCode>0%</c:formatCode>
                <c:ptCount val="7"/>
                <c:pt idx="0">
                  <c:v>-0.30000000000000004</c:v>
                </c:pt>
                <c:pt idx="1">
                  <c:v>-0.20000000000000004</c:v>
                </c:pt>
                <c:pt idx="2">
                  <c:v>-0.10000000000000003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81-084D-A509-71F7E9BDCEA6}"/>
            </c:ext>
          </c:extLst>
        </c:ser>
        <c:ser>
          <c:idx val="1"/>
          <c:order val="1"/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Payoff!$B$6:$B$12</c:f>
              <c:numCache>
                <c:formatCode>0%</c:formatCode>
                <c:ptCount val="7"/>
                <c:pt idx="0">
                  <c:v>-0.30000000000000004</c:v>
                </c:pt>
                <c:pt idx="1">
                  <c:v>-0.20000000000000004</c:v>
                </c:pt>
                <c:pt idx="2">
                  <c:v>-0.10000000000000003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</c:numCache>
            </c:numRef>
          </c:cat>
          <c:val>
            <c:numRef>
              <c:f>Payoff!$C$6:$C$12</c:f>
              <c:numCache>
                <c:formatCode>0%</c:formatCode>
                <c:ptCount val="7"/>
                <c:pt idx="0">
                  <c:v>-0.30000000000000004</c:v>
                </c:pt>
                <c:pt idx="1">
                  <c:v>-0.20000000000000004</c:v>
                </c:pt>
                <c:pt idx="2">
                  <c:v>-0.10000000000000003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81-084D-A509-71F7E9BDCEA6}"/>
            </c:ext>
          </c:extLst>
        </c:ser>
        <c:ser>
          <c:idx val="2"/>
          <c:order val="2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Payoff!$B$6:$B$12</c:f>
              <c:numCache>
                <c:formatCode>0%</c:formatCode>
                <c:ptCount val="7"/>
                <c:pt idx="0">
                  <c:v>-0.30000000000000004</c:v>
                </c:pt>
                <c:pt idx="1">
                  <c:v>-0.20000000000000004</c:v>
                </c:pt>
                <c:pt idx="2">
                  <c:v>-0.10000000000000003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</c:numCache>
            </c:numRef>
          </c:cat>
          <c:val>
            <c:numRef>
              <c:f>Payoff!$D$6:$D$12</c:f>
              <c:numCache>
                <c:formatCode>0%</c:formatCode>
                <c:ptCount val="7"/>
                <c:pt idx="0">
                  <c:v>-0.20000000000000004</c:v>
                </c:pt>
                <c:pt idx="1">
                  <c:v>-0.10000000000000003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81-084D-A509-71F7E9BDCEA6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Payoff!$B$6:$B$12</c:f>
              <c:numCache>
                <c:formatCode>0%</c:formatCode>
                <c:ptCount val="7"/>
                <c:pt idx="0">
                  <c:v>-0.30000000000000004</c:v>
                </c:pt>
                <c:pt idx="1">
                  <c:v>-0.20000000000000004</c:v>
                </c:pt>
                <c:pt idx="2">
                  <c:v>-0.10000000000000003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</c:numCache>
            </c:numRef>
          </c:cat>
          <c:val>
            <c:numRef>
              <c:f>Payoff!$F$6:$F$12</c:f>
              <c:numCache>
                <c:formatCode>0%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81-084D-A509-71F7E9BDC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799904"/>
        <c:axId val="1592518144"/>
      </c:lineChart>
      <c:catAx>
        <c:axId val="75879990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518144"/>
        <c:crossesAt val="0"/>
        <c:auto val="1"/>
        <c:lblAlgn val="ctr"/>
        <c:lblOffset val="100"/>
        <c:noMultiLvlLbl val="0"/>
      </c:catAx>
      <c:valAx>
        <c:axId val="159251814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799904"/>
        <c:crossesAt val="4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91-1943-90EE-7095E10AD7DB}"/>
              </c:ext>
            </c:extLst>
          </c:dPt>
          <c:cat>
            <c:strRef>
              <c:f>Sheet8!$D$4:$E$4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Sheet8!$D$15:$E$15</c:f>
              <c:numCache>
                <c:formatCode>0%</c:formatCode>
                <c:ptCount val="2"/>
                <c:pt idx="0">
                  <c:v>-0.1</c:v>
                </c:pt>
                <c:pt idx="1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1-1943-90EE-7095E10AD7DB}"/>
            </c:ext>
          </c:extLst>
        </c:ser>
        <c:ser>
          <c:idx val="0"/>
          <c:order val="1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-31%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091-1943-90EE-7095E10AD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Sheet8!$D$4:$E$4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Sheet8!$D$14:$E$14</c:f>
              <c:numCache>
                <c:formatCode>0%</c:formatCode>
                <c:ptCount val="2"/>
                <c:pt idx="0">
                  <c:v>-0.21</c:v>
                </c:pt>
                <c:pt idx="1">
                  <c:v>-0.2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1-1943-90EE-7095E10AD7DB}"/>
            </c:ext>
          </c:extLst>
        </c:ser>
        <c:ser>
          <c:idx val="2"/>
          <c:order val="2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Sheet8!$D$4:$E$4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Sheet8!$D$16:$E$16</c:f>
              <c:numCache>
                <c:formatCode>0%</c:formatCode>
                <c:ptCount val="2"/>
                <c:pt idx="0">
                  <c:v>0.65276089522143299</c:v>
                </c:pt>
                <c:pt idx="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1-1943-90EE-7095E10AD7DB}"/>
            </c:ext>
          </c:extLst>
        </c:ser>
        <c:ser>
          <c:idx val="3"/>
          <c:order val="3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102%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091-1943-90EE-7095E10AD7DB}"/>
                </c:ext>
              </c:extLst>
            </c:dLbl>
            <c:dLbl>
              <c:idx val="1"/>
              <c:layout>
                <c:manualLayout>
                  <c:x val="-1.1253954432503874E-16"/>
                  <c:y val="-4.991361407579637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091-1943-90EE-7095E10AD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Sheet8!$D$4:$E$4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Sheet8!$D$17:$E$17</c:f>
              <c:numCache>
                <c:formatCode>0%</c:formatCode>
                <c:ptCount val="2"/>
                <c:pt idx="0">
                  <c:v>0.37063401358167702</c:v>
                </c:pt>
                <c:pt idx="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91-1943-90EE-7095E10AD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9037536"/>
        <c:axId val="819020352"/>
      </c:barChart>
      <c:lineChart>
        <c:grouping val="standard"/>
        <c:varyColors val="0"/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dash"/>
            <c:size val="24"/>
            <c:spPr>
              <a:solidFill>
                <a:schemeClr val="bg1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9009576927789616E-2"/>
                  <c:y val="-3.9930891260637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091-1943-90EE-7095E10AD7DB}"/>
                </c:ext>
              </c:extLst>
            </c:dLbl>
            <c:dLbl>
              <c:idx val="1"/>
              <c:layout>
                <c:manualLayout>
                  <c:x val="-7.9801689659397587E-2"/>
                  <c:y val="-3.2443849149267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91-1943-90EE-7095E10AD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Sheet8!$D$18:$E$18</c:f>
              <c:numCache>
                <c:formatCode>0%</c:formatCode>
                <c:ptCount val="2"/>
                <c:pt idx="0">
                  <c:v>0.22315370837374601</c:v>
                </c:pt>
                <c:pt idx="1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91-1943-90EE-7095E10AD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037536"/>
        <c:axId val="819020352"/>
      </c:lineChart>
      <c:catAx>
        <c:axId val="81903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819020352"/>
        <c:crosses val="autoZero"/>
        <c:auto val="1"/>
        <c:lblAlgn val="ctr"/>
        <c:lblOffset val="100"/>
        <c:noMultiLvlLbl val="0"/>
      </c:catAx>
      <c:valAx>
        <c:axId val="81902035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8190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Sheet8!$C$31</c:f>
              <c:strCache>
                <c:ptCount val="1"/>
                <c:pt idx="0">
                  <c:v>90th to 10th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8A-F94C-8912-0F5490DFED80}"/>
              </c:ext>
            </c:extLst>
          </c:dPt>
          <c:cat>
            <c:strRef>
              <c:f>Sheet8!$D$4:$E$4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Sheet8!$D$31:$E$31</c:f>
              <c:numCache>
                <c:formatCode>0%</c:formatCode>
                <c:ptCount val="2"/>
                <c:pt idx="0">
                  <c:v>-0.12</c:v>
                </c:pt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8A-F94C-8912-0F5490DFED80}"/>
            </c:ext>
          </c:extLst>
        </c:ser>
        <c:ser>
          <c:idx val="0"/>
          <c:order val="1"/>
          <c:tx>
            <c:strRef>
              <c:f>Sheet8!$C$30</c:f>
              <c:strCache>
                <c:ptCount val="1"/>
                <c:pt idx="0">
                  <c:v>1st-10th and 90th-99th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Sheet8!$D$4:$E$4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Sheet8!$D$30:$E$30</c:f>
              <c:numCache>
                <c:formatCode>0%</c:formatCode>
                <c:ptCount val="2"/>
                <c:pt idx="0">
                  <c:v>-0.16765347384280399</c:v>
                </c:pt>
                <c:pt idx="1">
                  <c:v>-0.06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8A-F94C-8912-0F5490DFED80}"/>
            </c:ext>
          </c:extLst>
        </c:ser>
        <c:ser>
          <c:idx val="2"/>
          <c:order val="2"/>
          <c:tx>
            <c:strRef>
              <c:f>Sheet8!$C$32</c:f>
              <c:strCache>
                <c:ptCount val="1"/>
                <c:pt idx="0">
                  <c:v>90th to 99th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Sheet8!$D$4:$E$4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Sheet8!$D$32:$E$32</c:f>
              <c:numCache>
                <c:formatCode>0%</c:formatCode>
                <c:ptCount val="2"/>
                <c:pt idx="0">
                  <c:v>0.46631383264606702</c:v>
                </c:pt>
                <c:pt idx="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8A-F94C-8912-0F5490DFED80}"/>
            </c:ext>
          </c:extLst>
        </c:ser>
        <c:ser>
          <c:idx val="3"/>
          <c:order val="3"/>
          <c:tx>
            <c:strRef>
              <c:f>Sheet8!$C$33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Sheet8!$D$4:$E$4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Sheet8!$D$33:$E$33</c:f>
              <c:numCache>
                <c:formatCode>0%</c:formatCode>
                <c:ptCount val="2"/>
                <c:pt idx="0">
                  <c:v>0.24626122044607995</c:v>
                </c:pt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8A-F94C-8912-0F5490DFED80}"/>
            </c:ext>
          </c:extLst>
        </c:ser>
        <c:ser>
          <c:idx val="5"/>
          <c:order val="5"/>
          <c:tx>
            <c:strRef>
              <c:f>Sheet8!$C$29</c:f>
              <c:strCache>
                <c:ptCount val="1"/>
                <c:pt idx="0">
                  <c:v>1st to Worst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 w="25400">
              <a:noFill/>
            </a:ln>
            <a:effectLst/>
          </c:spPr>
          <c:invertIfNegative val="0"/>
          <c:val>
            <c:numRef>
              <c:f>Sheet8!$D$29:$E$29</c:f>
              <c:numCache>
                <c:formatCode>0%</c:formatCode>
                <c:ptCount val="2"/>
                <c:pt idx="0">
                  <c:v>-0.17983650974819998</c:v>
                </c:pt>
                <c:pt idx="1">
                  <c:v>-0.22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8A-F94C-8912-0F5490DFE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9037536"/>
        <c:axId val="819020352"/>
      </c:barChart>
      <c:lineChart>
        <c:grouping val="standard"/>
        <c:varyColors val="0"/>
        <c:ser>
          <c:idx val="4"/>
          <c:order val="4"/>
          <c:tx>
            <c:strRef>
              <c:f>Sheet8!$C$33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24"/>
            <c:spPr>
              <a:solidFill>
                <a:schemeClr val="bg1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Sheet8!$C$24:$D$24</c:f>
              <c:numCache>
                <c:formatCode>0%</c:formatCode>
                <c:ptCount val="2"/>
                <c:pt idx="0">
                  <c:v>0.15163172143829001</c:v>
                </c:pt>
                <c:pt idx="1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C8A-F94C-8912-0F5490DFED80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Sheet8!$C$21:$D$21</c:f>
              <c:numCache>
                <c:formatCode>0%</c:formatCode>
                <c:ptCount val="2"/>
                <c:pt idx="0">
                  <c:v>-0.47004560202419599</c:v>
                </c:pt>
                <c:pt idx="1">
                  <c:v>-0.27504560202419598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C8A-F94C-8912-0F5490DFE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037536"/>
        <c:axId val="819020352"/>
      </c:lineChart>
      <c:catAx>
        <c:axId val="8190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819020352"/>
        <c:crosses val="autoZero"/>
        <c:auto val="1"/>
        <c:lblAlgn val="ctr"/>
        <c:lblOffset val="100"/>
        <c:noMultiLvlLbl val="0"/>
      </c:catAx>
      <c:valAx>
        <c:axId val="8190203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0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2841174423944487"/>
          <c:y val="1.4974084222738913E-2"/>
          <c:w val="0.85340071030700748"/>
          <c:h val="9.8596287684778627E-2"/>
        </c:manualLayout>
      </c:layout>
      <c:overlay val="0"/>
      <c:spPr>
        <a:noFill/>
        <a:ln w="6350"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660400</xdr:colOff>
      <xdr:row>4</xdr:row>
      <xdr:rowOff>25400</xdr:rowOff>
    </xdr:from>
    <xdr:to>
      <xdr:col>12</xdr:col>
      <xdr:colOff>685800</xdr:colOff>
      <xdr:row>26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188D9-84EB-6937-A49C-14C9C7435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82550</xdr:colOff>
      <xdr:row>1</xdr:row>
      <xdr:rowOff>25400</xdr:rowOff>
    </xdr:from>
    <xdr:to>
      <xdr:col>11</xdr:col>
      <xdr:colOff>68384</xdr:colOff>
      <xdr:row>25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86917-50B1-7554-3D03-E1594B273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537308</xdr:colOff>
      <xdr:row>26</xdr:row>
      <xdr:rowOff>156308</xdr:rowOff>
    </xdr:from>
    <xdr:to>
      <xdr:col>10</xdr:col>
      <xdr:colOff>302846</xdr:colOff>
      <xdr:row>51</xdr:row>
      <xdr:rowOff>116254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FA72DA-CC9B-F845-B9EC-B5C27B67A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3CE5-5688-FC43-AB97-6408071621C3}">
  <dimension ref="A1:E17"/>
  <sheetViews>
    <sheetView topLeftCell="B1" zoomScaleNormal="100" workbookViewId="0">
      <selection activeCell="C41" sqref="C41"/>
    </sheetView>
  </sheetViews>
  <sheetFormatPr baseColWidth="10" defaultRowHeight="16" x14ac:dyDescent="0.2"/>
  <cols>
    <col min="2" max="2" width="23.1640625" customWidth="1"/>
    <col min="3" max="3" width="55.1640625" customWidth="1"/>
  </cols>
  <sheetData>
    <row r="1" spans="1:5" x14ac:dyDescent="0.2">
      <c r="A1" s="3"/>
      <c r="B1" s="3"/>
      <c r="C1" s="3"/>
      <c r="D1" s="3"/>
      <c r="E1" s="3"/>
    </row>
    <row r="2" spans="1:5" ht="40" customHeight="1" x14ac:dyDescent="0.25">
      <c r="A2" s="3"/>
      <c r="B2" s="4" t="s">
        <v>11</v>
      </c>
      <c r="C2" s="12"/>
      <c r="D2" s="3"/>
      <c r="E2" s="3"/>
    </row>
    <row r="3" spans="1:5" s="1" customFormat="1" ht="25" customHeight="1" x14ac:dyDescent="0.2">
      <c r="A3" s="2"/>
      <c r="B3" s="13" t="s">
        <v>0</v>
      </c>
      <c r="C3" s="14" t="s">
        <v>21</v>
      </c>
      <c r="D3" s="2"/>
      <c r="E3" s="2"/>
    </row>
    <row r="4" spans="1:5" s="1" customFormat="1" ht="25" customHeight="1" x14ac:dyDescent="0.2">
      <c r="A4" s="2"/>
      <c r="B4" s="15" t="s">
        <v>1</v>
      </c>
      <c r="C4" s="16" t="s">
        <v>7</v>
      </c>
      <c r="D4" s="2"/>
      <c r="E4" s="2"/>
    </row>
    <row r="5" spans="1:5" s="1" customFormat="1" ht="25" customHeight="1" x14ac:dyDescent="0.2">
      <c r="A5" s="2"/>
      <c r="B5" s="15" t="s">
        <v>2</v>
      </c>
      <c r="C5" s="16" t="s">
        <v>8</v>
      </c>
      <c r="D5" s="2"/>
      <c r="E5" s="2"/>
    </row>
    <row r="6" spans="1:5" s="1" customFormat="1" ht="25" customHeight="1" x14ac:dyDescent="0.2">
      <c r="A6" s="2"/>
      <c r="B6" s="15" t="s">
        <v>18</v>
      </c>
      <c r="C6" s="17">
        <v>0.09</v>
      </c>
      <c r="D6" s="2"/>
      <c r="E6" s="2"/>
    </row>
    <row r="7" spans="1:5" s="1" customFormat="1" ht="25" customHeight="1" x14ac:dyDescent="0.2">
      <c r="A7" s="2"/>
      <c r="B7" s="15" t="s">
        <v>19</v>
      </c>
      <c r="C7" s="17">
        <v>1</v>
      </c>
      <c r="D7" s="2"/>
      <c r="E7" s="2"/>
    </row>
    <row r="8" spans="1:5" s="1" customFormat="1" ht="25" customHeight="1" x14ac:dyDescent="0.2">
      <c r="A8" s="2"/>
      <c r="B8" s="15" t="s">
        <v>3</v>
      </c>
      <c r="C8" s="16" t="s">
        <v>30</v>
      </c>
      <c r="D8" s="2"/>
      <c r="E8" s="2"/>
    </row>
    <row r="9" spans="1:5" s="1" customFormat="1" ht="25" customHeight="1" x14ac:dyDescent="0.2">
      <c r="A9" s="2" t="s">
        <v>10</v>
      </c>
      <c r="B9" s="15" t="s">
        <v>4</v>
      </c>
      <c r="C9" s="17" t="s">
        <v>30</v>
      </c>
      <c r="D9" s="2"/>
      <c r="E9" s="2"/>
    </row>
    <row r="10" spans="1:5" s="1" customFormat="1" ht="25" customHeight="1" x14ac:dyDescent="0.2">
      <c r="A10" s="2"/>
      <c r="B10" s="15" t="s">
        <v>5</v>
      </c>
      <c r="C10" s="16" t="s">
        <v>9</v>
      </c>
      <c r="D10" s="2"/>
      <c r="E10" s="2"/>
    </row>
    <row r="11" spans="1:5" s="1" customFormat="1" ht="38" customHeight="1" x14ac:dyDescent="0.2">
      <c r="A11" s="2"/>
      <c r="B11" s="18" t="s">
        <v>20</v>
      </c>
      <c r="C11" s="19" t="s">
        <v>31</v>
      </c>
      <c r="D11" s="2"/>
      <c r="E11" s="2"/>
    </row>
    <row r="12" spans="1:5" x14ac:dyDescent="0.2">
      <c r="A12" s="3"/>
      <c r="B12" s="3"/>
      <c r="C12" s="3"/>
      <c r="D12" s="3"/>
      <c r="E12" s="3"/>
    </row>
    <row r="13" spans="1:5" x14ac:dyDescent="0.2">
      <c r="A13" s="3"/>
      <c r="B13" s="3"/>
      <c r="C13" s="3"/>
      <c r="D13" s="3"/>
      <c r="E13" s="3"/>
    </row>
    <row r="14" spans="1:5" x14ac:dyDescent="0.2">
      <c r="A14" s="3"/>
      <c r="B14" s="3"/>
      <c r="C14" s="3"/>
      <c r="D14" s="3"/>
      <c r="E14" s="3"/>
    </row>
    <row r="15" spans="1:5" x14ac:dyDescent="0.2">
      <c r="A15" s="3"/>
      <c r="B15" s="3"/>
      <c r="C15" s="3"/>
      <c r="D15" s="3"/>
      <c r="E15" s="3"/>
    </row>
    <row r="16" spans="1:5" x14ac:dyDescent="0.2">
      <c r="A16" s="3"/>
      <c r="B16" s="3"/>
      <c r="C16" s="3"/>
      <c r="D16" s="3"/>
      <c r="E16" s="3"/>
    </row>
    <row r="17" spans="1:5" x14ac:dyDescent="0.2">
      <c r="A17" s="3"/>
      <c r="B17" s="3"/>
      <c r="C17" s="3"/>
      <c r="D17" s="3"/>
      <c r="E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43CE-62D3-4B46-B0F8-3340264DCAF4}">
  <dimension ref="A1:O33"/>
  <sheetViews>
    <sheetView tabSelected="1" workbookViewId="0">
      <selection activeCell="G38" sqref="G38"/>
    </sheetView>
  </sheetViews>
  <sheetFormatPr baseColWidth="10" defaultRowHeight="16" x14ac:dyDescent="0.2"/>
  <cols>
    <col min="2" max="2" width="10.83203125" style="7"/>
    <col min="3" max="6" width="10.83203125" style="5"/>
  </cols>
  <sheetData>
    <row r="1" spans="1:15" x14ac:dyDescent="0.2">
      <c r="A1" s="3">
        <f>2*4</f>
        <v>8</v>
      </c>
      <c r="B1" s="8"/>
      <c r="C1" s="10"/>
      <c r="D1" s="10"/>
      <c r="E1" s="10"/>
      <c r="F1" s="10"/>
      <c r="G1" s="3"/>
      <c r="H1" s="3"/>
      <c r="I1" s="3"/>
      <c r="J1" s="3"/>
      <c r="K1" s="3"/>
      <c r="L1" s="3"/>
      <c r="M1" s="3"/>
      <c r="N1" s="3"/>
      <c r="O1" s="3"/>
    </row>
    <row r="2" spans="1:15" x14ac:dyDescent="0.2">
      <c r="A2" s="3"/>
      <c r="B2" s="8" t="s">
        <v>13</v>
      </c>
      <c r="C2" s="10"/>
      <c r="D2" s="11">
        <v>-0.1</v>
      </c>
      <c r="E2" s="10">
        <f>6%</f>
        <v>0.06</v>
      </c>
      <c r="F2" s="10">
        <v>3</v>
      </c>
      <c r="G2" s="3"/>
      <c r="H2" s="3"/>
      <c r="I2" s="3"/>
      <c r="J2" s="3"/>
      <c r="K2" s="3"/>
      <c r="L2" s="3"/>
      <c r="M2" s="3"/>
      <c r="N2" s="3"/>
      <c r="O2" s="3"/>
    </row>
    <row r="3" spans="1:15" x14ac:dyDescent="0.2">
      <c r="A3" s="3"/>
      <c r="B3" s="8" t="s">
        <v>12</v>
      </c>
      <c r="C3" s="10" t="s">
        <v>12</v>
      </c>
      <c r="D3" s="10" t="s">
        <v>14</v>
      </c>
      <c r="E3" s="10" t="s">
        <v>15</v>
      </c>
      <c r="F3" s="10" t="s">
        <v>16</v>
      </c>
      <c r="G3" s="3"/>
      <c r="H3" s="3"/>
      <c r="I3" s="3"/>
      <c r="J3" s="3"/>
      <c r="K3" s="3"/>
      <c r="L3" s="3"/>
      <c r="M3" s="3"/>
      <c r="N3" s="3"/>
      <c r="O3" s="3"/>
    </row>
    <row r="4" spans="1:15" x14ac:dyDescent="0.2">
      <c r="A4" s="3"/>
      <c r="B4" s="9">
        <v>-0.5</v>
      </c>
      <c r="C4" s="9">
        <f>B4</f>
        <v>-0.5</v>
      </c>
      <c r="D4" s="9">
        <f>IF(C4&lt;$D$2,C4-$D$2,0)</f>
        <v>-0.4</v>
      </c>
      <c r="E4" s="8">
        <f>$E$2/4</f>
        <v>1.4999999999999999E-2</v>
      </c>
      <c r="F4" s="10" t="s">
        <v>17</v>
      </c>
      <c r="G4" s="3"/>
      <c r="H4" s="3"/>
      <c r="I4" s="3"/>
      <c r="J4" s="3"/>
      <c r="K4" s="3"/>
      <c r="L4" s="3"/>
      <c r="M4" s="3"/>
      <c r="N4" s="3"/>
      <c r="O4" s="3"/>
    </row>
    <row r="5" spans="1:15" x14ac:dyDescent="0.2">
      <c r="A5" s="3"/>
      <c r="B5" s="9">
        <f>B4+10%</f>
        <v>-0.4</v>
      </c>
      <c r="C5" s="9">
        <f t="shared" ref="C5:C22" si="0">B5</f>
        <v>-0.4</v>
      </c>
      <c r="D5" s="9">
        <f t="shared" ref="D5:D22" si="1">IF(C5&lt;$D$2,C5-$D$2,0)</f>
        <v>-0.30000000000000004</v>
      </c>
      <c r="E5" s="8">
        <f t="shared" ref="E5:E22" si="2">$E$2/4</f>
        <v>1.4999999999999999E-2</v>
      </c>
      <c r="F5" s="11" t="e">
        <f>NA()</f>
        <v>#N/A</v>
      </c>
      <c r="G5" s="3"/>
      <c r="H5" s="3"/>
      <c r="I5" s="3"/>
      <c r="J5" s="3"/>
      <c r="K5" s="3"/>
      <c r="L5" s="3"/>
      <c r="M5" s="3"/>
      <c r="N5" s="3"/>
      <c r="O5" s="3"/>
    </row>
    <row r="6" spans="1:15" x14ac:dyDescent="0.2">
      <c r="A6" s="3"/>
      <c r="B6" s="9">
        <f t="shared" ref="B6:B22" si="3">B5+10%</f>
        <v>-0.30000000000000004</v>
      </c>
      <c r="C6" s="9">
        <f t="shared" si="0"/>
        <v>-0.30000000000000004</v>
      </c>
      <c r="D6" s="9">
        <f t="shared" si="1"/>
        <v>-0.20000000000000004</v>
      </c>
      <c r="E6" s="8">
        <f t="shared" si="2"/>
        <v>1.4999999999999999E-2</v>
      </c>
      <c r="F6" s="11" t="e">
        <f>NA()</f>
        <v>#N/A</v>
      </c>
      <c r="G6" s="3"/>
      <c r="H6" s="3"/>
      <c r="I6" s="3"/>
      <c r="J6" s="3"/>
      <c r="K6" s="3"/>
      <c r="L6" s="3"/>
      <c r="M6" s="3"/>
      <c r="N6" s="3"/>
      <c r="O6" s="3"/>
    </row>
    <row r="7" spans="1:15" x14ac:dyDescent="0.2">
      <c r="A7" s="3"/>
      <c r="B7" s="9">
        <f t="shared" si="3"/>
        <v>-0.20000000000000004</v>
      </c>
      <c r="C7" s="9">
        <f t="shared" si="0"/>
        <v>-0.20000000000000004</v>
      </c>
      <c r="D7" s="9">
        <f t="shared" si="1"/>
        <v>-0.10000000000000003</v>
      </c>
      <c r="E7" s="8">
        <f t="shared" si="2"/>
        <v>1.4999999999999999E-2</v>
      </c>
      <c r="F7" s="11" t="e">
        <f>NA()</f>
        <v>#N/A</v>
      </c>
      <c r="G7" s="3"/>
      <c r="H7" s="3"/>
      <c r="I7" s="3"/>
      <c r="J7" s="3"/>
      <c r="K7" s="3"/>
      <c r="L7" s="3"/>
      <c r="M7" s="3"/>
      <c r="N7" s="3"/>
      <c r="O7" s="3"/>
    </row>
    <row r="8" spans="1:15" x14ac:dyDescent="0.2">
      <c r="A8" s="3"/>
      <c r="B8" s="9">
        <f t="shared" si="3"/>
        <v>-0.10000000000000003</v>
      </c>
      <c r="C8" s="9">
        <f t="shared" si="0"/>
        <v>-0.10000000000000003</v>
      </c>
      <c r="D8" s="9">
        <f t="shared" si="1"/>
        <v>0</v>
      </c>
      <c r="E8" s="8">
        <f t="shared" si="2"/>
        <v>1.4999999999999999E-2</v>
      </c>
      <c r="F8" s="11" t="e">
        <f>NA()</f>
        <v>#N/A</v>
      </c>
      <c r="G8" s="3"/>
      <c r="H8" s="3"/>
      <c r="I8" s="3"/>
      <c r="J8" s="3"/>
      <c r="K8" s="3"/>
      <c r="L8" s="3"/>
      <c r="M8" s="3"/>
      <c r="N8" s="3"/>
      <c r="O8" s="3"/>
    </row>
    <row r="9" spans="1:15" x14ac:dyDescent="0.2">
      <c r="A9" s="3"/>
      <c r="B9" s="9">
        <f t="shared" si="3"/>
        <v>0</v>
      </c>
      <c r="C9" s="9">
        <f t="shared" si="0"/>
        <v>0</v>
      </c>
      <c r="D9" s="9">
        <f t="shared" si="1"/>
        <v>0</v>
      </c>
      <c r="E9" s="8">
        <f t="shared" si="2"/>
        <v>1.4999999999999999E-2</v>
      </c>
      <c r="F9" s="11">
        <v>0.12</v>
      </c>
      <c r="G9" s="3"/>
      <c r="H9" s="3"/>
      <c r="I9" s="3"/>
      <c r="J9" s="3"/>
      <c r="K9" s="3"/>
      <c r="L9" s="3"/>
      <c r="M9" s="3"/>
      <c r="N9" s="3"/>
      <c r="O9" s="3"/>
    </row>
    <row r="10" spans="1:15" x14ac:dyDescent="0.2">
      <c r="A10" s="3"/>
      <c r="B10" s="9">
        <f t="shared" si="3"/>
        <v>0.1</v>
      </c>
      <c r="C10" s="9">
        <f t="shared" si="0"/>
        <v>0.1</v>
      </c>
      <c r="D10" s="9" t="e">
        <f>NA()</f>
        <v>#N/A</v>
      </c>
      <c r="E10" s="8">
        <f t="shared" si="2"/>
        <v>1.4999999999999999E-2</v>
      </c>
      <c r="F10" s="11">
        <v>0.12</v>
      </c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">
      <c r="A11" s="3"/>
      <c r="B11" s="9">
        <f t="shared" si="3"/>
        <v>0.2</v>
      </c>
      <c r="C11" s="9">
        <f t="shared" si="0"/>
        <v>0.2</v>
      </c>
      <c r="D11" s="9" t="e">
        <f>NA()</f>
        <v>#N/A</v>
      </c>
      <c r="E11" s="8">
        <f t="shared" si="2"/>
        <v>1.4999999999999999E-2</v>
      </c>
      <c r="F11" s="11">
        <v>0.12</v>
      </c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A12" s="3"/>
      <c r="B12" s="9">
        <f t="shared" si="3"/>
        <v>0.30000000000000004</v>
      </c>
      <c r="C12" s="9">
        <f t="shared" si="0"/>
        <v>0.30000000000000004</v>
      </c>
      <c r="D12" s="9" t="e">
        <f>NA()</f>
        <v>#N/A</v>
      </c>
      <c r="E12" s="8">
        <f t="shared" si="2"/>
        <v>1.4999999999999999E-2</v>
      </c>
      <c r="F12" s="11">
        <v>0.12</v>
      </c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">
      <c r="A13" s="3"/>
      <c r="B13" s="9">
        <f t="shared" si="3"/>
        <v>0.4</v>
      </c>
      <c r="C13" s="9">
        <f t="shared" si="0"/>
        <v>0.4</v>
      </c>
      <c r="D13" s="9" t="e">
        <f>NA()</f>
        <v>#N/A</v>
      </c>
      <c r="E13" s="8">
        <f t="shared" si="2"/>
        <v>1.4999999999999999E-2</v>
      </c>
      <c r="F13" s="11">
        <v>0.12</v>
      </c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">
      <c r="A14" s="3"/>
      <c r="B14" s="9">
        <f t="shared" si="3"/>
        <v>0.5</v>
      </c>
      <c r="C14" s="9">
        <f t="shared" si="0"/>
        <v>0.5</v>
      </c>
      <c r="D14" s="9" t="e">
        <f>NA()</f>
        <v>#N/A</v>
      </c>
      <c r="E14" s="8">
        <f t="shared" si="2"/>
        <v>1.4999999999999999E-2</v>
      </c>
      <c r="F14" s="11">
        <v>0.12</v>
      </c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3"/>
      <c r="B15" s="9">
        <f t="shared" si="3"/>
        <v>0.6</v>
      </c>
      <c r="C15" s="9">
        <f t="shared" si="0"/>
        <v>0.6</v>
      </c>
      <c r="D15" s="9" t="e">
        <f>NA()</f>
        <v>#N/A</v>
      </c>
      <c r="E15" s="8">
        <f t="shared" si="2"/>
        <v>1.4999999999999999E-2</v>
      </c>
      <c r="F15" s="11">
        <v>0.12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3"/>
      <c r="B16" s="9">
        <f t="shared" si="3"/>
        <v>0.7</v>
      </c>
      <c r="C16" s="9">
        <f t="shared" si="0"/>
        <v>0.7</v>
      </c>
      <c r="D16" s="9" t="e">
        <f>NA()</f>
        <v>#N/A</v>
      </c>
      <c r="E16" s="8">
        <f t="shared" si="2"/>
        <v>1.4999999999999999E-2</v>
      </c>
      <c r="F16" s="11">
        <v>0.12</v>
      </c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/>
      <c r="B17" s="9">
        <f t="shared" si="3"/>
        <v>0.79999999999999993</v>
      </c>
      <c r="C17" s="9">
        <f t="shared" si="0"/>
        <v>0.79999999999999993</v>
      </c>
      <c r="D17" s="9" t="e">
        <f>NA()</f>
        <v>#N/A</v>
      </c>
      <c r="E17" s="8">
        <f t="shared" si="2"/>
        <v>1.4999999999999999E-2</v>
      </c>
      <c r="F17" s="11">
        <v>0.12</v>
      </c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/>
      <c r="B18" s="9">
        <f t="shared" si="3"/>
        <v>0.89999999999999991</v>
      </c>
      <c r="C18" s="9">
        <f t="shared" si="0"/>
        <v>0.89999999999999991</v>
      </c>
      <c r="D18" s="9" t="e">
        <f>NA()</f>
        <v>#N/A</v>
      </c>
      <c r="E18" s="8">
        <f t="shared" si="2"/>
        <v>1.4999999999999999E-2</v>
      </c>
      <c r="F18" s="11">
        <v>0.12</v>
      </c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/>
      <c r="B19" s="9">
        <f t="shared" si="3"/>
        <v>0.99999999999999989</v>
      </c>
      <c r="C19" s="9">
        <f t="shared" si="0"/>
        <v>0.99999999999999989</v>
      </c>
      <c r="D19" s="9" t="e">
        <f>NA()</f>
        <v>#N/A</v>
      </c>
      <c r="E19" s="8">
        <f t="shared" si="2"/>
        <v>1.4999999999999999E-2</v>
      </c>
      <c r="F19" s="11">
        <v>0.12</v>
      </c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/>
      <c r="B20" s="9">
        <f t="shared" si="3"/>
        <v>1.0999999999999999</v>
      </c>
      <c r="C20" s="9">
        <f t="shared" si="0"/>
        <v>1.0999999999999999</v>
      </c>
      <c r="D20" s="9" t="e">
        <f>NA()</f>
        <v>#N/A</v>
      </c>
      <c r="E20" s="8">
        <f t="shared" si="2"/>
        <v>1.4999999999999999E-2</v>
      </c>
      <c r="F20" s="11">
        <v>0.12</v>
      </c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/>
      <c r="B21" s="9">
        <f t="shared" si="3"/>
        <v>1.2</v>
      </c>
      <c r="C21" s="9">
        <f t="shared" si="0"/>
        <v>1.2</v>
      </c>
      <c r="D21" s="9" t="e">
        <f>NA()</f>
        <v>#N/A</v>
      </c>
      <c r="E21" s="8">
        <f t="shared" si="2"/>
        <v>1.4999999999999999E-2</v>
      </c>
      <c r="F21" s="11">
        <v>0.12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/>
      <c r="B22" s="9">
        <f t="shared" si="3"/>
        <v>1.3</v>
      </c>
      <c r="C22" s="9">
        <f t="shared" si="0"/>
        <v>1.3</v>
      </c>
      <c r="D22" s="9" t="e">
        <f>NA()</f>
        <v>#N/A</v>
      </c>
      <c r="E22" s="8">
        <f t="shared" si="2"/>
        <v>1.4999999999999999E-2</v>
      </c>
      <c r="F22" s="11">
        <v>0.12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/>
      <c r="B23" s="8"/>
      <c r="C23" s="10"/>
      <c r="D23" s="10"/>
      <c r="E23" s="10"/>
      <c r="F23" s="10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8"/>
      <c r="C24" s="10"/>
      <c r="D24" s="10"/>
      <c r="E24" s="10"/>
      <c r="F24" s="10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/>
      <c r="B25" s="8"/>
      <c r="C25" s="10"/>
      <c r="D25" s="10"/>
      <c r="E25" s="10"/>
      <c r="F25" s="10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/>
      <c r="B26" s="8"/>
      <c r="C26" s="10"/>
      <c r="D26" s="10"/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/>
      <c r="B27" s="8"/>
      <c r="C27" s="10"/>
      <c r="D27" s="10"/>
      <c r="E27" s="10"/>
      <c r="F27" s="10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/>
      <c r="B28" s="8"/>
      <c r="C28" s="10"/>
      <c r="D28" s="10"/>
      <c r="E28" s="10"/>
      <c r="F28" s="10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/>
      <c r="B29" s="8"/>
      <c r="C29" s="10"/>
      <c r="D29" s="10"/>
      <c r="E29" s="10"/>
      <c r="F29" s="10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/>
      <c r="B30" s="8"/>
      <c r="C30" s="10"/>
      <c r="D30" s="10"/>
      <c r="E30" s="10"/>
      <c r="F30" s="10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/>
      <c r="B31" s="8"/>
      <c r="C31" s="10"/>
      <c r="D31" s="10"/>
      <c r="E31" s="10"/>
      <c r="F31" s="10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/>
      <c r="B32" s="8"/>
      <c r="C32" s="10"/>
      <c r="D32" s="10"/>
      <c r="E32" s="10"/>
      <c r="F32" s="10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/>
      <c r="B33" s="8"/>
      <c r="C33" s="10"/>
      <c r="D33" s="10"/>
      <c r="E33" s="10"/>
      <c r="F33" s="10"/>
      <c r="G33" s="3"/>
      <c r="H33" s="3"/>
      <c r="I33" s="3"/>
      <c r="J33" s="3"/>
      <c r="K33" s="3"/>
      <c r="L33" s="3"/>
      <c r="M33" s="3"/>
      <c r="N33" s="3"/>
      <c r="O33" s="3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51BC-5EB5-7848-AD22-C7B78E8C3E94}">
  <dimension ref="A1:R60"/>
  <sheetViews>
    <sheetView zoomScale="130" zoomScaleNormal="130" workbookViewId="0">
      <selection activeCell="C39" sqref="C39"/>
    </sheetView>
  </sheetViews>
  <sheetFormatPr baseColWidth="10" defaultRowHeight="16" x14ac:dyDescent="0.2"/>
  <cols>
    <col min="3" max="3" width="10.83203125" style="5"/>
    <col min="4" max="5" width="10.83203125" style="6"/>
  </cols>
  <sheetData>
    <row r="1" spans="1:18" x14ac:dyDescent="0.2">
      <c r="A1" s="3"/>
      <c r="B1" s="3"/>
      <c r="C1" s="10"/>
      <c r="D1" s="9"/>
      <c r="E1" s="9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">
      <c r="A2" s="3"/>
      <c r="B2" s="3"/>
      <c r="C2" s="10"/>
      <c r="D2" s="9"/>
      <c r="E2" s="9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">
      <c r="A3" s="3"/>
      <c r="B3" s="3"/>
      <c r="C3" s="10"/>
      <c r="D3" s="9"/>
      <c r="E3" s="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">
      <c r="A4" s="3"/>
      <c r="B4" s="3"/>
      <c r="C4" s="20"/>
      <c r="D4" s="21" t="s">
        <v>8</v>
      </c>
      <c r="E4" s="21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">
      <c r="A5" s="3"/>
      <c r="B5" s="3"/>
      <c r="C5" s="10">
        <v>0</v>
      </c>
      <c r="D5" s="9">
        <v>-0.50888721532473202</v>
      </c>
      <c r="E5" s="9">
        <v>-0.46888721532473199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">
      <c r="A6" s="3"/>
      <c r="B6" s="3"/>
      <c r="C6" s="10">
        <v>0.01</v>
      </c>
      <c r="D6" s="9">
        <v>-0.31083800629970598</v>
      </c>
      <c r="E6" s="9">
        <v>-0.20498028851719499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">
      <c r="A7" s="3"/>
      <c r="B7" s="3"/>
      <c r="C7" s="10">
        <v>0.1</v>
      </c>
      <c r="D7" s="9">
        <v>-0.104863820260636</v>
      </c>
      <c r="E7" s="9">
        <v>0.04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">
      <c r="A8" s="3"/>
      <c r="B8" s="3"/>
      <c r="C8" s="10">
        <v>0.5</v>
      </c>
      <c r="D8" s="9">
        <v>0.22315370837374601</v>
      </c>
      <c r="E8" s="9">
        <v>0.04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">
      <c r="A9" s="3"/>
      <c r="B9" s="3"/>
      <c r="C9" s="10">
        <v>0.9</v>
      </c>
      <c r="D9" s="9">
        <v>0.65276089522143299</v>
      </c>
      <c r="E9" s="9">
        <v>0.12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">
      <c r="A10" s="3"/>
      <c r="B10" s="3"/>
      <c r="C10" s="10">
        <v>0.99</v>
      </c>
      <c r="D10" s="9">
        <v>1.02339490880311</v>
      </c>
      <c r="E10" s="9">
        <v>0.19999999999999901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">
      <c r="A11" s="3"/>
      <c r="B11" s="3"/>
      <c r="C11" s="20">
        <v>1</v>
      </c>
      <c r="D11" s="21">
        <v>1.6057952550341399</v>
      </c>
      <c r="E11" s="21">
        <v>0.23999999999999899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A12" s="3"/>
      <c r="B12" s="3"/>
      <c r="C12" s="10"/>
      <c r="D12" s="9"/>
      <c r="E12" s="9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">
      <c r="A13" s="3"/>
      <c r="B13" s="3"/>
      <c r="C13" s="10"/>
      <c r="D13" s="9"/>
      <c r="E13" s="9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">
      <c r="A14" s="3"/>
      <c r="B14" s="3"/>
      <c r="C14" s="10"/>
      <c r="D14" s="9">
        <v>-0.21</v>
      </c>
      <c r="E14" s="9">
        <v>-0.2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">
      <c r="A15" s="3"/>
      <c r="B15" s="3"/>
      <c r="C15" s="10"/>
      <c r="D15" s="9">
        <v>-0.1</v>
      </c>
      <c r="E15" s="9">
        <v>0.04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">
      <c r="A16" s="3"/>
      <c r="B16" s="3"/>
      <c r="C16" s="10"/>
      <c r="D16" s="9">
        <f>D9</f>
        <v>0.65276089522143299</v>
      </c>
      <c r="E16" s="9">
        <v>0.08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">
      <c r="A17" s="3"/>
      <c r="B17" s="3"/>
      <c r="C17" s="10"/>
      <c r="D17" s="9">
        <f>D10-D9</f>
        <v>0.37063401358167702</v>
      </c>
      <c r="E17" s="9">
        <v>0.08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">
      <c r="A18" s="3"/>
      <c r="B18" s="3"/>
      <c r="C18" s="10"/>
      <c r="D18" s="9">
        <f>D8</f>
        <v>0.22315370837374601</v>
      </c>
      <c r="E18" s="9">
        <f>E8</f>
        <v>0.04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">
      <c r="A19" s="3"/>
      <c r="B19" s="3"/>
      <c r="C19" s="10"/>
      <c r="D19" s="9"/>
      <c r="E19" s="9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">
      <c r="A20" s="3"/>
      <c r="B20" s="3"/>
      <c r="C20" s="10" t="s">
        <v>22</v>
      </c>
      <c r="D20" s="9" t="s">
        <v>23</v>
      </c>
      <c r="E20" s="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">
      <c r="A21" s="3"/>
      <c r="B21" s="23">
        <v>0</v>
      </c>
      <c r="C21" s="24">
        <v>-0.47004560202419599</v>
      </c>
      <c r="D21" s="25">
        <v>-0.27504560202419598</v>
      </c>
      <c r="E21" s="9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">
      <c r="A22" s="3"/>
      <c r="B22" s="26">
        <v>0.01</v>
      </c>
      <c r="C22" s="27">
        <v>-0.29020909227599601</v>
      </c>
      <c r="D22" s="28">
        <v>-5.9306288285077301E-2</v>
      </c>
      <c r="E22" s="9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">
      <c r="A23" s="3"/>
      <c r="B23" s="26">
        <v>0.1</v>
      </c>
      <c r="C23" s="27">
        <v>-0.122555618433192</v>
      </c>
      <c r="D23" s="28">
        <v>4.4999999999999998E-2</v>
      </c>
      <c r="E23" s="9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">
      <c r="A24" s="3"/>
      <c r="B24" s="26">
        <v>0.5</v>
      </c>
      <c r="C24" s="27">
        <v>0.15163172143829001</v>
      </c>
      <c r="D24" s="28">
        <v>4.4999999999999998E-2</v>
      </c>
      <c r="E24" s="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">
      <c r="A25" s="3"/>
      <c r="B25" s="26">
        <v>0.9</v>
      </c>
      <c r="C25" s="27">
        <v>0.46631383264606702</v>
      </c>
      <c r="D25" s="28">
        <v>0.13499999999999901</v>
      </c>
      <c r="E25" s="9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">
      <c r="A26" s="3"/>
      <c r="B26" s="29">
        <v>0.99</v>
      </c>
      <c r="C26" s="21">
        <v>0.71257505309214697</v>
      </c>
      <c r="D26" s="30">
        <v>0.17999999999999899</v>
      </c>
      <c r="E26" s="9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">
      <c r="A27" s="3"/>
      <c r="B27" s="3">
        <v>1</v>
      </c>
      <c r="C27" s="9">
        <v>1.1441392740140699</v>
      </c>
      <c r="D27" s="22">
        <v>0.17999999999999899</v>
      </c>
      <c r="E27" s="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">
      <c r="A28" s="3"/>
      <c r="B28" s="3"/>
      <c r="C28" s="10"/>
      <c r="D28" s="9"/>
      <c r="E28" s="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">
      <c r="A29" s="3"/>
      <c r="B29" s="3"/>
      <c r="C29" s="10" t="s">
        <v>24</v>
      </c>
      <c r="D29" s="9">
        <f>C21-C22</f>
        <v>-0.17983650974819998</v>
      </c>
      <c r="E29" s="9">
        <v>-0.22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2">
      <c r="A30" s="3"/>
      <c r="B30" s="3"/>
      <c r="C30" s="10" t="s">
        <v>28</v>
      </c>
      <c r="D30" s="9">
        <f>C22-C23</f>
        <v>-0.16765347384280399</v>
      </c>
      <c r="E30" s="9">
        <v>-0.06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">
      <c r="A31" s="3"/>
      <c r="B31" s="3"/>
      <c r="C31" s="10" t="s">
        <v>25</v>
      </c>
      <c r="D31" s="9">
        <v>-0.12</v>
      </c>
      <c r="E31" s="9">
        <v>0.05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2">
      <c r="A32" s="3"/>
      <c r="B32" s="3"/>
      <c r="C32" s="10" t="s">
        <v>26</v>
      </c>
      <c r="D32" s="9">
        <f>C25</f>
        <v>0.46631383264606702</v>
      </c>
      <c r="E32" s="9">
        <v>0.08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">
      <c r="A33" s="3"/>
      <c r="B33" s="3"/>
      <c r="C33" s="10" t="s">
        <v>27</v>
      </c>
      <c r="D33" s="9">
        <f>C26-C25</f>
        <v>0.24626122044607995</v>
      </c>
      <c r="E33" s="9">
        <v>0.05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2">
      <c r="A34" s="3"/>
      <c r="B34" s="3"/>
      <c r="C34" s="10"/>
      <c r="D34" s="9"/>
      <c r="E34" s="9"/>
      <c r="F34" s="3"/>
      <c r="G34" s="3"/>
      <c r="H34" s="3"/>
      <c r="I34" s="3"/>
      <c r="J34" s="3"/>
      <c r="K34" s="3"/>
      <c r="L34" s="3"/>
      <c r="M34" s="3"/>
    </row>
    <row r="35" spans="1:18" x14ac:dyDescent="0.2">
      <c r="A35" s="3"/>
      <c r="B35" s="3"/>
      <c r="C35" s="10"/>
      <c r="D35" s="9"/>
      <c r="E35" s="9"/>
      <c r="F35" s="3"/>
      <c r="G35" s="3"/>
      <c r="H35" s="3"/>
      <c r="I35" s="3"/>
      <c r="J35" s="3"/>
      <c r="K35" s="3"/>
      <c r="L35" s="3"/>
      <c r="M35" s="3"/>
    </row>
    <row r="36" spans="1:18" x14ac:dyDescent="0.2">
      <c r="A36" s="3"/>
      <c r="B36" s="3"/>
      <c r="C36" s="10"/>
      <c r="D36" s="9"/>
      <c r="E36" s="9"/>
      <c r="F36" s="3"/>
      <c r="G36" s="3"/>
      <c r="H36" s="3"/>
      <c r="I36" s="3"/>
      <c r="J36" s="3"/>
      <c r="K36" s="3"/>
      <c r="L36" s="3"/>
      <c r="M36" s="3"/>
    </row>
    <row r="37" spans="1:18" x14ac:dyDescent="0.2">
      <c r="A37" s="3"/>
      <c r="B37" s="3" t="s">
        <v>29</v>
      </c>
      <c r="C37" s="11">
        <v>0.02</v>
      </c>
      <c r="D37" s="9"/>
      <c r="E37" s="9"/>
      <c r="F37" s="3"/>
      <c r="G37" s="3"/>
      <c r="H37" s="3"/>
      <c r="I37" s="3"/>
      <c r="J37" s="3"/>
      <c r="K37" s="3"/>
      <c r="L37" s="3"/>
      <c r="M37" s="3"/>
    </row>
    <row r="38" spans="1:18" x14ac:dyDescent="0.2">
      <c r="A38" s="3"/>
      <c r="B38" s="3"/>
      <c r="C38" s="11">
        <v>0.26</v>
      </c>
      <c r="D38" s="9"/>
      <c r="E38" s="9"/>
      <c r="F38" s="3"/>
      <c r="G38" s="3"/>
      <c r="H38" s="3"/>
      <c r="I38" s="3"/>
      <c r="J38" s="3"/>
      <c r="K38" s="3"/>
      <c r="L38" s="3"/>
      <c r="M38" s="3"/>
    </row>
    <row r="39" spans="1:18" x14ac:dyDescent="0.2">
      <c r="A39" s="3"/>
      <c r="B39" s="3"/>
      <c r="C39" s="10"/>
      <c r="D39" s="9"/>
      <c r="E39" s="9"/>
      <c r="F39" s="3"/>
      <c r="G39" s="3"/>
      <c r="H39" s="3"/>
      <c r="I39" s="3"/>
      <c r="J39" s="3"/>
      <c r="K39" s="3"/>
      <c r="L39" s="3"/>
      <c r="M39" s="3"/>
    </row>
    <row r="40" spans="1:18" x14ac:dyDescent="0.2">
      <c r="A40" s="3"/>
      <c r="B40" s="3"/>
      <c r="C40" s="10"/>
      <c r="D40" s="9"/>
      <c r="E40" s="9"/>
      <c r="F40" s="3"/>
      <c r="G40" s="3"/>
      <c r="H40" s="3"/>
      <c r="I40" s="3"/>
      <c r="J40" s="3"/>
      <c r="K40" s="3"/>
      <c r="L40" s="3"/>
      <c r="M40" s="3"/>
    </row>
    <row r="41" spans="1:18" x14ac:dyDescent="0.2">
      <c r="A41" s="3"/>
      <c r="B41" s="3"/>
      <c r="C41" s="10"/>
      <c r="D41" s="9"/>
      <c r="E41" s="9"/>
      <c r="F41" s="3"/>
      <c r="G41" s="3"/>
      <c r="H41" s="3"/>
      <c r="I41" s="3"/>
      <c r="J41" s="3"/>
      <c r="K41" s="3"/>
      <c r="L41" s="3"/>
      <c r="M41" s="3"/>
    </row>
    <row r="42" spans="1:18" x14ac:dyDescent="0.2">
      <c r="A42" s="3"/>
      <c r="B42" s="3"/>
      <c r="C42" s="10"/>
      <c r="D42" s="9"/>
      <c r="E42" s="9"/>
      <c r="F42" s="3"/>
      <c r="G42" s="3"/>
      <c r="H42" s="3"/>
      <c r="I42" s="3"/>
      <c r="J42" s="3"/>
      <c r="K42" s="3"/>
      <c r="L42" s="3"/>
      <c r="M42" s="3"/>
    </row>
    <row r="43" spans="1:18" x14ac:dyDescent="0.2">
      <c r="A43" s="3"/>
      <c r="B43" s="3"/>
      <c r="C43" s="10"/>
      <c r="D43" s="9"/>
      <c r="E43" s="9"/>
      <c r="F43" s="3"/>
      <c r="G43" s="3"/>
      <c r="H43" s="3"/>
      <c r="I43" s="3"/>
      <c r="J43" s="3"/>
      <c r="K43" s="3"/>
      <c r="L43" s="3"/>
      <c r="M43" s="3"/>
    </row>
    <row r="44" spans="1:18" x14ac:dyDescent="0.2">
      <c r="A44" s="3"/>
      <c r="B44" s="3"/>
      <c r="C44" s="10"/>
      <c r="D44" s="9"/>
      <c r="E44" s="9"/>
      <c r="F44" s="3"/>
      <c r="G44" s="3"/>
      <c r="H44" s="3"/>
      <c r="I44" s="3"/>
      <c r="J44" s="3"/>
      <c r="K44" s="3"/>
      <c r="L44" s="3"/>
      <c r="M44" s="3"/>
    </row>
    <row r="45" spans="1:18" x14ac:dyDescent="0.2">
      <c r="A45" s="3"/>
      <c r="B45" s="3"/>
      <c r="C45" s="10"/>
      <c r="D45" s="9"/>
      <c r="E45" s="9"/>
      <c r="F45" s="3"/>
      <c r="G45" s="3"/>
      <c r="H45" s="3"/>
      <c r="I45" s="3"/>
      <c r="J45" s="3"/>
      <c r="K45" s="3"/>
      <c r="L45" s="3"/>
      <c r="M45" s="3"/>
    </row>
    <row r="46" spans="1:18" x14ac:dyDescent="0.2">
      <c r="A46" s="3"/>
      <c r="B46" s="3"/>
      <c r="C46" s="10"/>
      <c r="D46" s="9"/>
      <c r="E46" s="9"/>
      <c r="F46" s="3"/>
      <c r="G46" s="3"/>
      <c r="H46" s="3"/>
      <c r="I46" s="3"/>
      <c r="J46" s="3"/>
      <c r="K46" s="3"/>
      <c r="L46" s="3"/>
      <c r="M46" s="3"/>
    </row>
    <row r="47" spans="1:18" x14ac:dyDescent="0.2">
      <c r="A47" s="3"/>
      <c r="B47" s="3"/>
      <c r="C47" s="10"/>
      <c r="D47" s="9"/>
      <c r="E47" s="9"/>
      <c r="F47" s="3"/>
      <c r="G47" s="3"/>
      <c r="H47" s="3"/>
      <c r="I47" s="3"/>
      <c r="J47" s="3"/>
      <c r="K47" s="3"/>
      <c r="L47" s="3"/>
      <c r="M47" s="3"/>
    </row>
    <row r="48" spans="1:18" x14ac:dyDescent="0.2">
      <c r="A48" s="3"/>
      <c r="B48" s="3"/>
      <c r="C48" s="10"/>
      <c r="D48" s="9"/>
      <c r="E48" s="9"/>
      <c r="F48" s="3"/>
      <c r="G48" s="3"/>
      <c r="H48" s="3"/>
      <c r="I48" s="3"/>
      <c r="J48" s="3"/>
      <c r="K48" s="3"/>
      <c r="L48" s="3"/>
      <c r="M48" s="3"/>
    </row>
    <row r="49" spans="1:13" x14ac:dyDescent="0.2">
      <c r="A49" s="3"/>
      <c r="B49" s="3"/>
      <c r="C49" s="10"/>
      <c r="D49" s="9"/>
      <c r="E49" s="9"/>
      <c r="F49" s="3"/>
      <c r="G49" s="3"/>
      <c r="H49" s="3"/>
      <c r="I49" s="3"/>
      <c r="J49" s="3"/>
      <c r="K49" s="3"/>
      <c r="L49" s="3"/>
      <c r="M49" s="3"/>
    </row>
    <row r="50" spans="1:13" x14ac:dyDescent="0.2">
      <c r="A50" s="3"/>
      <c r="B50" s="3"/>
      <c r="C50" s="10"/>
      <c r="D50" s="9"/>
      <c r="E50" s="9"/>
      <c r="F50" s="3"/>
      <c r="G50" s="3"/>
      <c r="H50" s="3"/>
      <c r="I50" s="3"/>
      <c r="J50" s="3"/>
      <c r="K50" s="3"/>
      <c r="L50" s="3"/>
      <c r="M50" s="3"/>
    </row>
    <row r="51" spans="1:13" x14ac:dyDescent="0.2">
      <c r="A51" s="3"/>
      <c r="B51" s="3"/>
      <c r="C51" s="10"/>
      <c r="D51" s="9"/>
      <c r="E51" s="9"/>
      <c r="F51" s="3"/>
      <c r="G51" s="3"/>
      <c r="H51" s="3"/>
      <c r="I51" s="3"/>
      <c r="J51" s="3"/>
      <c r="K51" s="3"/>
      <c r="L51" s="3"/>
      <c r="M51" s="3"/>
    </row>
    <row r="52" spans="1:13" x14ac:dyDescent="0.2">
      <c r="A52" s="3"/>
      <c r="B52" s="3"/>
      <c r="C52" s="10"/>
      <c r="D52" s="9"/>
      <c r="E52" s="9"/>
      <c r="F52" s="3"/>
      <c r="G52" s="3"/>
      <c r="H52" s="3"/>
      <c r="I52" s="3"/>
      <c r="J52" s="3"/>
      <c r="K52" s="3"/>
      <c r="L52" s="3"/>
      <c r="M52" s="3"/>
    </row>
    <row r="53" spans="1:13" x14ac:dyDescent="0.2">
      <c r="A53" s="3"/>
      <c r="B53" s="3"/>
      <c r="C53" s="10"/>
      <c r="D53" s="9"/>
      <c r="E53" s="9"/>
      <c r="F53" s="3"/>
      <c r="G53" s="3"/>
      <c r="H53" s="3"/>
      <c r="I53" s="3"/>
      <c r="J53" s="3"/>
      <c r="K53" s="3"/>
      <c r="L53" s="3"/>
      <c r="M53" s="3"/>
    </row>
    <row r="54" spans="1:13" x14ac:dyDescent="0.2">
      <c r="A54" s="3"/>
      <c r="B54" s="3"/>
      <c r="C54" s="10"/>
      <c r="D54" s="9"/>
      <c r="E54" s="9"/>
      <c r="F54" s="3"/>
      <c r="G54" s="3"/>
      <c r="H54" s="3"/>
      <c r="I54" s="3"/>
      <c r="J54" s="3"/>
      <c r="K54" s="3"/>
      <c r="L54" s="3"/>
      <c r="M54" s="3"/>
    </row>
    <row r="55" spans="1:13" x14ac:dyDescent="0.2">
      <c r="A55" s="3"/>
      <c r="B55" s="3"/>
      <c r="C55" s="10"/>
      <c r="D55" s="9"/>
      <c r="E55" s="9"/>
      <c r="F55" s="3"/>
      <c r="G55" s="3"/>
      <c r="H55" s="3"/>
      <c r="I55" s="3"/>
      <c r="J55" s="3"/>
      <c r="K55" s="3"/>
      <c r="L55" s="3"/>
      <c r="M55" s="3"/>
    </row>
    <row r="56" spans="1:13" x14ac:dyDescent="0.2">
      <c r="A56" s="3"/>
      <c r="B56" s="3"/>
      <c r="C56" s="10"/>
      <c r="D56" s="9"/>
      <c r="E56" s="9"/>
      <c r="F56" s="3"/>
      <c r="G56" s="3"/>
      <c r="H56" s="3"/>
      <c r="I56" s="3"/>
      <c r="J56" s="3"/>
      <c r="K56" s="3"/>
      <c r="L56" s="3"/>
      <c r="M56" s="3"/>
    </row>
    <row r="57" spans="1:13" x14ac:dyDescent="0.2">
      <c r="A57" s="3"/>
      <c r="B57" s="3"/>
      <c r="C57" s="10"/>
      <c r="D57" s="9"/>
      <c r="E57" s="9"/>
      <c r="F57" s="3"/>
      <c r="G57" s="3"/>
      <c r="H57" s="3"/>
      <c r="I57" s="3"/>
      <c r="J57" s="3"/>
      <c r="K57" s="3"/>
      <c r="L57" s="3"/>
      <c r="M57" s="3"/>
    </row>
    <row r="58" spans="1:13" x14ac:dyDescent="0.2">
      <c r="A58" s="3"/>
      <c r="B58" s="3"/>
      <c r="C58" s="10"/>
      <c r="D58" s="9"/>
      <c r="E58" s="9"/>
      <c r="F58" s="3"/>
      <c r="G58" s="3"/>
      <c r="H58" s="3"/>
      <c r="I58" s="3"/>
      <c r="J58" s="3"/>
      <c r="K58" s="3"/>
      <c r="L58" s="3"/>
      <c r="M58" s="3"/>
    </row>
    <row r="59" spans="1:13" x14ac:dyDescent="0.2">
      <c r="A59" s="3"/>
      <c r="B59" s="3"/>
      <c r="C59" s="10"/>
      <c r="D59" s="9"/>
      <c r="E59" s="9"/>
      <c r="F59" s="3"/>
      <c r="G59" s="3"/>
      <c r="H59" s="3"/>
      <c r="I59" s="3"/>
      <c r="J59" s="3"/>
      <c r="K59" s="3"/>
      <c r="L59" s="3"/>
      <c r="M59" s="3"/>
    </row>
    <row r="60" spans="1:13" x14ac:dyDescent="0.2">
      <c r="A60" s="3"/>
      <c r="B60" s="3"/>
      <c r="C60" s="10"/>
      <c r="D60" s="9"/>
      <c r="E60" s="9"/>
      <c r="F60" s="3"/>
      <c r="G60" s="3"/>
      <c r="H60" s="3"/>
      <c r="I60" s="3"/>
      <c r="J60" s="3"/>
      <c r="K60" s="3"/>
      <c r="L60" s="3"/>
      <c r="M6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Autocallable</vt:lpstr>
      <vt:lpstr>Payoff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Barker</dc:creator>
  <cp:lastModifiedBy>Francis Barker</cp:lastModifiedBy>
  <dcterms:created xsi:type="dcterms:W3CDTF">2025-07-02T14:28:00Z</dcterms:created>
  <dcterms:modified xsi:type="dcterms:W3CDTF">2025-07-02T20:28:42Z</dcterms:modified>
</cp:coreProperties>
</file>