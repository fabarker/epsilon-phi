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3. Single Stock Analysis/"/>
    </mc:Choice>
  </mc:AlternateContent>
  <xr:revisionPtr revIDLastSave="0" documentId="13_ncr:1_{E2CCA4EE-A2FA-AC49-8572-16F9A959686C}" xr6:coauthVersionLast="47" xr6:coauthVersionMax="47" xr10:uidLastSave="{00000000-0000-0000-0000-000000000000}"/>
  <bookViews>
    <workbookView xWindow="0" yWindow="500" windowWidth="51200" windowHeight="26320" activeTab="1" xr2:uid="{00000000-000D-0000-FFFF-FFFF00000000}"/>
  </bookViews>
  <sheets>
    <sheet name="portfolios" sheetId="1" r:id="rId1"/>
    <sheet name="risk_dashboard" sheetId="2" r:id="rId2"/>
    <sheet name="assumptions" sheetId="3" r:id="rId3"/>
    <sheet name="ws_Current_Portfolio" sheetId="4" r:id="rId4"/>
    <sheet name="ws_Stage_1" sheetId="5" r:id="rId5"/>
    <sheet name="ws_Stage_2" sheetId="6" r:id="rId6"/>
    <sheet name="ws_Stage_3" sheetId="7" r:id="rId7"/>
    <sheet name="ws_Stage_4" sheetId="8" r:id="rId8"/>
    <sheet name="ws_Stage_5" sheetId="9" r:id="rId9"/>
    <sheet name="ws_Diversified_Portfoli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G37" i="1"/>
  <c r="H37" i="1"/>
  <c r="B37" i="1"/>
  <c r="H32" i="1"/>
  <c r="C38" i="1"/>
  <c r="D38" i="1"/>
  <c r="E38" i="1"/>
  <c r="F38" i="1"/>
  <c r="G38" i="1"/>
  <c r="H38" i="1"/>
  <c r="C39" i="1"/>
  <c r="D39" i="1"/>
  <c r="E39" i="1"/>
  <c r="F39" i="1"/>
  <c r="G39" i="1"/>
  <c r="H39" i="1"/>
  <c r="B39" i="1"/>
  <c r="B38" i="1"/>
</calcChain>
</file>

<file path=xl/sharedStrings.xml><?xml version="1.0" encoding="utf-8"?>
<sst xmlns="http://schemas.openxmlformats.org/spreadsheetml/2006/main" count="368" uniqueCount="91">
  <si>
    <t>Current Portfolio</t>
  </si>
  <si>
    <t>Stage 1</t>
  </si>
  <si>
    <t>Stage 2</t>
  </si>
  <si>
    <t>Stage 3</t>
  </si>
  <si>
    <t>Stage 4</t>
  </si>
  <si>
    <t>Stage 5</t>
  </si>
  <si>
    <t>Diversified Portfolio</t>
  </si>
  <si>
    <t>Investment Grade Fixed Income</t>
  </si>
  <si>
    <t xml:space="preserve">  US Dollar Debt</t>
  </si>
  <si>
    <t xml:space="preserve">  US Corporate Bonds</t>
  </si>
  <si>
    <t>Other Fixed Income</t>
  </si>
  <si>
    <t xml:space="preserve">  US High Yield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</si>
  <si>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</si>
  <si>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</si>
  <si>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</si>
  <si>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</si>
  <si>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</si>
  <si>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</si>
  <si>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</si>
  <si>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</si>
  <si>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</si>
  <si>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</si>
  <si>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</si>
  <si>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</si>
  <si>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</si>
  <si>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</si>
  <si>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</si>
  <si>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</si>
  <si>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Concentrated Equity Position</t>
  </si>
  <si>
    <t xml:space="preserve">  Intel Stock Proxy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</si>
  <si>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</si>
  <si>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</si>
  <si>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</si>
  <si>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</si>
  <si>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</si>
  <si>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</si>
  <si>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</si>
  <si>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</si>
  <si>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</si>
  <si>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</si>
  <si>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</si>
  <si>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</si>
  <si>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</si>
  <si>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</si>
  <si>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</si>
  <si>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</si>
  <si>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</si>
  <si>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</si>
  <si>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</si>
  <si>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</si>
  <si>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</si>
  <si>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</si>
  <si>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</si>
  <si>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</si>
  <si>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</si>
  <si>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</si>
  <si>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</si>
  <si>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</si>
  <si>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</si>
  <si>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</si>
  <si>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</si>
  <si>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</si>
  <si>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Corporate Bonds</t>
  </si>
  <si>
    <t xml:space="preserve">    US High Yield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</si>
  <si>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</si>
  <si>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</si>
  <si>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</si>
  <si>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</si>
  <si>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</si>
  <si>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</si>
  <si>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</si>
  <si>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</si>
  <si>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</si>
  <si>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</si>
  <si>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</si>
  <si>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</si>
  <si>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</si>
  <si>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</si>
  <si>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 xml:space="preserve">    Intel Stock Proxy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</si>
  <si>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</si>
  <si>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</si>
  <si>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</si>
  <si>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</si>
  <si>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</si>
  <si>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</si>
  <si>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</si>
  <si>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</si>
  <si>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-</t>
  </si>
  <si>
    <t>Implied Return</t>
  </si>
  <si>
    <t>Sharpe Ratio (LHS)</t>
  </si>
  <si>
    <t>Volatility (RHS)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</si>
</sst>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dotted">
        <color auto="1"/>
      </bottom>
      <diagonal/>
    </border>
    <border>
      <left/>
      <right/>
      <top style="thin">
        <color theme="0"/>
      </top>
      <bottom style="dotted">
        <color auto="1"/>
      </bottom>
      <diagonal/>
    </border>
    <border>
      <left/>
      <right style="thin">
        <color theme="0"/>
      </right>
      <top style="thin">
        <color theme="0"/>
      </top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dotted">
        <color rgb="FFA9A9A9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 style="dotted">
        <color rgb="FFA9A9A9"/>
      </top>
      <bottom/>
      <diagonal/>
    </border>
    <border>
      <left/>
      <right style="thin">
        <color theme="0" tint="-4.9989318521683403E-2"/>
      </right>
      <top style="dotted">
        <color rgb="FFA9A9A9"/>
      </top>
      <bottom/>
      <diagonal/>
    </border>
    <border>
      <left/>
      <right style="thin">
        <color theme="0" tint="-4.9989318521683403E-2"/>
      </right>
      <top/>
      <bottom style="dotted">
        <color rgb="FFA9A9A9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1">
    <xf numFmtId="0" fontId="0" fillId="0" borderId="0" xfId="0"/>
    <xf numFmtId="164" fontId="1" fillId="3" borderId="1" xfId="0" applyNumberFormat="1" applyFont="1" applyFill="1" applyBorder="1" applyAlignment="1">
      <alignment horizontal="right" vertical="center" indent="4"/>
    </xf>
    <xf numFmtId="165" fontId="1" fillId="2" borderId="1" xfId="0" applyNumberFormat="1" applyFont="1" applyFill="1" applyBorder="1" applyAlignment="1">
      <alignment horizontal="right" vertical="center" indent="4"/>
    </xf>
    <xf numFmtId="164" fontId="1" fillId="2" borderId="2" xfId="0" applyNumberFormat="1" applyFont="1" applyFill="1" applyBorder="1" applyAlignment="1">
      <alignment horizontal="right" indent="4"/>
    </xf>
    <xf numFmtId="0" fontId="2" fillId="2" borderId="1" xfId="0" applyFont="1" applyFill="1" applyBorder="1"/>
    <xf numFmtId="164" fontId="3" fillId="4" borderId="1" xfId="0" applyNumberFormat="1" applyFont="1" applyFill="1" applyBorder="1" applyAlignment="1">
      <alignment horizontal="right" vertical="center" indent="4"/>
    </xf>
    <xf numFmtId="2" fontId="3" fillId="4" borderId="1" xfId="0" applyNumberFormat="1" applyFont="1" applyFill="1" applyBorder="1" applyAlignment="1">
      <alignment horizontal="right" vertical="center" indent="4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horizontal="center" vertical="center" wrapText="1"/>
    </xf>
    <xf numFmtId="0" fontId="8" fillId="6" borderId="1" xfId="0" applyFont="1" applyFill="1" applyBorder="1"/>
    <xf numFmtId="0" fontId="8" fillId="6" borderId="1" xfId="0" applyFont="1" applyFill="1" applyBorder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164" fontId="9" fillId="6" borderId="1" xfId="0" applyNumberFormat="1" applyFont="1" applyFill="1" applyBorder="1" applyAlignment="1">
      <alignment horizontal="right"/>
    </xf>
    <xf numFmtId="164" fontId="7" fillId="6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left"/>
    </xf>
    <xf numFmtId="2" fontId="7" fillId="6" borderId="1" xfId="0" applyNumberFormat="1" applyFont="1" applyFill="1" applyBorder="1" applyAlignment="1">
      <alignment horizontal="center"/>
    </xf>
    <xf numFmtId="9" fontId="7" fillId="6" borderId="1" xfId="0" applyNumberFormat="1" applyFont="1" applyFill="1" applyBorder="1" applyAlignment="1">
      <alignment horizontal="center"/>
    </xf>
    <xf numFmtId="17" fontId="7" fillId="6" borderId="1" xfId="0" applyNumberFormat="1" applyFont="1" applyFill="1" applyBorder="1" applyAlignment="1">
      <alignment horizontal="center"/>
    </xf>
    <xf numFmtId="0" fontId="8" fillId="6" borderId="5" xfId="0" applyFont="1" applyFill="1" applyBorder="1"/>
    <xf numFmtId="164" fontId="8" fillId="6" borderId="5" xfId="0" applyNumberFormat="1" applyFont="1" applyFill="1" applyBorder="1" applyAlignment="1">
      <alignment horizontal="right"/>
    </xf>
    <xf numFmtId="164" fontId="8" fillId="6" borderId="5" xfId="0" applyNumberFormat="1" applyFont="1" applyFill="1" applyBorder="1" applyAlignment="1">
      <alignment horizontal="center"/>
    </xf>
    <xf numFmtId="164" fontId="11" fillId="6" borderId="5" xfId="0" applyNumberFormat="1" applyFont="1" applyFill="1" applyBorder="1" applyAlignment="1">
      <alignment horizontal="left"/>
    </xf>
    <xf numFmtId="2" fontId="8" fillId="6" borderId="5" xfId="0" applyNumberFormat="1" applyFont="1" applyFill="1" applyBorder="1" applyAlignment="1">
      <alignment horizontal="center"/>
    </xf>
    <xf numFmtId="9" fontId="8" fillId="6" borderId="5" xfId="0" applyNumberFormat="1" applyFont="1" applyFill="1" applyBorder="1" applyAlignment="1">
      <alignment horizontal="center"/>
    </xf>
    <xf numFmtId="17" fontId="8" fillId="6" borderId="5" xfId="0" applyNumberFormat="1" applyFont="1" applyFill="1" applyBorder="1" applyAlignment="1">
      <alignment horizontal="center"/>
    </xf>
    <xf numFmtId="0" fontId="7" fillId="6" borderId="4" xfId="0" applyFont="1" applyFill="1" applyBorder="1"/>
    <xf numFmtId="164" fontId="9" fillId="6" borderId="4" xfId="0" applyNumberFormat="1" applyFont="1" applyFill="1" applyBorder="1" applyAlignment="1">
      <alignment horizontal="right"/>
    </xf>
    <xf numFmtId="164" fontId="7" fillId="6" borderId="4" xfId="0" applyNumberFormat="1" applyFont="1" applyFill="1" applyBorder="1" applyAlignment="1">
      <alignment horizontal="center"/>
    </xf>
    <xf numFmtId="164" fontId="10" fillId="6" borderId="4" xfId="0" applyNumberFormat="1" applyFont="1" applyFill="1" applyBorder="1" applyAlignment="1">
      <alignment horizontal="left"/>
    </xf>
    <xf numFmtId="2" fontId="7" fillId="6" borderId="4" xfId="0" applyNumberFormat="1" applyFont="1" applyFill="1" applyBorder="1" applyAlignment="1">
      <alignment horizontal="center"/>
    </xf>
    <xf numFmtId="9" fontId="7" fillId="6" borderId="4" xfId="0" applyNumberFormat="1" applyFont="1" applyFill="1" applyBorder="1" applyAlignment="1">
      <alignment horizontal="center"/>
    </xf>
    <xf numFmtId="17" fontId="7" fillId="6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5" fillId="6" borderId="1" xfId="0" applyNumberFormat="1" applyFont="1" applyFill="1" applyBorder="1" applyAlignment="1">
      <alignment horizontal="center"/>
    </xf>
    <xf numFmtId="0" fontId="0" fillId="0" borderId="3" xfId="0" applyBorder="1"/>
    <xf numFmtId="2" fontId="5" fillId="6" borderId="1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vertical="center"/>
    </xf>
    <xf numFmtId="0" fontId="0" fillId="0" borderId="6" xfId="0" applyBorder="1"/>
    <xf numFmtId="0" fontId="7" fillId="6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164" fontId="1" fillId="3" borderId="11" xfId="0" applyNumberFormat="1" applyFont="1" applyFill="1" applyBorder="1" applyAlignment="1">
      <alignment horizontal="right" vertical="center" indent="4"/>
    </xf>
    <xf numFmtId="0" fontId="1" fillId="2" borderId="10" xfId="0" applyFont="1" applyFill="1" applyBorder="1" applyAlignment="1">
      <alignment horizontal="left" vertical="center"/>
    </xf>
    <xf numFmtId="165" fontId="1" fillId="2" borderId="11" xfId="0" applyNumberFormat="1" applyFont="1" applyFill="1" applyBorder="1" applyAlignment="1">
      <alignment horizontal="right" vertical="center" indent="4"/>
    </xf>
    <xf numFmtId="0" fontId="1" fillId="2" borderId="12" xfId="0" applyFont="1" applyFill="1" applyBorder="1"/>
    <xf numFmtId="164" fontId="1" fillId="2" borderId="13" xfId="0" applyNumberFormat="1" applyFont="1" applyFill="1" applyBorder="1" applyAlignment="1">
      <alignment horizontal="right" indent="4"/>
    </xf>
    <xf numFmtId="0" fontId="2" fillId="2" borderId="10" xfId="0" applyFont="1" applyFill="1" applyBorder="1"/>
    <xf numFmtId="0" fontId="2" fillId="2" borderId="11" xfId="0" applyFont="1" applyFill="1" applyBorder="1"/>
    <xf numFmtId="164" fontId="3" fillId="4" borderId="10" xfId="0" applyNumberFormat="1" applyFont="1" applyFill="1" applyBorder="1" applyAlignment="1">
      <alignment vertical="center"/>
    </xf>
    <xf numFmtId="164" fontId="3" fillId="4" borderId="11" xfId="0" applyNumberFormat="1" applyFont="1" applyFill="1" applyBorder="1" applyAlignment="1">
      <alignment horizontal="right" vertical="center" indent="4"/>
    </xf>
    <xf numFmtId="2" fontId="3" fillId="4" borderId="11" xfId="0" applyNumberFormat="1" applyFont="1" applyFill="1" applyBorder="1" applyAlignment="1">
      <alignment horizontal="right" vertical="center" indent="4"/>
    </xf>
    <xf numFmtId="164" fontId="3" fillId="4" borderId="14" xfId="0" applyNumberFormat="1" applyFont="1" applyFill="1" applyBorder="1" applyAlignment="1">
      <alignment vertical="center"/>
    </xf>
    <xf numFmtId="164" fontId="3" fillId="4" borderId="15" xfId="0" applyNumberFormat="1" applyFont="1" applyFill="1" applyBorder="1" applyAlignment="1">
      <alignment horizontal="right" vertical="center" indent="4"/>
    </xf>
    <xf numFmtId="164" fontId="3" fillId="4" borderId="16" xfId="0" applyNumberFormat="1" applyFont="1" applyFill="1" applyBorder="1" applyAlignment="1">
      <alignment horizontal="right" vertical="center" indent="4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7" borderId="0" xfId="0" applyFill="1"/>
    <xf numFmtId="9" fontId="0" fillId="0" borderId="0" xfId="1" applyFont="1"/>
    <xf numFmtId="164" fontId="5" fillId="6" borderId="17" xfId="0" applyNumberFormat="1" applyFont="1" applyFill="1" applyBorder="1" applyAlignment="1">
      <alignment horizontal="center"/>
    </xf>
    <xf numFmtId="0" fontId="4" fillId="5" borderId="18" xfId="0" applyFont="1" applyFill="1" applyBorder="1" applyAlignment="1">
      <alignment vertical="center"/>
    </xf>
    <xf numFmtId="0" fontId="4" fillId="5" borderId="19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5" fillId="6" borderId="21" xfId="0" applyFont="1" applyFill="1" applyBorder="1"/>
    <xf numFmtId="0" fontId="0" fillId="0" borderId="1" xfId="0" applyBorder="1"/>
    <xf numFmtId="0" fontId="0" fillId="0" borderId="22" xfId="0" applyBorder="1"/>
    <xf numFmtId="0" fontId="5" fillId="6" borderId="23" xfId="0" applyFont="1" applyFill="1" applyBorder="1"/>
    <xf numFmtId="164" fontId="5" fillId="6" borderId="3" xfId="0" applyNumberFormat="1" applyFont="1" applyFill="1" applyBorder="1" applyAlignment="1">
      <alignment horizontal="center"/>
    </xf>
    <xf numFmtId="0" fontId="0" fillId="0" borderId="24" xfId="0" applyBorder="1"/>
    <xf numFmtId="0" fontId="4" fillId="5" borderId="21" xfId="0" applyFont="1" applyFill="1" applyBorder="1" applyAlignment="1">
      <alignment vertical="center"/>
    </xf>
    <xf numFmtId="0" fontId="4" fillId="5" borderId="22" xfId="0" applyFont="1" applyFill="1" applyBorder="1" applyAlignment="1">
      <alignment horizontal="center" vertical="center"/>
    </xf>
    <xf numFmtId="0" fontId="6" fillId="6" borderId="23" xfId="0" applyFont="1" applyFill="1" applyBorder="1"/>
    <xf numFmtId="0" fontId="5" fillId="6" borderId="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left" indent="1"/>
    </xf>
    <xf numFmtId="164" fontId="5" fillId="6" borderId="22" xfId="0" applyNumberFormat="1" applyFont="1" applyFill="1" applyBorder="1" applyAlignment="1">
      <alignment horizontal="center"/>
    </xf>
    <xf numFmtId="164" fontId="5" fillId="6" borderId="22" xfId="0" applyNumberFormat="1" applyFont="1" applyFill="1" applyBorder="1" applyAlignment="1">
      <alignment horizontal="center"/>
    </xf>
    <xf numFmtId="164" fontId="5" fillId="6" borderId="25" xfId="0" applyNumberFormat="1" applyFont="1" applyFill="1" applyBorder="1" applyAlignment="1">
      <alignment horizontal="center"/>
    </xf>
    <xf numFmtId="0" fontId="5" fillId="6" borderId="26" xfId="0" applyFont="1" applyFill="1" applyBorder="1" applyAlignment="1">
      <alignment horizontal="left" indent="1"/>
    </xf>
    <xf numFmtId="164" fontId="5" fillId="6" borderId="27" xfId="0" applyNumberFormat="1" applyFont="1" applyFill="1" applyBorder="1" applyAlignment="1">
      <alignment horizontal="center"/>
    </xf>
    <xf numFmtId="164" fontId="5" fillId="6" borderId="28" xfId="0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portfolios!$A$39</c:f>
              <c:strCache>
                <c:ptCount val="1"/>
                <c:pt idx="0">
                  <c:v>Sharpe Ratio (LHS)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portfolios!$B$37:$H$37</c:f>
              <c:strCache>
                <c:ptCount val="7"/>
                <c:pt idx="0">
                  <c:v>Current Portfolio</c:v>
                </c:pt>
                <c:pt idx="1">
                  <c:v>Stage 1</c:v>
                </c:pt>
                <c:pt idx="2">
                  <c:v>Stage 2</c:v>
                </c:pt>
                <c:pt idx="3">
                  <c:v>Stage 3</c:v>
                </c:pt>
                <c:pt idx="4">
                  <c:v>Stage 4</c:v>
                </c:pt>
                <c:pt idx="5">
                  <c:v>Stage 5</c:v>
                </c:pt>
                <c:pt idx="6">
                  <c:v>Diversified Portfolio</c:v>
                </c:pt>
              </c:strCache>
            </c:strRef>
          </c:cat>
          <c:val>
            <c:numRef>
              <c:f>portfolios!$B$39:$H$39</c:f>
              <c:numCache>
                <c:formatCode>0.00</c:formatCode>
                <c:ptCount val="7"/>
                <c:pt idx="0">
                  <c:v>0.16346605152076499</c:v>
                </c:pt>
                <c:pt idx="1">
                  <c:v>0.17777472875906619</c:v>
                </c:pt>
                <c:pt idx="2">
                  <c:v>0.20544213007950371</c:v>
                </c:pt>
                <c:pt idx="3">
                  <c:v>0.25546214852690152</c:v>
                </c:pt>
                <c:pt idx="4">
                  <c:v>0.32069113754206768</c:v>
                </c:pt>
                <c:pt idx="5">
                  <c:v>0.40029898869580433</c:v>
                </c:pt>
                <c:pt idx="6">
                  <c:v>0.46413636396119312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0-7B4D-91B3-8093543A7CC0}"/>
            </c:ext>
          </c:extLst>
        </c:ser>
        <c:ser>
          <c:idx val="2"/>
          <c:order val="2"/>
          <c:tx>
            <c:strRef>
              <c:f>portfolios!$A$40</c:f>
              <c:strCache>
                <c:ptCount val="1"/>
                <c:pt idx="0">
                  <c:v>Implied Return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portfolios!$B$37:$H$37</c:f>
              <c:strCache>
                <c:ptCount val="7"/>
                <c:pt idx="0">
                  <c:v>Current Portfolio</c:v>
                </c:pt>
                <c:pt idx="1">
                  <c:v>Stage 1</c:v>
                </c:pt>
                <c:pt idx="2">
                  <c:v>Stage 2</c:v>
                </c:pt>
                <c:pt idx="3">
                  <c:v>Stage 3</c:v>
                </c:pt>
                <c:pt idx="4">
                  <c:v>Stage 4</c:v>
                </c:pt>
                <c:pt idx="5">
                  <c:v>Stage 5</c:v>
                </c:pt>
                <c:pt idx="6">
                  <c:v>Diversified Portfolio</c:v>
                </c:pt>
              </c:strCache>
            </c:strRef>
          </c:cat>
          <c:val>
            <c:numRef>
              <c:f>portfolios!$B$40:$H$40</c:f>
              <c:numCache>
                <c:formatCode>0%</c:formatCode>
                <c:ptCount val="7"/>
                <c:pt idx="0">
                  <c:v>0.49764320248685601</c:v>
                </c:pt>
                <c:pt idx="1">
                  <c:v>0.418509439515031</c:v>
                </c:pt>
                <c:pt idx="2">
                  <c:v>0.33882667672427502</c:v>
                </c:pt>
                <c:pt idx="3">
                  <c:v>0.273768522510416</c:v>
                </c:pt>
                <c:pt idx="4">
                  <c:v>0.20936198530427899</c:v>
                </c:pt>
                <c:pt idx="5">
                  <c:v>0.14495544809814201</c:v>
                </c:pt>
                <c:pt idx="6">
                  <c:v>8.0548910892004999E-2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0-7B4D-91B3-8093543A7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6199712"/>
        <c:axId val="1566186688"/>
      </c:barChart>
      <c:lineChart>
        <c:grouping val="standard"/>
        <c:varyColors val="0"/>
        <c:ser>
          <c:idx val="0"/>
          <c:order val="0"/>
          <c:tx>
            <c:strRef>
              <c:f>portfolios!$A$38</c:f>
              <c:strCache>
                <c:ptCount val="1"/>
                <c:pt idx="0">
                  <c:v>Volatility (RHS)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portfolios!$B$37:$H$37</c:f>
              <c:strCache>
                <c:ptCount val="7"/>
                <c:pt idx="0">
                  <c:v>Current Portfolio</c:v>
                </c:pt>
                <c:pt idx="1">
                  <c:v>Stage 1</c:v>
                </c:pt>
                <c:pt idx="2">
                  <c:v>Stage 2</c:v>
                </c:pt>
                <c:pt idx="3">
                  <c:v>Stage 3</c:v>
                </c:pt>
                <c:pt idx="4">
                  <c:v>Stage 4</c:v>
                </c:pt>
                <c:pt idx="5">
                  <c:v>Stage 5</c:v>
                </c:pt>
                <c:pt idx="6">
                  <c:v>Diversified Portfolio</c:v>
                </c:pt>
              </c:strCache>
            </c:strRef>
          </c:cat>
          <c:val>
            <c:numRef>
              <c:f>portfolios!$B$38:$H$38</c:f>
              <c:numCache>
                <c:formatCode>0.0%</c:formatCode>
                <c:ptCount val="7"/>
                <c:pt idx="0">
                  <c:v>0.22530577018721809</c:v>
                </c:pt>
                <c:pt idx="1">
                  <c:v>0.1899614796197118</c:v>
                </c:pt>
                <c:pt idx="2">
                  <c:v>0.15456215722214331</c:v>
                </c:pt>
                <c:pt idx="3">
                  <c:v>0.12763851286607961</c:v>
                </c:pt>
                <c:pt idx="4">
                  <c:v>0.10378136139028769</c:v>
                </c:pt>
                <c:pt idx="5">
                  <c:v>8.4828385549804028E-2</c:v>
                </c:pt>
                <c:pt idx="6">
                  <c:v>7.4615293576842989E-2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0-7B4D-91B3-8093543A7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053344"/>
        <c:axId val="1566571584"/>
      </c:lineChart>
      <c:catAx>
        <c:axId val="15661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66186688"/>
        <c:crosses val="autoZero"/>
        <c:auto val="1"/>
        <c:lblAlgn val="ctr"/>
        <c:lblOffset val="100"/>
        <c:noMultiLvlLbl val="0"/>
      </c:catAx>
      <c:valAx>
        <c:axId val="156618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66199712"/>
        <c:crosses val="autoZero"/>
        <c:crossBetween val="between"/>
      </c:valAx>
      <c:valAx>
        <c:axId val="1566571584"/>
        <c:scaling>
          <c:orientation val="minMax"/>
          <c:max val="0.3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41053344"/>
        <c:crosses val="max"/>
        <c:crossBetween val="between"/>
      </c:valAx>
      <c:catAx>
        <c:axId val="1241053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6571584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65000"/>
            </a:schemeClr>
          </a:solidFill>
        </a:ln>
        <a:effectLst/>
      </c:spPr>
    </c:plotArea>
    <c:legend>
      <c:legendPos val="t"/>
      <c:overlay val="0"/>
      <c:spPr>
        <a:noFill/>
        <a:ln w="6350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A-F245-9A0F-1D437993DA97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A-F245-9A0F-1D437993DA97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A-F245-9A0F-1D437993DA97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1A-F245-9A0F-1D437993D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61.818528838662637</c:v>
                </c:pt>
                <c:pt idx="2">
                  <c:v>51.418656500318328</c:v>
                </c:pt>
                <c:pt idx="3">
                  <c:v>45.515505915479586</c:v>
                </c:pt>
                <c:pt idx="4">
                  <c:v>40.816035405245337</c:v>
                </c:pt>
                <c:pt idx="5">
                  <c:v>37.252532271232418</c:v>
                </c:pt>
                <c:pt idx="6">
                  <c:v>33.977457604959049</c:v>
                </c:pt>
                <c:pt idx="7">
                  <c:v>31.43333440582979</c:v>
                </c:pt>
                <c:pt idx="8">
                  <c:v>29.72697440006397</c:v>
                </c:pt>
                <c:pt idx="9">
                  <c:v>27.49419457135048</c:v>
                </c:pt>
                <c:pt idx="10">
                  <c:v>25.547402480417329</c:v>
                </c:pt>
                <c:pt idx="11">
                  <c:v>24.65521735934928</c:v>
                </c:pt>
                <c:pt idx="12">
                  <c:v>22.89769230170635</c:v>
                </c:pt>
                <c:pt idx="13">
                  <c:v>21.3976645070789</c:v>
                </c:pt>
                <c:pt idx="14">
                  <c:v>20.223944984707661</c:v>
                </c:pt>
                <c:pt idx="15">
                  <c:v>19.467366201475681</c:v>
                </c:pt>
                <c:pt idx="16">
                  <c:v>18.282824627442761</c:v>
                </c:pt>
                <c:pt idx="17">
                  <c:v>17.510807624358911</c:v>
                </c:pt>
                <c:pt idx="18">
                  <c:v>17.256404715054199</c:v>
                </c:pt>
                <c:pt idx="19">
                  <c:v>16.567829987066581</c:v>
                </c:pt>
                <c:pt idx="20">
                  <c:v>15.951519416199419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F-DB4A-927C-54F4FBCD21A3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78.140481063408899</c:v>
                </c:pt>
                <c:pt idx="2">
                  <c:v>72.042419582877244</c:v>
                </c:pt>
                <c:pt idx="3">
                  <c:v>68.571127550626969</c:v>
                </c:pt>
                <c:pt idx="4">
                  <c:v>65.749726137367588</c:v>
                </c:pt>
                <c:pt idx="5">
                  <c:v>63.557761141349943</c:v>
                </c:pt>
                <c:pt idx="6">
                  <c:v>62.355610131771442</c:v>
                </c:pt>
                <c:pt idx="7">
                  <c:v>61.247568196429008</c:v>
                </c:pt>
                <c:pt idx="8">
                  <c:v>60.341557116189271</c:v>
                </c:pt>
                <c:pt idx="9">
                  <c:v>58.220463863749949</c:v>
                </c:pt>
                <c:pt idx="10">
                  <c:v>57.661713063234913</c:v>
                </c:pt>
                <c:pt idx="11">
                  <c:v>56.307721269938547</c:v>
                </c:pt>
                <c:pt idx="12">
                  <c:v>55.63837567841351</c:v>
                </c:pt>
                <c:pt idx="13">
                  <c:v>55.961524180217182</c:v>
                </c:pt>
                <c:pt idx="14">
                  <c:v>55.805166461233952</c:v>
                </c:pt>
                <c:pt idx="15">
                  <c:v>55.227090463712791</c:v>
                </c:pt>
                <c:pt idx="16">
                  <c:v>54.426720572314053</c:v>
                </c:pt>
                <c:pt idx="17">
                  <c:v>53.95041122356271</c:v>
                </c:pt>
                <c:pt idx="18">
                  <c:v>53.392467576357987</c:v>
                </c:pt>
                <c:pt idx="19">
                  <c:v>53.394578068013303</c:v>
                </c:pt>
                <c:pt idx="20">
                  <c:v>53.480226754063978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F-DB4A-927C-54F4FBCD21A3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103.9567990908773</c:v>
                </c:pt>
                <c:pt idx="2">
                  <c:v>107.1145847452551</c:v>
                </c:pt>
                <c:pt idx="3">
                  <c:v>110.57685165845029</c:v>
                </c:pt>
                <c:pt idx="4">
                  <c:v>115.32868879014249</c:v>
                </c:pt>
                <c:pt idx="5">
                  <c:v>120.4385732873385</c:v>
                </c:pt>
                <c:pt idx="6">
                  <c:v>125.4654397278165</c:v>
                </c:pt>
                <c:pt idx="7">
                  <c:v>130.79973378454159</c:v>
                </c:pt>
                <c:pt idx="8">
                  <c:v>137.00040420597799</c:v>
                </c:pt>
                <c:pt idx="9">
                  <c:v>142.0502612187002</c:v>
                </c:pt>
                <c:pt idx="10">
                  <c:v>147.9146147353776</c:v>
                </c:pt>
                <c:pt idx="11">
                  <c:v>153.00997119381989</c:v>
                </c:pt>
                <c:pt idx="12">
                  <c:v>158.58830033045149</c:v>
                </c:pt>
                <c:pt idx="13">
                  <c:v>164.4284467923647</c:v>
                </c:pt>
                <c:pt idx="14">
                  <c:v>171.35597381936091</c:v>
                </c:pt>
                <c:pt idx="15">
                  <c:v>177.74567701918389</c:v>
                </c:pt>
                <c:pt idx="16">
                  <c:v>184.32824926859749</c:v>
                </c:pt>
                <c:pt idx="17">
                  <c:v>189.92205068720139</c:v>
                </c:pt>
                <c:pt idx="18">
                  <c:v>197.52060918620421</c:v>
                </c:pt>
                <c:pt idx="19">
                  <c:v>202.3004067788583</c:v>
                </c:pt>
                <c:pt idx="20">
                  <c:v>209.83315740661129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5F-DB4A-927C-54F4FBCD21A3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136.74500235036791</c:v>
                </c:pt>
                <c:pt idx="2">
                  <c:v>158.61413142735211</c:v>
                </c:pt>
                <c:pt idx="3">
                  <c:v>177.06463233693611</c:v>
                </c:pt>
                <c:pt idx="4">
                  <c:v>200.08121142682319</c:v>
                </c:pt>
                <c:pt idx="5">
                  <c:v>224.4245239285143</c:v>
                </c:pt>
                <c:pt idx="6">
                  <c:v>248.2645635660121</c:v>
                </c:pt>
                <c:pt idx="7">
                  <c:v>274.22000707112181</c:v>
                </c:pt>
                <c:pt idx="8">
                  <c:v>304.67743275253048</c:v>
                </c:pt>
                <c:pt idx="9">
                  <c:v>331.30743283119688</c:v>
                </c:pt>
                <c:pt idx="10">
                  <c:v>360.40513093974198</c:v>
                </c:pt>
                <c:pt idx="11">
                  <c:v>397.71890714282858</c:v>
                </c:pt>
                <c:pt idx="12">
                  <c:v>436.19140899975793</c:v>
                </c:pt>
                <c:pt idx="13">
                  <c:v>469.68585523134669</c:v>
                </c:pt>
                <c:pt idx="14">
                  <c:v>509.34628085955438</c:v>
                </c:pt>
                <c:pt idx="15">
                  <c:v>548.23275094812971</c:v>
                </c:pt>
                <c:pt idx="16">
                  <c:v>591.38166790329399</c:v>
                </c:pt>
                <c:pt idx="17">
                  <c:v>644.7084256939828</c:v>
                </c:pt>
                <c:pt idx="18">
                  <c:v>696.7813524249284</c:v>
                </c:pt>
                <c:pt idx="19">
                  <c:v>753.89226858296877</c:v>
                </c:pt>
                <c:pt idx="20">
                  <c:v>816.95971244848488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5F-DB4A-927C-54F4FBCD2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60.243372653839351</c:v>
                </c:pt>
                <c:pt idx="2">
                  <c:v>49.275422075807292</c:v>
                </c:pt>
                <c:pt idx="3">
                  <c:v>42.373081987269529</c:v>
                </c:pt>
                <c:pt idx="4">
                  <c:v>37.162846625730673</c:v>
                </c:pt>
                <c:pt idx="5">
                  <c:v>33.324042332814329</c:v>
                </c:pt>
                <c:pt idx="6">
                  <c:v>29.739685743343941</c:v>
                </c:pt>
                <c:pt idx="7">
                  <c:v>27.079066453236301</c:v>
                </c:pt>
                <c:pt idx="8">
                  <c:v>24.846840176268621</c:v>
                </c:pt>
                <c:pt idx="9">
                  <c:v>22.787404155535441</c:v>
                </c:pt>
                <c:pt idx="10">
                  <c:v>20.582206520031811</c:v>
                </c:pt>
                <c:pt idx="11">
                  <c:v>19.62702599704334</c:v>
                </c:pt>
                <c:pt idx="12">
                  <c:v>17.83524584566819</c:v>
                </c:pt>
                <c:pt idx="13">
                  <c:v>16.305592593560831</c:v>
                </c:pt>
                <c:pt idx="14">
                  <c:v>15.23549596610669</c:v>
                </c:pt>
                <c:pt idx="15">
                  <c:v>14.17936454087322</c:v>
                </c:pt>
                <c:pt idx="16">
                  <c:v>13.216959179737181</c:v>
                </c:pt>
                <c:pt idx="17">
                  <c:v>12.436675285246469</c:v>
                </c:pt>
                <c:pt idx="18">
                  <c:v>12.01359828797847</c:v>
                </c:pt>
                <c:pt idx="19">
                  <c:v>11.236374720677601</c:v>
                </c:pt>
                <c:pt idx="20">
                  <c:v>10.69348975724195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9-1C4C-AA9A-94B2769BA1D1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76.300465172299752</c:v>
                </c:pt>
                <c:pt idx="2">
                  <c:v>68.738786755048153</c:v>
                </c:pt>
                <c:pt idx="3">
                  <c:v>63.860213424435479</c:v>
                </c:pt>
                <c:pt idx="4">
                  <c:v>59.96474845692395</c:v>
                </c:pt>
                <c:pt idx="5">
                  <c:v>56.848919929283923</c:v>
                </c:pt>
                <c:pt idx="6">
                  <c:v>54.704510153475901</c:v>
                </c:pt>
                <c:pt idx="7">
                  <c:v>52.549156031184808</c:v>
                </c:pt>
                <c:pt idx="8">
                  <c:v>50.772367547498838</c:v>
                </c:pt>
                <c:pt idx="9">
                  <c:v>47.792786442669041</c:v>
                </c:pt>
                <c:pt idx="10">
                  <c:v>46.594426637497868</c:v>
                </c:pt>
                <c:pt idx="11">
                  <c:v>44.698243341515578</c:v>
                </c:pt>
                <c:pt idx="12">
                  <c:v>43.430709975708737</c:v>
                </c:pt>
                <c:pt idx="13">
                  <c:v>42.635782720868811</c:v>
                </c:pt>
                <c:pt idx="14">
                  <c:v>41.657427221290341</c:v>
                </c:pt>
                <c:pt idx="15">
                  <c:v>40.408344415476293</c:v>
                </c:pt>
                <c:pt idx="16">
                  <c:v>39.195197904358373</c:v>
                </c:pt>
                <c:pt idx="17">
                  <c:v>38.228939121180353</c:v>
                </c:pt>
                <c:pt idx="18">
                  <c:v>37.078672103848078</c:v>
                </c:pt>
                <c:pt idx="19">
                  <c:v>36.255314481403829</c:v>
                </c:pt>
                <c:pt idx="20">
                  <c:v>35.721520641026267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29-1C4C-AA9A-94B2769BA1D1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101.69008239319901</c:v>
                </c:pt>
                <c:pt idx="2">
                  <c:v>102.27023323506781</c:v>
                </c:pt>
                <c:pt idx="3">
                  <c:v>103.28658428404169</c:v>
                </c:pt>
                <c:pt idx="4">
                  <c:v>105.38616916908541</c:v>
                </c:pt>
                <c:pt idx="5">
                  <c:v>107.7677035404208</c:v>
                </c:pt>
                <c:pt idx="6">
                  <c:v>110.3152393464581</c:v>
                </c:pt>
                <c:pt idx="7">
                  <c:v>112.53785906700119</c:v>
                </c:pt>
                <c:pt idx="8">
                  <c:v>115.04903439382861</c:v>
                </c:pt>
                <c:pt idx="9">
                  <c:v>117.0483571075026</c:v>
                </c:pt>
                <c:pt idx="10">
                  <c:v>119.5873322346358</c:v>
                </c:pt>
                <c:pt idx="11">
                  <c:v>121.1613205108181</c:v>
                </c:pt>
                <c:pt idx="12">
                  <c:v>123.1778460041632</c:v>
                </c:pt>
                <c:pt idx="13">
                  <c:v>125.3085507759366</c:v>
                </c:pt>
                <c:pt idx="14">
                  <c:v>127.6313004467664</c:v>
                </c:pt>
                <c:pt idx="15">
                  <c:v>130.285186627402</c:v>
                </c:pt>
                <c:pt idx="16">
                  <c:v>132.32468428949329</c:v>
                </c:pt>
                <c:pt idx="17">
                  <c:v>133.303414379126</c:v>
                </c:pt>
                <c:pt idx="18">
                  <c:v>136.07078981074159</c:v>
                </c:pt>
                <c:pt idx="19">
                  <c:v>137.28802547856569</c:v>
                </c:pt>
                <c:pt idx="20">
                  <c:v>139.0643964374315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29-1C4C-AA9A-94B2769BA1D1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133.95045444541711</c:v>
                </c:pt>
                <c:pt idx="2">
                  <c:v>151.62832238171919</c:v>
                </c:pt>
                <c:pt idx="3">
                  <c:v>165.605611713012</c:v>
                </c:pt>
                <c:pt idx="4">
                  <c:v>183.61428266848</c:v>
                </c:pt>
                <c:pt idx="5">
                  <c:v>200.87492825194369</c:v>
                </c:pt>
                <c:pt idx="6">
                  <c:v>217.85584016750241</c:v>
                </c:pt>
                <c:pt idx="7">
                  <c:v>236.61298473632189</c:v>
                </c:pt>
                <c:pt idx="8">
                  <c:v>257.00662544249548</c:v>
                </c:pt>
                <c:pt idx="9">
                  <c:v>273.78308133256752</c:v>
                </c:pt>
                <c:pt idx="10">
                  <c:v>291.5817494148157</c:v>
                </c:pt>
                <c:pt idx="11">
                  <c:v>314.47551222340132</c:v>
                </c:pt>
                <c:pt idx="12">
                  <c:v>338.05250916352662</c:v>
                </c:pt>
                <c:pt idx="13">
                  <c:v>358.98008445785172</c:v>
                </c:pt>
                <c:pt idx="14">
                  <c:v>379.16060512957529</c:v>
                </c:pt>
                <c:pt idx="15">
                  <c:v>402.08766633638788</c:v>
                </c:pt>
                <c:pt idx="16">
                  <c:v>427.44729628479138</c:v>
                </c:pt>
                <c:pt idx="17">
                  <c:v>454.6455942087822</c:v>
                </c:pt>
                <c:pt idx="18">
                  <c:v>481.84468827991219</c:v>
                </c:pt>
                <c:pt idx="19">
                  <c:v>510.66678735556042</c:v>
                </c:pt>
                <c:pt idx="20">
                  <c:v>541.02506750956036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29-1C4C-AA9A-94B2769BA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00-1941-BA77-6A95CB335B58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00-1941-BA77-6A95CB335B58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00-1941-BA77-6A95CB335B58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00-1941-BA77-6A95CB335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ws_Stage_1!$J$2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7A-BE4A-9CBD-5CD48546AFB3}"/>
            </c:ext>
          </c:extLst>
        </c:ser>
        <c:ser>
          <c:idx val="1"/>
          <c:order val="1"/>
          <c:tx>
            <c:strRef>
              <c:f>ws_Stage_1!$K$2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7A-BE4A-9CBD-5CD48546AFB3}"/>
            </c:ext>
          </c:extLst>
        </c:ser>
        <c:ser>
          <c:idx val="2"/>
          <c:order val="2"/>
          <c:tx>
            <c:strRef>
              <c:f>ws_Stage_1!$L$2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7A-BE4A-9CBD-5CD48546AFB3}"/>
            </c:ext>
          </c:extLst>
        </c:ser>
        <c:ser>
          <c:idx val="3"/>
          <c:order val="3"/>
          <c:tx>
            <c:strRef>
              <c:f>ws_Stage_1!$M$2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7A-BE4A-9CBD-5CD48546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ws_Stage_1!$B$2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ws_Stage_1!$B$3:$B$23</c:f>
              <c:numCache>
                <c:formatCode>General</c:formatCode>
                <c:ptCount val="21"/>
                <c:pt idx="0">
                  <c:v>100</c:v>
                </c:pt>
                <c:pt idx="1">
                  <c:v>67.706754373663429</c:v>
                </c:pt>
                <c:pt idx="2">
                  <c:v>59.024816040912839</c:v>
                </c:pt>
                <c:pt idx="3">
                  <c:v>53.891978638820618</c:v>
                </c:pt>
                <c:pt idx="4">
                  <c:v>49.688260563205652</c:v>
                </c:pt>
                <c:pt idx="5">
                  <c:v>46.653847768778498</c:v>
                </c:pt>
                <c:pt idx="6">
                  <c:v>43.595958183383551</c:v>
                </c:pt>
                <c:pt idx="7">
                  <c:v>41.383219718858378</c:v>
                </c:pt>
                <c:pt idx="8">
                  <c:v>39.519099564463048</c:v>
                </c:pt>
                <c:pt idx="9">
                  <c:v>37.791569242522421</c:v>
                </c:pt>
                <c:pt idx="10">
                  <c:v>35.759257153575462</c:v>
                </c:pt>
                <c:pt idx="11">
                  <c:v>34.957203036677193</c:v>
                </c:pt>
                <c:pt idx="12">
                  <c:v>33.352593059560213</c:v>
                </c:pt>
                <c:pt idx="13">
                  <c:v>31.43167114268547</c:v>
                </c:pt>
                <c:pt idx="14">
                  <c:v>30.561462729525761</c:v>
                </c:pt>
                <c:pt idx="15">
                  <c:v>29.263522962690981</c:v>
                </c:pt>
                <c:pt idx="16">
                  <c:v>28.173619974607291</c:v>
                </c:pt>
                <c:pt idx="17">
                  <c:v>27.84825106619396</c:v>
                </c:pt>
                <c:pt idx="18">
                  <c:v>27.560718804837549</c:v>
                </c:pt>
                <c:pt idx="19">
                  <c:v>26.769947796863299</c:v>
                </c:pt>
                <c:pt idx="20">
                  <c:v>26.529631749351179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1-6046-BF10-45A1DD594F72}"/>
            </c:ext>
          </c:extLst>
        </c:ser>
        <c:ser>
          <c:idx val="1"/>
          <c:order val="1"/>
          <c:tx>
            <c:strRef>
              <c:f>ws_Stage_1!$C$2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ws_Stage_1!$C$3:$C$23</c:f>
              <c:numCache>
                <c:formatCode>General</c:formatCode>
                <c:ptCount val="21"/>
                <c:pt idx="0">
                  <c:v>100</c:v>
                </c:pt>
                <c:pt idx="1">
                  <c:v>82.460747979560594</c:v>
                </c:pt>
                <c:pt idx="2">
                  <c:v>78.078309098840165</c:v>
                </c:pt>
                <c:pt idx="3">
                  <c:v>75.918480587208947</c:v>
                </c:pt>
                <c:pt idx="4">
                  <c:v>74.039756606755773</c:v>
                </c:pt>
                <c:pt idx="5">
                  <c:v>73.170307431447753</c:v>
                </c:pt>
                <c:pt idx="6">
                  <c:v>72.825766106306119</c:v>
                </c:pt>
                <c:pt idx="7">
                  <c:v>72.602771485097676</c:v>
                </c:pt>
                <c:pt idx="8">
                  <c:v>72.415276776612188</c:v>
                </c:pt>
                <c:pt idx="9">
                  <c:v>70.865644037416374</c:v>
                </c:pt>
                <c:pt idx="10">
                  <c:v>71.013742178430249</c:v>
                </c:pt>
                <c:pt idx="11">
                  <c:v>70.294178520430904</c:v>
                </c:pt>
                <c:pt idx="12">
                  <c:v>70.26451480020107</c:v>
                </c:pt>
                <c:pt idx="13">
                  <c:v>71.385818938555047</c:v>
                </c:pt>
                <c:pt idx="14">
                  <c:v>71.679858914113055</c:v>
                </c:pt>
                <c:pt idx="15">
                  <c:v>71.669827650349518</c:v>
                </c:pt>
                <c:pt idx="16">
                  <c:v>71.781753950783795</c:v>
                </c:pt>
                <c:pt idx="17">
                  <c:v>71.576400505324798</c:v>
                </c:pt>
                <c:pt idx="18">
                  <c:v>72.083515202843927</c:v>
                </c:pt>
                <c:pt idx="19">
                  <c:v>72.504696142813444</c:v>
                </c:pt>
                <c:pt idx="20">
                  <c:v>72.94441581470096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1-6046-BF10-45A1DD594F72}"/>
            </c:ext>
          </c:extLst>
        </c:ser>
        <c:ser>
          <c:idx val="2"/>
          <c:order val="2"/>
          <c:tx>
            <c:strRef>
              <c:f>ws_Stage_1!$D$2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104.83958702334149</c:v>
                </c:pt>
                <c:pt idx="2">
                  <c:v>108.9029669810956</c:v>
                </c:pt>
                <c:pt idx="3">
                  <c:v>113.3406013875163</c:v>
                </c:pt>
                <c:pt idx="4">
                  <c:v>119.03714580932569</c:v>
                </c:pt>
                <c:pt idx="5">
                  <c:v>125.0426176587206</c:v>
                </c:pt>
                <c:pt idx="6">
                  <c:v>131.02379639544381</c:v>
                </c:pt>
                <c:pt idx="7">
                  <c:v>137.3040655194377</c:v>
                </c:pt>
                <c:pt idx="8">
                  <c:v>144.32495844522899</c:v>
                </c:pt>
                <c:pt idx="9">
                  <c:v>150.2932881684072</c:v>
                </c:pt>
                <c:pt idx="10">
                  <c:v>157.12575901853381</c:v>
                </c:pt>
                <c:pt idx="11">
                  <c:v>163.4550163596904</c:v>
                </c:pt>
                <c:pt idx="12">
                  <c:v>169.8101537885799</c:v>
                </c:pt>
                <c:pt idx="13">
                  <c:v>177.061875224175</c:v>
                </c:pt>
                <c:pt idx="14">
                  <c:v>185.36231903513649</c:v>
                </c:pt>
                <c:pt idx="15">
                  <c:v>192.84470397272071</c:v>
                </c:pt>
                <c:pt idx="16">
                  <c:v>201.29724901309649</c:v>
                </c:pt>
                <c:pt idx="17">
                  <c:v>208.04520742667279</c:v>
                </c:pt>
                <c:pt idx="18">
                  <c:v>217.34807654751739</c:v>
                </c:pt>
                <c:pt idx="19">
                  <c:v>224.11276712538819</c:v>
                </c:pt>
                <c:pt idx="20">
                  <c:v>233.95725059975419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21-6046-BF10-45A1DD594F72}"/>
            </c:ext>
          </c:extLst>
        </c:ser>
        <c:ser>
          <c:idx val="3"/>
          <c:order val="3"/>
          <c:tx>
            <c:strRef>
              <c:f>ws_Stage_1!$E$2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ws_Stage_1!$E$3:$E$23</c:f>
              <c:numCache>
                <c:formatCode>General</c:formatCode>
                <c:ptCount val="21"/>
                <c:pt idx="0">
                  <c:v>100</c:v>
                </c:pt>
                <c:pt idx="1">
                  <c:v>132.06056841672071</c:v>
                </c:pt>
                <c:pt idx="2">
                  <c:v>151.54817949751319</c:v>
                </c:pt>
                <c:pt idx="3">
                  <c:v>168.35170053236359</c:v>
                </c:pt>
                <c:pt idx="4">
                  <c:v>189.19559871957409</c:v>
                </c:pt>
                <c:pt idx="5">
                  <c:v>210.9469246513676</c:v>
                </c:pt>
                <c:pt idx="6">
                  <c:v>232.6978013714741</c:v>
                </c:pt>
                <c:pt idx="7">
                  <c:v>256.16704794468421</c:v>
                </c:pt>
                <c:pt idx="8">
                  <c:v>282.66419769337318</c:v>
                </c:pt>
                <c:pt idx="9">
                  <c:v>306.68510604585032</c:v>
                </c:pt>
                <c:pt idx="10">
                  <c:v>333.14358533732639</c:v>
                </c:pt>
                <c:pt idx="11">
                  <c:v>365.53228934301109</c:v>
                </c:pt>
                <c:pt idx="12">
                  <c:v>398.6500455971331</c:v>
                </c:pt>
                <c:pt idx="13">
                  <c:v>429.02519404288171</c:v>
                </c:pt>
                <c:pt idx="14">
                  <c:v>465.62820020054698</c:v>
                </c:pt>
                <c:pt idx="15">
                  <c:v>499.36675518569388</c:v>
                </c:pt>
                <c:pt idx="16">
                  <c:v>540.10049189461563</c:v>
                </c:pt>
                <c:pt idx="17">
                  <c:v>586.32472336818728</c:v>
                </c:pt>
                <c:pt idx="18">
                  <c:v>632.76284182887105</c:v>
                </c:pt>
                <c:pt idx="19">
                  <c:v>682.0776791535194</c:v>
                </c:pt>
                <c:pt idx="20">
                  <c:v>737.60018790278264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21-6046-BF10-45A1DD594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ws_Stage_1!$F$2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ws_Stage_1!$F$3:$F$23</c:f>
              <c:numCache>
                <c:formatCode>General</c:formatCode>
                <c:ptCount val="21"/>
                <c:pt idx="0">
                  <c:v>100</c:v>
                </c:pt>
                <c:pt idx="1">
                  <c:v>66.070864326383344</c:v>
                </c:pt>
                <c:pt idx="2">
                  <c:v>56.369237533666222</c:v>
                </c:pt>
                <c:pt idx="3">
                  <c:v>50.213402369252051</c:v>
                </c:pt>
                <c:pt idx="4">
                  <c:v>45.243269508890791</c:v>
                </c:pt>
                <c:pt idx="5">
                  <c:v>41.590172401094492</c:v>
                </c:pt>
                <c:pt idx="6">
                  <c:v>38.168262857868953</c:v>
                </c:pt>
                <c:pt idx="7">
                  <c:v>35.655233999572779</c:v>
                </c:pt>
                <c:pt idx="8">
                  <c:v>33.24669640124047</c:v>
                </c:pt>
                <c:pt idx="9">
                  <c:v>31.23016136670228</c:v>
                </c:pt>
                <c:pt idx="10">
                  <c:v>28.741894382997081</c:v>
                </c:pt>
                <c:pt idx="11">
                  <c:v>27.80102895066717</c:v>
                </c:pt>
                <c:pt idx="12">
                  <c:v>25.91672111299102</c:v>
                </c:pt>
                <c:pt idx="13">
                  <c:v>24.048627704765881</c:v>
                </c:pt>
                <c:pt idx="14">
                  <c:v>22.937173410463672</c:v>
                </c:pt>
                <c:pt idx="15">
                  <c:v>21.569582760174779</c:v>
                </c:pt>
                <c:pt idx="16">
                  <c:v>20.50252264362361</c:v>
                </c:pt>
                <c:pt idx="17">
                  <c:v>19.59295561908564</c:v>
                </c:pt>
                <c:pt idx="18">
                  <c:v>19.12580166259896</c:v>
                </c:pt>
                <c:pt idx="19">
                  <c:v>18.231427707510221</c:v>
                </c:pt>
                <c:pt idx="20">
                  <c:v>17.487004588045931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E-4648-A35A-55384114441F}"/>
            </c:ext>
          </c:extLst>
        </c:ser>
        <c:ser>
          <c:idx val="1"/>
          <c:order val="1"/>
          <c:tx>
            <c:strRef>
              <c:f>ws_Stage_1!$G$2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ws_Stage_1!$G$3:$G$23</c:f>
              <c:numCache>
                <c:formatCode>General</c:formatCode>
                <c:ptCount val="21"/>
                <c:pt idx="0">
                  <c:v>100</c:v>
                </c:pt>
                <c:pt idx="1">
                  <c:v>80.495025380923181</c:v>
                </c:pt>
                <c:pt idx="2">
                  <c:v>74.469896351008074</c:v>
                </c:pt>
                <c:pt idx="3">
                  <c:v>70.875149916500803</c:v>
                </c:pt>
                <c:pt idx="4">
                  <c:v>67.595709259168004</c:v>
                </c:pt>
                <c:pt idx="5">
                  <c:v>65.374680498569631</c:v>
                </c:pt>
                <c:pt idx="6">
                  <c:v>63.917835453005551</c:v>
                </c:pt>
                <c:pt idx="7">
                  <c:v>62.165876646197653</c:v>
                </c:pt>
                <c:pt idx="8">
                  <c:v>60.856091388799129</c:v>
                </c:pt>
                <c:pt idx="9">
                  <c:v>58.353499551709191</c:v>
                </c:pt>
                <c:pt idx="10">
                  <c:v>57.394042990076827</c:v>
                </c:pt>
                <c:pt idx="11">
                  <c:v>55.781741226536226</c:v>
                </c:pt>
                <c:pt idx="12">
                  <c:v>54.835736952909983</c:v>
                </c:pt>
                <c:pt idx="13">
                  <c:v>54.270340081597823</c:v>
                </c:pt>
                <c:pt idx="14">
                  <c:v>53.565516783986112</c:v>
                </c:pt>
                <c:pt idx="15">
                  <c:v>52.804146460684137</c:v>
                </c:pt>
                <c:pt idx="16">
                  <c:v>51.578787228598998</c:v>
                </c:pt>
                <c:pt idx="17">
                  <c:v>50.692856307501053</c:v>
                </c:pt>
                <c:pt idx="18">
                  <c:v>49.968197925860537</c:v>
                </c:pt>
                <c:pt idx="19">
                  <c:v>49.16645834503899</c:v>
                </c:pt>
                <c:pt idx="20">
                  <c:v>49.016622304010767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E-4648-A35A-55384114441F}"/>
            </c:ext>
          </c:extLst>
        </c:ser>
        <c:ser>
          <c:idx val="2"/>
          <c:order val="2"/>
          <c:tx>
            <c:strRef>
              <c:f>ws_Stage_1!$H$2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102.4705046863989</c:v>
                </c:pt>
                <c:pt idx="2">
                  <c:v>103.9850308845281</c:v>
                </c:pt>
                <c:pt idx="3">
                  <c:v>105.90283949673901</c:v>
                </c:pt>
                <c:pt idx="4">
                  <c:v>108.7907011414909</c:v>
                </c:pt>
                <c:pt idx="5">
                  <c:v>111.8745611161423</c:v>
                </c:pt>
                <c:pt idx="6">
                  <c:v>115.1509050464106</c:v>
                </c:pt>
                <c:pt idx="7">
                  <c:v>118.1026139281653</c:v>
                </c:pt>
                <c:pt idx="8">
                  <c:v>121.3576136541361</c:v>
                </c:pt>
                <c:pt idx="9">
                  <c:v>124.0265822372269</c:v>
                </c:pt>
                <c:pt idx="10">
                  <c:v>126.9039506803614</c:v>
                </c:pt>
                <c:pt idx="11">
                  <c:v>129.48454497422881</c:v>
                </c:pt>
                <c:pt idx="12">
                  <c:v>132.1547179070121</c:v>
                </c:pt>
                <c:pt idx="13">
                  <c:v>134.94442358672089</c:v>
                </c:pt>
                <c:pt idx="14">
                  <c:v>137.98951434731251</c:v>
                </c:pt>
                <c:pt idx="15">
                  <c:v>140.96352444799439</c:v>
                </c:pt>
                <c:pt idx="16">
                  <c:v>144.23282360829441</c:v>
                </c:pt>
                <c:pt idx="17">
                  <c:v>146.24905085147691</c:v>
                </c:pt>
                <c:pt idx="18">
                  <c:v>149.97095892912921</c:v>
                </c:pt>
                <c:pt idx="19">
                  <c:v>152.01007358480541</c:v>
                </c:pt>
                <c:pt idx="20">
                  <c:v>154.94794296836349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4E-4648-A35A-55384114441F}"/>
            </c:ext>
          </c:extLst>
        </c:ser>
        <c:ser>
          <c:idx val="3"/>
          <c:order val="3"/>
          <c:tx>
            <c:strRef>
              <c:f>ws_Stage_1!$I$2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ws_Stage_1!$I$3:$I$23</c:f>
              <c:numCache>
                <c:formatCode>General</c:formatCode>
                <c:ptCount val="21"/>
                <c:pt idx="0">
                  <c:v>100</c:v>
                </c:pt>
                <c:pt idx="1">
                  <c:v>129.25400008659051</c:v>
                </c:pt>
                <c:pt idx="2">
                  <c:v>144.84798204393951</c:v>
                </c:pt>
                <c:pt idx="3">
                  <c:v>157.6076904384029</c:v>
                </c:pt>
                <c:pt idx="4">
                  <c:v>173.48173780720509</c:v>
                </c:pt>
                <c:pt idx="5">
                  <c:v>188.9857127957851</c:v>
                </c:pt>
                <c:pt idx="6">
                  <c:v>204.5697259697296</c:v>
                </c:pt>
                <c:pt idx="7">
                  <c:v>220.9534114841928</c:v>
                </c:pt>
                <c:pt idx="8">
                  <c:v>238.6162841354674</c:v>
                </c:pt>
                <c:pt idx="9">
                  <c:v>253.71643554897651</c:v>
                </c:pt>
                <c:pt idx="10">
                  <c:v>270.21807299073782</c:v>
                </c:pt>
                <c:pt idx="11">
                  <c:v>290.09527801750539</c:v>
                </c:pt>
                <c:pt idx="12">
                  <c:v>309.66375403273042</c:v>
                </c:pt>
                <c:pt idx="13">
                  <c:v>327.78012018869867</c:v>
                </c:pt>
                <c:pt idx="14">
                  <c:v>346.0978232628101</c:v>
                </c:pt>
                <c:pt idx="15">
                  <c:v>365.88501858518788</c:v>
                </c:pt>
                <c:pt idx="16">
                  <c:v>388.33330421735849</c:v>
                </c:pt>
                <c:pt idx="17">
                  <c:v>412.21645201489252</c:v>
                </c:pt>
                <c:pt idx="18">
                  <c:v>437.35075329641262</c:v>
                </c:pt>
                <c:pt idx="19">
                  <c:v>462.54385801229603</c:v>
                </c:pt>
                <c:pt idx="20">
                  <c:v>489.370148913398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4E-4648-A35A-553841144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ws_Stage_1!$N$2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F-D34A-BB04-CCE5D1371C30}"/>
            </c:ext>
          </c:extLst>
        </c:ser>
        <c:ser>
          <c:idx val="1"/>
          <c:order val="1"/>
          <c:tx>
            <c:strRef>
              <c:f>ws_Stage_1!$O$2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F-D34A-BB04-CCE5D1371C30}"/>
            </c:ext>
          </c:extLst>
        </c:ser>
        <c:ser>
          <c:idx val="2"/>
          <c:order val="2"/>
          <c:tx>
            <c:strRef>
              <c:f>ws_Stage_1!$P$2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F-D34A-BB04-CCE5D1371C30}"/>
            </c:ext>
          </c:extLst>
        </c:ser>
        <c:ser>
          <c:idx val="3"/>
          <c:order val="3"/>
          <c:tx>
            <c:strRef>
              <c:f>ws_Stage_1!$Q$2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ws_Stage_1!$A$3:$A$23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ws_Stage_1!$Q$3:$Q$23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BF-D34A-BB04-CCE5D1371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ws_Stage_2!$J$2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0-CF41-AAAE-1436D53F639D}"/>
            </c:ext>
          </c:extLst>
        </c:ser>
        <c:ser>
          <c:idx val="1"/>
          <c:order val="1"/>
          <c:tx>
            <c:strRef>
              <c:f>ws_Stage_2!$K$2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0-CF41-AAAE-1436D53F639D}"/>
            </c:ext>
          </c:extLst>
        </c:ser>
        <c:ser>
          <c:idx val="2"/>
          <c:order val="2"/>
          <c:tx>
            <c:strRef>
              <c:f>ws_Stage_2!$L$2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0-CF41-AAAE-1436D53F639D}"/>
            </c:ext>
          </c:extLst>
        </c:ser>
        <c:ser>
          <c:idx val="3"/>
          <c:order val="3"/>
          <c:tx>
            <c:strRef>
              <c:f>ws_Stage_2!$M$2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40-CF41-AAAE-1436D53F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ws_Stage_2!$B$2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ws_Stage_2!$B$3:$B$23</c:f>
              <c:numCache>
                <c:formatCode>General</c:formatCode>
                <c:ptCount val="21"/>
                <c:pt idx="0">
                  <c:v>100</c:v>
                </c:pt>
                <c:pt idx="1">
                  <c:v>74.005561036488899</c:v>
                </c:pt>
                <c:pt idx="2">
                  <c:v>67.51719424585626</c:v>
                </c:pt>
                <c:pt idx="3">
                  <c:v>63.867345518320981</c:v>
                </c:pt>
                <c:pt idx="4">
                  <c:v>60.277849990652392</c:v>
                </c:pt>
                <c:pt idx="5">
                  <c:v>57.978148132347158</c:v>
                </c:pt>
                <c:pt idx="6">
                  <c:v>55.946678532154273</c:v>
                </c:pt>
                <c:pt idx="7">
                  <c:v>54.058316826404322</c:v>
                </c:pt>
                <c:pt idx="8">
                  <c:v>52.835688768047163</c:v>
                </c:pt>
                <c:pt idx="9">
                  <c:v>51.51526468286982</c:v>
                </c:pt>
                <c:pt idx="10">
                  <c:v>49.624310808677428</c:v>
                </c:pt>
                <c:pt idx="11">
                  <c:v>49.29401758079338</c:v>
                </c:pt>
                <c:pt idx="12">
                  <c:v>48.181608808103348</c:v>
                </c:pt>
                <c:pt idx="13">
                  <c:v>46.087014606082597</c:v>
                </c:pt>
                <c:pt idx="14">
                  <c:v>45.635592563106663</c:v>
                </c:pt>
                <c:pt idx="15">
                  <c:v>44.236415498990517</c:v>
                </c:pt>
                <c:pt idx="16">
                  <c:v>43.835735565383537</c:v>
                </c:pt>
                <c:pt idx="17">
                  <c:v>43.208574341832097</c:v>
                </c:pt>
                <c:pt idx="18">
                  <c:v>44.283097023964316</c:v>
                </c:pt>
                <c:pt idx="19">
                  <c:v>42.963652121523559</c:v>
                </c:pt>
                <c:pt idx="20">
                  <c:v>43.181738791051423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2-2242-8E31-F177DF778BDE}"/>
            </c:ext>
          </c:extLst>
        </c:ser>
        <c:ser>
          <c:idx val="1"/>
          <c:order val="1"/>
          <c:tx>
            <c:strRef>
              <c:f>ws_Stage_2!$C$2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ws_Stage_2!$C$3:$C$23</c:f>
              <c:numCache>
                <c:formatCode>General</c:formatCode>
                <c:ptCount val="21"/>
                <c:pt idx="0">
                  <c:v>100</c:v>
                </c:pt>
                <c:pt idx="1">
                  <c:v>86.953257062775393</c:v>
                </c:pt>
                <c:pt idx="2">
                  <c:v>84.582146987635596</c:v>
                </c:pt>
                <c:pt idx="3">
                  <c:v>84.029401943336865</c:v>
                </c:pt>
                <c:pt idx="4">
                  <c:v>83.649544793984433</c:v>
                </c:pt>
                <c:pt idx="5">
                  <c:v>84.175577959520822</c:v>
                </c:pt>
                <c:pt idx="6">
                  <c:v>85.120502698861799</c:v>
                </c:pt>
                <c:pt idx="7">
                  <c:v>85.808647014345794</c:v>
                </c:pt>
                <c:pt idx="8">
                  <c:v>86.694478407526901</c:v>
                </c:pt>
                <c:pt idx="9">
                  <c:v>86.147385046923858</c:v>
                </c:pt>
                <c:pt idx="10">
                  <c:v>87.22164099096041</c:v>
                </c:pt>
                <c:pt idx="11">
                  <c:v>87.453096416835649</c:v>
                </c:pt>
                <c:pt idx="12">
                  <c:v>88.451011162907307</c:v>
                </c:pt>
                <c:pt idx="13">
                  <c:v>89.899792302514555</c:v>
                </c:pt>
                <c:pt idx="14">
                  <c:v>91.869082286231674</c:v>
                </c:pt>
                <c:pt idx="15">
                  <c:v>92.863117595870349</c:v>
                </c:pt>
                <c:pt idx="16">
                  <c:v>93.822306230388847</c:v>
                </c:pt>
                <c:pt idx="17">
                  <c:v>94.673185312156662</c:v>
                </c:pt>
                <c:pt idx="18">
                  <c:v>96.415452108703434</c:v>
                </c:pt>
                <c:pt idx="19">
                  <c:v>97.682097047061205</c:v>
                </c:pt>
                <c:pt idx="20">
                  <c:v>99.56635205664449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2-2242-8E31-F177DF778BDE}"/>
            </c:ext>
          </c:extLst>
        </c:ser>
        <c:ser>
          <c:idx val="2"/>
          <c:order val="2"/>
          <c:tx>
            <c:strRef>
              <c:f>ws_Stage_2!$D$2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105.7093950376721</c:v>
                </c:pt>
                <c:pt idx="2">
                  <c:v>110.83509341357779</c:v>
                </c:pt>
                <c:pt idx="3">
                  <c:v>116.4777246164648</c:v>
                </c:pt>
                <c:pt idx="4">
                  <c:v>122.8502336916613</c:v>
                </c:pt>
                <c:pt idx="5">
                  <c:v>129.83858560046161</c:v>
                </c:pt>
                <c:pt idx="6">
                  <c:v>137.02143210916259</c:v>
                </c:pt>
                <c:pt idx="7">
                  <c:v>144.06019706793921</c:v>
                </c:pt>
                <c:pt idx="8">
                  <c:v>151.94322394642509</c:v>
                </c:pt>
                <c:pt idx="9">
                  <c:v>159.18328871638471</c:v>
                </c:pt>
                <c:pt idx="10">
                  <c:v>166.56308913286981</c:v>
                </c:pt>
                <c:pt idx="11">
                  <c:v>174.49293017354449</c:v>
                </c:pt>
                <c:pt idx="12">
                  <c:v>181.87903901499811</c:v>
                </c:pt>
                <c:pt idx="13">
                  <c:v>190.6263584174558</c:v>
                </c:pt>
                <c:pt idx="14">
                  <c:v>199.96834854908559</c:v>
                </c:pt>
                <c:pt idx="15">
                  <c:v>208.67750186893699</c:v>
                </c:pt>
                <c:pt idx="16">
                  <c:v>218.91045116452929</c:v>
                </c:pt>
                <c:pt idx="17">
                  <c:v>227.38082260303051</c:v>
                </c:pt>
                <c:pt idx="18">
                  <c:v>238.67675734774039</c:v>
                </c:pt>
                <c:pt idx="19">
                  <c:v>247.4589642639497</c:v>
                </c:pt>
                <c:pt idx="20">
                  <c:v>258.66349735766272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2-2242-8E31-F177DF778BDE}"/>
            </c:ext>
          </c:extLst>
        </c:ser>
        <c:ser>
          <c:idx val="3"/>
          <c:order val="3"/>
          <c:tx>
            <c:strRef>
              <c:f>ws_Stage_2!$E$2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127.6411607464661</c:v>
                </c:pt>
                <c:pt idx="2">
                  <c:v>144.97620452993189</c:v>
                </c:pt>
                <c:pt idx="3">
                  <c:v>160.49418614099881</c:v>
                </c:pt>
                <c:pt idx="4">
                  <c:v>179.37508002864939</c:v>
                </c:pt>
                <c:pt idx="5">
                  <c:v>198.23541436664959</c:v>
                </c:pt>
                <c:pt idx="6">
                  <c:v>218.46368383917149</c:v>
                </c:pt>
                <c:pt idx="7">
                  <c:v>239.30094775055889</c:v>
                </c:pt>
                <c:pt idx="8">
                  <c:v>262.04515942354197</c:v>
                </c:pt>
                <c:pt idx="9">
                  <c:v>284.4189245012933</c:v>
                </c:pt>
                <c:pt idx="10">
                  <c:v>308.48144257330972</c:v>
                </c:pt>
                <c:pt idx="11">
                  <c:v>335.85785056476402</c:v>
                </c:pt>
                <c:pt idx="12">
                  <c:v>364.24188381133882</c:v>
                </c:pt>
                <c:pt idx="13">
                  <c:v>392.54774261415042</c:v>
                </c:pt>
                <c:pt idx="14">
                  <c:v>423.77718810433203</c:v>
                </c:pt>
                <c:pt idx="15">
                  <c:v>454.99916160076822</c:v>
                </c:pt>
                <c:pt idx="16">
                  <c:v>493.18384588107841</c:v>
                </c:pt>
                <c:pt idx="17">
                  <c:v>532.77562612279269</c:v>
                </c:pt>
                <c:pt idx="18">
                  <c:v>573.06307287338268</c:v>
                </c:pt>
                <c:pt idx="19">
                  <c:v>617.16738580159131</c:v>
                </c:pt>
                <c:pt idx="20">
                  <c:v>665.39298727869664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82-2242-8E31-F177DF778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ws_Stage_2!$F$2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ws_Stage_2!$F$3:$F$23</c:f>
              <c:numCache>
                <c:formatCode>General</c:formatCode>
                <c:ptCount val="21"/>
                <c:pt idx="0">
                  <c:v>100</c:v>
                </c:pt>
                <c:pt idx="1">
                  <c:v>72.245751438275519</c:v>
                </c:pt>
                <c:pt idx="2">
                  <c:v>64.23711779972713</c:v>
                </c:pt>
                <c:pt idx="3">
                  <c:v>59.421006430076801</c:v>
                </c:pt>
                <c:pt idx="4">
                  <c:v>54.91736544946562</c:v>
                </c:pt>
                <c:pt idx="5">
                  <c:v>51.880267459401402</c:v>
                </c:pt>
                <c:pt idx="6">
                  <c:v>48.963726868254049</c:v>
                </c:pt>
                <c:pt idx="7">
                  <c:v>46.390780189233411</c:v>
                </c:pt>
                <c:pt idx="8">
                  <c:v>44.044719476518708</c:v>
                </c:pt>
                <c:pt idx="9">
                  <c:v>42.218415425524697</c:v>
                </c:pt>
                <c:pt idx="10">
                  <c:v>40.136265788357257</c:v>
                </c:pt>
                <c:pt idx="11">
                  <c:v>39.299694421538469</c:v>
                </c:pt>
                <c:pt idx="12">
                  <c:v>37.259102991837104</c:v>
                </c:pt>
                <c:pt idx="13">
                  <c:v>35.277035482027571</c:v>
                </c:pt>
                <c:pt idx="14">
                  <c:v>34.546092658876468</c:v>
                </c:pt>
                <c:pt idx="15">
                  <c:v>32.828620507790028</c:v>
                </c:pt>
                <c:pt idx="16">
                  <c:v>31.35902003833089</c:v>
                </c:pt>
                <c:pt idx="17">
                  <c:v>30.65709493546602</c:v>
                </c:pt>
                <c:pt idx="18">
                  <c:v>30.229668450478339</c:v>
                </c:pt>
                <c:pt idx="19">
                  <c:v>29.485496516579261</c:v>
                </c:pt>
                <c:pt idx="20">
                  <c:v>28.587441591246851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A-3E4F-82B1-C665DE3610CF}"/>
            </c:ext>
          </c:extLst>
        </c:ser>
        <c:ser>
          <c:idx val="1"/>
          <c:order val="1"/>
          <c:tx>
            <c:strRef>
              <c:f>ws_Stage_2!$G$2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ws_Stage_2!$G$3:$G$23</c:f>
              <c:numCache>
                <c:formatCode>General</c:formatCode>
                <c:ptCount val="21"/>
                <c:pt idx="0">
                  <c:v>100</c:v>
                </c:pt>
                <c:pt idx="1">
                  <c:v>84.888121037264767</c:v>
                </c:pt>
                <c:pt idx="2">
                  <c:v>80.727660731305846</c:v>
                </c:pt>
                <c:pt idx="3">
                  <c:v>78.39591096567149</c:v>
                </c:pt>
                <c:pt idx="4">
                  <c:v>76.3359255022323</c:v>
                </c:pt>
                <c:pt idx="5">
                  <c:v>75.150607787358325</c:v>
                </c:pt>
                <c:pt idx="6">
                  <c:v>74.52497681886976</c:v>
                </c:pt>
                <c:pt idx="7">
                  <c:v>73.350692444489923</c:v>
                </c:pt>
                <c:pt idx="8">
                  <c:v>72.779204856671782</c:v>
                </c:pt>
                <c:pt idx="9">
                  <c:v>70.768140226054157</c:v>
                </c:pt>
                <c:pt idx="10">
                  <c:v>70.4960262471524</c:v>
                </c:pt>
                <c:pt idx="11">
                  <c:v>69.124736596805604</c:v>
                </c:pt>
                <c:pt idx="12">
                  <c:v>68.660553168727958</c:v>
                </c:pt>
                <c:pt idx="13">
                  <c:v>68.515125515605732</c:v>
                </c:pt>
                <c:pt idx="14">
                  <c:v>68.192714750685255</c:v>
                </c:pt>
                <c:pt idx="15">
                  <c:v>68.318132785519126</c:v>
                </c:pt>
                <c:pt idx="16">
                  <c:v>67.211720842021563</c:v>
                </c:pt>
                <c:pt idx="17">
                  <c:v>66.78726701922082</c:v>
                </c:pt>
                <c:pt idx="18">
                  <c:v>66.332071387755633</c:v>
                </c:pt>
                <c:pt idx="19">
                  <c:v>66.187808770709751</c:v>
                </c:pt>
                <c:pt idx="20">
                  <c:v>66.380143853951623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1A-3E4F-82B1-C665DE3610CF}"/>
            </c:ext>
          </c:extLst>
        </c:ser>
        <c:ser>
          <c:idx val="2"/>
          <c:order val="2"/>
          <c:tx>
            <c:strRef>
              <c:f>ws_Stage_2!$H$2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103.3723022509658</c:v>
                </c:pt>
                <c:pt idx="2">
                  <c:v>105.81474486662989</c:v>
                </c:pt>
                <c:pt idx="3">
                  <c:v>108.7650905719655</c:v>
                </c:pt>
                <c:pt idx="4">
                  <c:v>112.4189488315871</c:v>
                </c:pt>
                <c:pt idx="5">
                  <c:v>116.2617791530997</c:v>
                </c:pt>
                <c:pt idx="6">
                  <c:v>120.3597566960309</c:v>
                </c:pt>
                <c:pt idx="7">
                  <c:v>124.00956508659991</c:v>
                </c:pt>
                <c:pt idx="8">
                  <c:v>127.79504074753579</c:v>
                </c:pt>
                <c:pt idx="9">
                  <c:v>131.37815484537441</c:v>
                </c:pt>
                <c:pt idx="10">
                  <c:v>134.73476679800569</c:v>
                </c:pt>
                <c:pt idx="11">
                  <c:v>138.1363857234266</c:v>
                </c:pt>
                <c:pt idx="12">
                  <c:v>141.6093503539818</c:v>
                </c:pt>
                <c:pt idx="13">
                  <c:v>145.13445172346749</c:v>
                </c:pt>
                <c:pt idx="14">
                  <c:v>148.9098244382665</c:v>
                </c:pt>
                <c:pt idx="15">
                  <c:v>152.6324586913596</c:v>
                </c:pt>
                <c:pt idx="16">
                  <c:v>157.03355672095429</c:v>
                </c:pt>
                <c:pt idx="17">
                  <c:v>160.12229828341319</c:v>
                </c:pt>
                <c:pt idx="18">
                  <c:v>164.56957109183901</c:v>
                </c:pt>
                <c:pt idx="19">
                  <c:v>167.901361193616</c:v>
                </c:pt>
                <c:pt idx="20">
                  <c:v>172.15922620212581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1A-3E4F-82B1-C665DE3610CF}"/>
            </c:ext>
          </c:extLst>
        </c:ser>
        <c:ser>
          <c:idx val="3"/>
          <c:order val="3"/>
          <c:tx>
            <c:strRef>
              <c:f>ws_Stage_2!$I$2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ws_Stage_2!$I$3:$I$23</c:f>
              <c:numCache>
                <c:formatCode>General</c:formatCode>
                <c:ptCount val="21"/>
                <c:pt idx="0">
                  <c:v>100</c:v>
                </c:pt>
                <c:pt idx="1">
                  <c:v>124.9425467134493</c:v>
                </c:pt>
                <c:pt idx="2">
                  <c:v>138.6570375967234</c:v>
                </c:pt>
                <c:pt idx="3">
                  <c:v>150.06351432096389</c:v>
                </c:pt>
                <c:pt idx="4">
                  <c:v>164.32170347217939</c:v>
                </c:pt>
                <c:pt idx="5">
                  <c:v>177.9265978977617</c:v>
                </c:pt>
                <c:pt idx="6">
                  <c:v>191.9230544847232</c:v>
                </c:pt>
                <c:pt idx="7">
                  <c:v>206.3471899966265</c:v>
                </c:pt>
                <c:pt idx="8">
                  <c:v>221.4885218261773</c:v>
                </c:pt>
                <c:pt idx="9">
                  <c:v>235.18580617361729</c:v>
                </c:pt>
                <c:pt idx="10">
                  <c:v>250.13628506084311</c:v>
                </c:pt>
                <c:pt idx="11">
                  <c:v>267.5774857213911</c:v>
                </c:pt>
                <c:pt idx="12">
                  <c:v>284.74466732034489</c:v>
                </c:pt>
                <c:pt idx="13">
                  <c:v>300.86804043579258</c:v>
                </c:pt>
                <c:pt idx="14">
                  <c:v>315.94284057420708</c:v>
                </c:pt>
                <c:pt idx="15">
                  <c:v>334.27456148835932</c:v>
                </c:pt>
                <c:pt idx="16">
                  <c:v>353.90309865913139</c:v>
                </c:pt>
                <c:pt idx="17">
                  <c:v>374.39828726284247</c:v>
                </c:pt>
                <c:pt idx="18">
                  <c:v>396.2012664602895</c:v>
                </c:pt>
                <c:pt idx="19">
                  <c:v>419.88996749454577</c:v>
                </c:pt>
                <c:pt idx="20">
                  <c:v>439.86034767757928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1A-3E4F-82B1-C665DE36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ws_Stage_2!$N$2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9-8449-B22F-9138A9C4EFA1}"/>
            </c:ext>
          </c:extLst>
        </c:ser>
        <c:ser>
          <c:idx val="1"/>
          <c:order val="1"/>
          <c:tx>
            <c:strRef>
              <c:f>ws_Stage_2!$O$2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9-8449-B22F-9138A9C4EFA1}"/>
            </c:ext>
          </c:extLst>
        </c:ser>
        <c:ser>
          <c:idx val="2"/>
          <c:order val="2"/>
          <c:tx>
            <c:strRef>
              <c:f>ws_Stage_2!$P$2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9-8449-B22F-9138A9C4EFA1}"/>
            </c:ext>
          </c:extLst>
        </c:ser>
        <c:ser>
          <c:idx val="3"/>
          <c:order val="3"/>
          <c:tx>
            <c:strRef>
              <c:f>ws_Stage_2!$Q$2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ws_Stage_2!$A$3:$A$23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ws_Stage_2!$Q$3:$Q$23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A9-8449-B22F-9138A9C4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ws_Stage_3!$J$2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A-5945-9409-B6D9093A5EE0}"/>
            </c:ext>
          </c:extLst>
        </c:ser>
        <c:ser>
          <c:idx val="1"/>
          <c:order val="1"/>
          <c:tx>
            <c:strRef>
              <c:f>ws_Stage_3!$K$2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A-5945-9409-B6D9093A5EE0}"/>
            </c:ext>
          </c:extLst>
        </c:ser>
        <c:ser>
          <c:idx val="2"/>
          <c:order val="2"/>
          <c:tx>
            <c:strRef>
              <c:f>ws_Stage_3!$L$2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4A-5945-9409-B6D9093A5EE0}"/>
            </c:ext>
          </c:extLst>
        </c:ser>
        <c:ser>
          <c:idx val="3"/>
          <c:order val="3"/>
          <c:tx>
            <c:strRef>
              <c:f>ws_Stage_3!$M$2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4A-5945-9409-B6D9093A5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ws_Stage_3!$B$2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ws_Stage_3!$B$3:$B$23</c:f>
              <c:numCache>
                <c:formatCode>General</c:formatCode>
                <c:ptCount val="21"/>
                <c:pt idx="0">
                  <c:v>100</c:v>
                </c:pt>
                <c:pt idx="1">
                  <c:v>78.685557042436329</c:v>
                </c:pt>
                <c:pt idx="2">
                  <c:v>74.357827561338439</c:v>
                </c:pt>
                <c:pt idx="3">
                  <c:v>72.145281250605308</c:v>
                </c:pt>
                <c:pt idx="4">
                  <c:v>69.374455873108133</c:v>
                </c:pt>
                <c:pt idx="5">
                  <c:v>68.492079291920561</c:v>
                </c:pt>
                <c:pt idx="6">
                  <c:v>67.027192274911442</c:v>
                </c:pt>
                <c:pt idx="7">
                  <c:v>65.631971215704652</c:v>
                </c:pt>
                <c:pt idx="8">
                  <c:v>64.754240059437038</c:v>
                </c:pt>
                <c:pt idx="9">
                  <c:v>63.073219608965999</c:v>
                </c:pt>
                <c:pt idx="10">
                  <c:v>62.616435036103411</c:v>
                </c:pt>
                <c:pt idx="11">
                  <c:v>62.296421334828921</c:v>
                </c:pt>
                <c:pt idx="12">
                  <c:v>61.916391404702381</c:v>
                </c:pt>
                <c:pt idx="13">
                  <c:v>60.456507163030309</c:v>
                </c:pt>
                <c:pt idx="14">
                  <c:v>60.887632655486847</c:v>
                </c:pt>
                <c:pt idx="15">
                  <c:v>60.347482182554167</c:v>
                </c:pt>
                <c:pt idx="16">
                  <c:v>59.703338523112222</c:v>
                </c:pt>
                <c:pt idx="17">
                  <c:v>59.845027449161229</c:v>
                </c:pt>
                <c:pt idx="18">
                  <c:v>60.827737988122088</c:v>
                </c:pt>
                <c:pt idx="19">
                  <c:v>60.830317972976253</c:v>
                </c:pt>
                <c:pt idx="20">
                  <c:v>60.902690642557587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5-F640-8685-C64EC6C62E71}"/>
            </c:ext>
          </c:extLst>
        </c:ser>
        <c:ser>
          <c:idx val="1"/>
          <c:order val="1"/>
          <c:tx>
            <c:strRef>
              <c:f>ws_Stage_3!$C$2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ws_Stage_3!$C$3:$C$23</c:f>
              <c:numCache>
                <c:formatCode>General</c:formatCode>
                <c:ptCount val="21"/>
                <c:pt idx="0">
                  <c:v>100</c:v>
                </c:pt>
                <c:pt idx="1">
                  <c:v>90.360701519257702</c:v>
                </c:pt>
                <c:pt idx="2">
                  <c:v>89.533294402315263</c:v>
                </c:pt>
                <c:pt idx="3">
                  <c:v>90.757228404810945</c:v>
                </c:pt>
                <c:pt idx="4">
                  <c:v>91.721964946943203</c:v>
                </c:pt>
                <c:pt idx="5">
                  <c:v>93.276646887310321</c:v>
                </c:pt>
                <c:pt idx="6">
                  <c:v>95.7484195115847</c:v>
                </c:pt>
                <c:pt idx="7">
                  <c:v>97.29353484402499</c:v>
                </c:pt>
                <c:pt idx="8">
                  <c:v>98.954003036052072</c:v>
                </c:pt>
                <c:pt idx="9">
                  <c:v>99.678824847785705</c:v>
                </c:pt>
                <c:pt idx="10">
                  <c:v>101.5318979901491</c:v>
                </c:pt>
                <c:pt idx="11">
                  <c:v>102.9253244044717</c:v>
                </c:pt>
                <c:pt idx="12">
                  <c:v>104.7367648233045</c:v>
                </c:pt>
                <c:pt idx="13">
                  <c:v>107.81129057831269</c:v>
                </c:pt>
                <c:pt idx="14">
                  <c:v>110.5236148257415</c:v>
                </c:pt>
                <c:pt idx="15">
                  <c:v>113.13928369210009</c:v>
                </c:pt>
                <c:pt idx="16">
                  <c:v>115.30213658915009</c:v>
                </c:pt>
                <c:pt idx="17">
                  <c:v>117.5922213951102</c:v>
                </c:pt>
                <c:pt idx="18">
                  <c:v>119.9193046657583</c:v>
                </c:pt>
                <c:pt idx="19">
                  <c:v>123.39907927292229</c:v>
                </c:pt>
                <c:pt idx="20">
                  <c:v>126.23592599376261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5-F640-8685-C64EC6C62E71}"/>
            </c:ext>
          </c:extLst>
        </c:ser>
        <c:ser>
          <c:idx val="2"/>
          <c:order val="2"/>
          <c:tx>
            <c:strRef>
              <c:f>ws_Stage_3!$D$2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106.5994189818059</c:v>
                </c:pt>
                <c:pt idx="2">
                  <c:v>112.564255029401</c:v>
                </c:pt>
                <c:pt idx="3">
                  <c:v>118.9639822842768</c:v>
                </c:pt>
                <c:pt idx="4">
                  <c:v>126.38047976751911</c:v>
                </c:pt>
                <c:pt idx="5">
                  <c:v>134.21972287111339</c:v>
                </c:pt>
                <c:pt idx="6">
                  <c:v>142.60270061260721</c:v>
                </c:pt>
                <c:pt idx="7">
                  <c:v>150.5059365447041</c:v>
                </c:pt>
                <c:pt idx="8">
                  <c:v>159.3248304923876</c:v>
                </c:pt>
                <c:pt idx="9">
                  <c:v>167.84960695769681</c:v>
                </c:pt>
                <c:pt idx="10">
                  <c:v>176.50512626613221</c:v>
                </c:pt>
                <c:pt idx="11">
                  <c:v>184.98781824641131</c:v>
                </c:pt>
                <c:pt idx="12">
                  <c:v>194.24058962148459</c:v>
                </c:pt>
                <c:pt idx="13">
                  <c:v>204.66805487805911</c:v>
                </c:pt>
                <c:pt idx="14">
                  <c:v>215.07897352693971</c:v>
                </c:pt>
                <c:pt idx="15">
                  <c:v>225.53559081189221</c:v>
                </c:pt>
                <c:pt idx="16">
                  <c:v>237.1622708559336</c:v>
                </c:pt>
                <c:pt idx="17">
                  <c:v>248.3727936223749</c:v>
                </c:pt>
                <c:pt idx="18">
                  <c:v>261.99715078979528</c:v>
                </c:pt>
                <c:pt idx="19">
                  <c:v>274.23211437056318</c:v>
                </c:pt>
                <c:pt idx="20">
                  <c:v>286.62054431614632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5-F640-8685-C64EC6C62E71}"/>
            </c:ext>
          </c:extLst>
        </c:ser>
        <c:ser>
          <c:idx val="3"/>
          <c:order val="3"/>
          <c:tx>
            <c:strRef>
              <c:f>ws_Stage_3!$E$2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124.65466394486</c:v>
                </c:pt>
                <c:pt idx="2">
                  <c:v>140.52931558155899</c:v>
                </c:pt>
                <c:pt idx="3">
                  <c:v>155.25128219695699</c:v>
                </c:pt>
                <c:pt idx="4">
                  <c:v>172.44049189480651</c:v>
                </c:pt>
                <c:pt idx="5">
                  <c:v>190.62902459917581</c:v>
                </c:pt>
                <c:pt idx="6">
                  <c:v>209.577018392295</c:v>
                </c:pt>
                <c:pt idx="7">
                  <c:v>229.5607225772558</c:v>
                </c:pt>
                <c:pt idx="8">
                  <c:v>251.2345725360853</c:v>
                </c:pt>
                <c:pt idx="9">
                  <c:v>271.83248607149568</c:v>
                </c:pt>
                <c:pt idx="10">
                  <c:v>295.93417520588542</c:v>
                </c:pt>
                <c:pt idx="11">
                  <c:v>321.5944271346558</c:v>
                </c:pt>
                <c:pt idx="12">
                  <c:v>347.2780799605178</c:v>
                </c:pt>
                <c:pt idx="13">
                  <c:v>374.58794245495449</c:v>
                </c:pt>
                <c:pt idx="14">
                  <c:v>404.20126092655829</c:v>
                </c:pt>
                <c:pt idx="15">
                  <c:v>433.09202791645782</c:v>
                </c:pt>
                <c:pt idx="16">
                  <c:v>469.20318407909758</c:v>
                </c:pt>
                <c:pt idx="17">
                  <c:v>508.94226559673422</c:v>
                </c:pt>
                <c:pt idx="18">
                  <c:v>548.46882397784043</c:v>
                </c:pt>
                <c:pt idx="19">
                  <c:v>592.54561996192501</c:v>
                </c:pt>
                <c:pt idx="20">
                  <c:v>632.32112468804939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25-F640-8685-C64EC6C6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ws_Stage_3!$F$2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ws_Stage_3!$F$3:$F$23</c:f>
              <c:numCache>
                <c:formatCode>General</c:formatCode>
                <c:ptCount val="21"/>
                <c:pt idx="0">
                  <c:v>100</c:v>
                </c:pt>
                <c:pt idx="1">
                  <c:v>76.301630810585664</c:v>
                </c:pt>
                <c:pt idx="2">
                  <c:v>70.319371621780519</c:v>
                </c:pt>
                <c:pt idx="3">
                  <c:v>66.759867138169696</c:v>
                </c:pt>
                <c:pt idx="4">
                  <c:v>63.163751301977648</c:v>
                </c:pt>
                <c:pt idx="5">
                  <c:v>61.182813204746381</c:v>
                </c:pt>
                <c:pt idx="6">
                  <c:v>58.482900144573208</c:v>
                </c:pt>
                <c:pt idx="7">
                  <c:v>55.945526134657626</c:v>
                </c:pt>
                <c:pt idx="8">
                  <c:v>54.038308889831953</c:v>
                </c:pt>
                <c:pt idx="9">
                  <c:v>51.825163779569479</c:v>
                </c:pt>
                <c:pt idx="10">
                  <c:v>50.467501770999647</c:v>
                </c:pt>
                <c:pt idx="11">
                  <c:v>49.718829810912517</c:v>
                </c:pt>
                <c:pt idx="12">
                  <c:v>48.31194929312565</c:v>
                </c:pt>
                <c:pt idx="13">
                  <c:v>46.279007604860553</c:v>
                </c:pt>
                <c:pt idx="14">
                  <c:v>45.730578818853679</c:v>
                </c:pt>
                <c:pt idx="15">
                  <c:v>44.399364120351059</c:v>
                </c:pt>
                <c:pt idx="16">
                  <c:v>42.781586139936927</c:v>
                </c:pt>
                <c:pt idx="17">
                  <c:v>42.142412918526666</c:v>
                </c:pt>
                <c:pt idx="18">
                  <c:v>42.240336358798167</c:v>
                </c:pt>
                <c:pt idx="19">
                  <c:v>41.300854400160823</c:v>
                </c:pt>
                <c:pt idx="20">
                  <c:v>40.878511813795811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9-1B45-B151-958C292BE868}"/>
            </c:ext>
          </c:extLst>
        </c:ser>
        <c:ser>
          <c:idx val="1"/>
          <c:order val="1"/>
          <c:tx>
            <c:strRef>
              <c:f>ws_Stage_3!$G$2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ws_Stage_3!$G$3:$G$23</c:f>
              <c:numCache>
                <c:formatCode>General</c:formatCode>
                <c:ptCount val="21"/>
                <c:pt idx="0">
                  <c:v>100</c:v>
                </c:pt>
                <c:pt idx="1">
                  <c:v>88.097773382636007</c:v>
                </c:pt>
                <c:pt idx="2">
                  <c:v>85.333182510449561</c:v>
                </c:pt>
                <c:pt idx="3">
                  <c:v>84.517607433277234</c:v>
                </c:pt>
                <c:pt idx="4">
                  <c:v>83.634341694496186</c:v>
                </c:pt>
                <c:pt idx="5">
                  <c:v>83.426862425288562</c:v>
                </c:pt>
                <c:pt idx="6">
                  <c:v>83.733030883364563</c:v>
                </c:pt>
                <c:pt idx="7">
                  <c:v>83.184852876722033</c:v>
                </c:pt>
                <c:pt idx="8">
                  <c:v>82.96278779948058</c:v>
                </c:pt>
                <c:pt idx="9">
                  <c:v>82.00707442625513</c:v>
                </c:pt>
                <c:pt idx="10">
                  <c:v>82.15674343105789</c:v>
                </c:pt>
                <c:pt idx="11">
                  <c:v>81.413001791811212</c:v>
                </c:pt>
                <c:pt idx="12">
                  <c:v>81.609040463855735</c:v>
                </c:pt>
                <c:pt idx="13">
                  <c:v>81.796982662833543</c:v>
                </c:pt>
                <c:pt idx="14">
                  <c:v>82.327682321059115</c:v>
                </c:pt>
                <c:pt idx="15">
                  <c:v>82.818531087384159</c:v>
                </c:pt>
                <c:pt idx="16">
                  <c:v>82.721451551288396</c:v>
                </c:pt>
                <c:pt idx="17">
                  <c:v>82.331924394354061</c:v>
                </c:pt>
                <c:pt idx="18">
                  <c:v>82.653441843063675</c:v>
                </c:pt>
                <c:pt idx="19">
                  <c:v>83.180184644337444</c:v>
                </c:pt>
                <c:pt idx="20">
                  <c:v>83.936728534227598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9-1B45-B151-958C292BE868}"/>
            </c:ext>
          </c:extLst>
        </c:ser>
        <c:ser>
          <c:idx val="2"/>
          <c:order val="2"/>
          <c:tx>
            <c:strRef>
              <c:f>ws_Stage_3!$H$2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104.23055465248029</c:v>
                </c:pt>
                <c:pt idx="2">
                  <c:v>107.50249363857451</c:v>
                </c:pt>
                <c:pt idx="3">
                  <c:v>111.20945083919641</c:v>
                </c:pt>
                <c:pt idx="4">
                  <c:v>115.5566821414383</c:v>
                </c:pt>
                <c:pt idx="5">
                  <c:v>120.0987433495937</c:v>
                </c:pt>
                <c:pt idx="6">
                  <c:v>125.03895698571399</c:v>
                </c:pt>
                <c:pt idx="7">
                  <c:v>129.1894988841099</c:v>
                </c:pt>
                <c:pt idx="8">
                  <c:v>134.06022556774809</c:v>
                </c:pt>
                <c:pt idx="9">
                  <c:v>138.4953572959962</c:v>
                </c:pt>
                <c:pt idx="10">
                  <c:v>142.78991316049309</c:v>
                </c:pt>
                <c:pt idx="11">
                  <c:v>146.78419446062799</c:v>
                </c:pt>
                <c:pt idx="12">
                  <c:v>150.78007491146471</c:v>
                </c:pt>
                <c:pt idx="13">
                  <c:v>155.51599531344459</c:v>
                </c:pt>
                <c:pt idx="14">
                  <c:v>160.82807103595749</c:v>
                </c:pt>
                <c:pt idx="15">
                  <c:v>164.62126867669869</c:v>
                </c:pt>
                <c:pt idx="16">
                  <c:v>170.3222713939802</c:v>
                </c:pt>
                <c:pt idx="17">
                  <c:v>174.78162289367049</c:v>
                </c:pt>
                <c:pt idx="18">
                  <c:v>180.67193403692579</c:v>
                </c:pt>
                <c:pt idx="19">
                  <c:v>185.9653021907429</c:v>
                </c:pt>
                <c:pt idx="20">
                  <c:v>190.4138064699886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9-1B45-B151-958C292BE868}"/>
            </c:ext>
          </c:extLst>
        </c:ser>
        <c:ser>
          <c:idx val="3"/>
          <c:order val="3"/>
          <c:tx>
            <c:strRef>
              <c:f>ws_Stage_3!$I$2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ws_Stage_3!$I$3:$I$23</c:f>
              <c:numCache>
                <c:formatCode>General</c:formatCode>
                <c:ptCount val="21"/>
                <c:pt idx="0">
                  <c:v>100</c:v>
                </c:pt>
                <c:pt idx="1">
                  <c:v>122.0316813919022</c:v>
                </c:pt>
                <c:pt idx="2">
                  <c:v>134.5603535579117</c:v>
                </c:pt>
                <c:pt idx="3">
                  <c:v>145.42999522701751</c:v>
                </c:pt>
                <c:pt idx="4">
                  <c:v>158.09496223824951</c:v>
                </c:pt>
                <c:pt idx="5">
                  <c:v>171.16742615347121</c:v>
                </c:pt>
                <c:pt idx="6">
                  <c:v>184.34516552119121</c:v>
                </c:pt>
                <c:pt idx="7">
                  <c:v>197.83761203078069</c:v>
                </c:pt>
                <c:pt idx="8">
                  <c:v>211.93166468023631</c:v>
                </c:pt>
                <c:pt idx="9">
                  <c:v>225.5673939407267</c:v>
                </c:pt>
                <c:pt idx="10">
                  <c:v>240.27412488498621</c:v>
                </c:pt>
                <c:pt idx="11">
                  <c:v>256.50138269376993</c:v>
                </c:pt>
                <c:pt idx="12">
                  <c:v>272.0085109907676</c:v>
                </c:pt>
                <c:pt idx="13">
                  <c:v>287.17622025614321</c:v>
                </c:pt>
                <c:pt idx="14">
                  <c:v>303.11720618410692</c:v>
                </c:pt>
                <c:pt idx="15">
                  <c:v>319.18537921925338</c:v>
                </c:pt>
                <c:pt idx="16">
                  <c:v>339.76224665089228</c:v>
                </c:pt>
                <c:pt idx="17">
                  <c:v>359.99343641497319</c:v>
                </c:pt>
                <c:pt idx="18">
                  <c:v>379.20155842900908</c:v>
                </c:pt>
                <c:pt idx="19">
                  <c:v>400.64662331919942</c:v>
                </c:pt>
                <c:pt idx="20">
                  <c:v>422.22326111273878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9-1B45-B151-958C292BE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ws_Stage_3!$N$2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A-C942-9BF4-451BDA60131B}"/>
            </c:ext>
          </c:extLst>
        </c:ser>
        <c:ser>
          <c:idx val="1"/>
          <c:order val="1"/>
          <c:tx>
            <c:strRef>
              <c:f>ws_Stage_3!$O$2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A-C942-9BF4-451BDA60131B}"/>
            </c:ext>
          </c:extLst>
        </c:ser>
        <c:ser>
          <c:idx val="2"/>
          <c:order val="2"/>
          <c:tx>
            <c:strRef>
              <c:f>ws_Stage_3!$P$2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A-C942-9BF4-451BDA60131B}"/>
            </c:ext>
          </c:extLst>
        </c:ser>
        <c:ser>
          <c:idx val="3"/>
          <c:order val="3"/>
          <c:tx>
            <c:strRef>
              <c:f>ws_Stage_3!$Q$2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ws_Stage_3!$A$3:$A$23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ws_Stage_3!$Q$3:$Q$23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0A-C942-9BF4-451BDA601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ws_Stage_4!$J$2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F-C14F-9EF5-2E47B90F9EF8}"/>
            </c:ext>
          </c:extLst>
        </c:ser>
        <c:ser>
          <c:idx val="1"/>
          <c:order val="1"/>
          <c:tx>
            <c:strRef>
              <c:f>ws_Stage_4!$K$2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F-C14F-9EF5-2E47B90F9EF8}"/>
            </c:ext>
          </c:extLst>
        </c:ser>
        <c:ser>
          <c:idx val="2"/>
          <c:order val="2"/>
          <c:tx>
            <c:strRef>
              <c:f>ws_Stage_4!$L$2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EF-C14F-9EF5-2E47B90F9EF8}"/>
            </c:ext>
          </c:extLst>
        </c:ser>
        <c:ser>
          <c:idx val="3"/>
          <c:order val="3"/>
          <c:tx>
            <c:strRef>
              <c:f>ws_Stage_4!$M$2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EF-C14F-9EF5-2E47B90F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ws_Stage_4!$B$2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ws_Stage_4!$B$3:$B$23</c:f>
              <c:numCache>
                <c:formatCode>General</c:formatCode>
                <c:ptCount val="21"/>
                <c:pt idx="0">
                  <c:v>100</c:v>
                </c:pt>
                <c:pt idx="1">
                  <c:v>82.915537413569538</c:v>
                </c:pt>
                <c:pt idx="2">
                  <c:v>80.807725806845752</c:v>
                </c:pt>
                <c:pt idx="3">
                  <c:v>80.272917282092877</c:v>
                </c:pt>
                <c:pt idx="4">
                  <c:v>78.896065560823942</c:v>
                </c:pt>
                <c:pt idx="5">
                  <c:v>78.585249734709549</c:v>
                </c:pt>
                <c:pt idx="6">
                  <c:v>78.261801514921359</c:v>
                </c:pt>
                <c:pt idx="7">
                  <c:v>77.624645839690629</c:v>
                </c:pt>
                <c:pt idx="8">
                  <c:v>77.671299493623408</c:v>
                </c:pt>
                <c:pt idx="9">
                  <c:v>76.269306354985986</c:v>
                </c:pt>
                <c:pt idx="10">
                  <c:v>76.13884398963738</c:v>
                </c:pt>
                <c:pt idx="11">
                  <c:v>77.249497243796213</c:v>
                </c:pt>
                <c:pt idx="12">
                  <c:v>77.420549812291341</c:v>
                </c:pt>
                <c:pt idx="13">
                  <c:v>77.578811688746256</c:v>
                </c:pt>
                <c:pt idx="14">
                  <c:v>78.505896442054137</c:v>
                </c:pt>
                <c:pt idx="15">
                  <c:v>78.739728855392258</c:v>
                </c:pt>
                <c:pt idx="16">
                  <c:v>78.634946451880367</c:v>
                </c:pt>
                <c:pt idx="17">
                  <c:v>79.276419053651395</c:v>
                </c:pt>
                <c:pt idx="18">
                  <c:v>82.301127059751693</c:v>
                </c:pt>
                <c:pt idx="19">
                  <c:v>82.40433066657441</c:v>
                </c:pt>
                <c:pt idx="20">
                  <c:v>84.208085727370616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B-B545-93CD-843A00D4E5F5}"/>
            </c:ext>
          </c:extLst>
        </c:ser>
        <c:ser>
          <c:idx val="1"/>
          <c:order val="1"/>
          <c:tx>
            <c:strRef>
              <c:f>ws_Stage_4!$C$2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ws_Stage_4!$C$3:$C$23</c:f>
              <c:numCache>
                <c:formatCode>General</c:formatCode>
                <c:ptCount val="21"/>
                <c:pt idx="0">
                  <c:v>100</c:v>
                </c:pt>
                <c:pt idx="1">
                  <c:v>93.362737770237132</c:v>
                </c:pt>
                <c:pt idx="2">
                  <c:v>94.25931591766097</c:v>
                </c:pt>
                <c:pt idx="3">
                  <c:v>96.747771364327519</c:v>
                </c:pt>
                <c:pt idx="4">
                  <c:v>99.11337995894533</c:v>
                </c:pt>
                <c:pt idx="5">
                  <c:v>102.1899553162274</c:v>
                </c:pt>
                <c:pt idx="6">
                  <c:v>105.51489362064839</c:v>
                </c:pt>
                <c:pt idx="7">
                  <c:v>108.0561488630653</c:v>
                </c:pt>
                <c:pt idx="8">
                  <c:v>110.6957346359128</c:v>
                </c:pt>
                <c:pt idx="9">
                  <c:v>112.9299222736298</c:v>
                </c:pt>
                <c:pt idx="10">
                  <c:v>115.8538950314677</c:v>
                </c:pt>
                <c:pt idx="11">
                  <c:v>118.28491415076481</c:v>
                </c:pt>
                <c:pt idx="12">
                  <c:v>121.5313784560431</c:v>
                </c:pt>
                <c:pt idx="13">
                  <c:v>124.76752021738589</c:v>
                </c:pt>
                <c:pt idx="14">
                  <c:v>129.19669873219661</c:v>
                </c:pt>
                <c:pt idx="15">
                  <c:v>133.07678286118821</c:v>
                </c:pt>
                <c:pt idx="16">
                  <c:v>137.33123984416599</c:v>
                </c:pt>
                <c:pt idx="17">
                  <c:v>140.93022234272169</c:v>
                </c:pt>
                <c:pt idx="18">
                  <c:v>145.07391243297289</c:v>
                </c:pt>
                <c:pt idx="19">
                  <c:v>149.1556237974963</c:v>
                </c:pt>
                <c:pt idx="20">
                  <c:v>154.4134961355374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B-B545-93CD-843A00D4E5F5}"/>
            </c:ext>
          </c:extLst>
        </c:ser>
        <c:ser>
          <c:idx val="2"/>
          <c:order val="2"/>
          <c:tx>
            <c:strRef>
              <c:f>ws_Stage_4!$D$2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107.1734287450233</c:v>
                </c:pt>
                <c:pt idx="2">
                  <c:v>113.70737046419821</c:v>
                </c:pt>
                <c:pt idx="3">
                  <c:v>120.6775405282177</c:v>
                </c:pt>
                <c:pt idx="4">
                  <c:v>128.70157619408269</c:v>
                </c:pt>
                <c:pt idx="5">
                  <c:v>137.29896720021591</c:v>
                </c:pt>
                <c:pt idx="6">
                  <c:v>146.2630870358405</c:v>
                </c:pt>
                <c:pt idx="7">
                  <c:v>155.14661794477081</c:v>
                </c:pt>
                <c:pt idx="8">
                  <c:v>164.70499142078589</c:v>
                </c:pt>
                <c:pt idx="9">
                  <c:v>174.2440995680999</c:v>
                </c:pt>
                <c:pt idx="10">
                  <c:v>183.21075298374319</c:v>
                </c:pt>
                <c:pt idx="11">
                  <c:v>193.50828579590839</c:v>
                </c:pt>
                <c:pt idx="12">
                  <c:v>203.40636152590551</c:v>
                </c:pt>
                <c:pt idx="13">
                  <c:v>214.79115982965271</c:v>
                </c:pt>
                <c:pt idx="14">
                  <c:v>226.84663866361899</c:v>
                </c:pt>
                <c:pt idx="15">
                  <c:v>238.5536112935367</c:v>
                </c:pt>
                <c:pt idx="16">
                  <c:v>250.96632277462919</c:v>
                </c:pt>
                <c:pt idx="17">
                  <c:v>264.09493271869621</c:v>
                </c:pt>
                <c:pt idx="18">
                  <c:v>278.93560746201427</c:v>
                </c:pt>
                <c:pt idx="19">
                  <c:v>294.04168856549683</c:v>
                </c:pt>
                <c:pt idx="20">
                  <c:v>309.37677361616107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B-B545-93CD-843A00D4E5F5}"/>
            </c:ext>
          </c:extLst>
        </c:ser>
        <c:ser>
          <c:idx val="3"/>
          <c:order val="3"/>
          <c:tx>
            <c:strRef>
              <c:f>ws_Stage_4!$E$2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121.43356249843509</c:v>
                </c:pt>
                <c:pt idx="2">
                  <c:v>135.86166625965899</c:v>
                </c:pt>
                <c:pt idx="3">
                  <c:v>149.26200344396861</c:v>
                </c:pt>
                <c:pt idx="4">
                  <c:v>165.17972521191399</c:v>
                </c:pt>
                <c:pt idx="5">
                  <c:v>182.22257686677571</c:v>
                </c:pt>
                <c:pt idx="6">
                  <c:v>199.5683268853706</c:v>
                </c:pt>
                <c:pt idx="7">
                  <c:v>218.33823510232389</c:v>
                </c:pt>
                <c:pt idx="8">
                  <c:v>238.60543916330309</c:v>
                </c:pt>
                <c:pt idx="9">
                  <c:v>258.54584002131281</c:v>
                </c:pt>
                <c:pt idx="10">
                  <c:v>279.70984471571512</c:v>
                </c:pt>
                <c:pt idx="11">
                  <c:v>302.41128067122662</c:v>
                </c:pt>
                <c:pt idx="12">
                  <c:v>328.34305890423173</c:v>
                </c:pt>
                <c:pt idx="13">
                  <c:v>354.41304598633718</c:v>
                </c:pt>
                <c:pt idx="14">
                  <c:v>381.25799164348791</c:v>
                </c:pt>
                <c:pt idx="15">
                  <c:v>411.42198674179019</c:v>
                </c:pt>
                <c:pt idx="16">
                  <c:v>445.05710787183989</c:v>
                </c:pt>
                <c:pt idx="17">
                  <c:v>479.48536553841762</c:v>
                </c:pt>
                <c:pt idx="18">
                  <c:v>518.96012173544193</c:v>
                </c:pt>
                <c:pt idx="19">
                  <c:v>557.10053765942371</c:v>
                </c:pt>
                <c:pt idx="20">
                  <c:v>595.87329069813802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AB-B545-93CD-843A00D4E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ws_Stage_4!$F$2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80.522070251315199</c:v>
                </c:pt>
                <c:pt idx="2">
                  <c:v>76.305425810532299</c:v>
                </c:pt>
                <c:pt idx="3">
                  <c:v>74.594770517853277</c:v>
                </c:pt>
                <c:pt idx="4">
                  <c:v>71.641432147210239</c:v>
                </c:pt>
                <c:pt idx="5">
                  <c:v>69.884224791311794</c:v>
                </c:pt>
                <c:pt idx="6">
                  <c:v>68.468862385100408</c:v>
                </c:pt>
                <c:pt idx="7">
                  <c:v>66.348426908689589</c:v>
                </c:pt>
                <c:pt idx="8">
                  <c:v>64.894642975680966</c:v>
                </c:pt>
                <c:pt idx="9">
                  <c:v>62.733492974413473</c:v>
                </c:pt>
                <c:pt idx="10">
                  <c:v>61.521157339871607</c:v>
                </c:pt>
                <c:pt idx="11">
                  <c:v>61.783486562654133</c:v>
                </c:pt>
                <c:pt idx="12">
                  <c:v>60.282295999396098</c:v>
                </c:pt>
                <c:pt idx="13">
                  <c:v>59.2986804709018</c:v>
                </c:pt>
                <c:pt idx="14">
                  <c:v>58.648105659641708</c:v>
                </c:pt>
                <c:pt idx="15">
                  <c:v>58.512530469601849</c:v>
                </c:pt>
                <c:pt idx="16">
                  <c:v>56.687780441977402</c:v>
                </c:pt>
                <c:pt idx="17">
                  <c:v>56.456385309951713</c:v>
                </c:pt>
                <c:pt idx="18">
                  <c:v>56.841470193423042</c:v>
                </c:pt>
                <c:pt idx="19">
                  <c:v>56.534143660282972</c:v>
                </c:pt>
                <c:pt idx="20">
                  <c:v>56.885510384779877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C-1E4B-8603-6E2683A5A8CD}"/>
            </c:ext>
          </c:extLst>
        </c:ser>
        <c:ser>
          <c:idx val="1"/>
          <c:order val="1"/>
          <c:tx>
            <c:strRef>
              <c:f>ws_Stage_4!$G$2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ws_Stage_4!$G$3:$G$23</c:f>
              <c:numCache>
                <c:formatCode>General</c:formatCode>
                <c:ptCount val="21"/>
                <c:pt idx="0">
                  <c:v>100</c:v>
                </c:pt>
                <c:pt idx="1">
                  <c:v>90.931514394321738</c:v>
                </c:pt>
                <c:pt idx="2">
                  <c:v>89.720437331191164</c:v>
                </c:pt>
                <c:pt idx="3">
                  <c:v>90.092707128526428</c:v>
                </c:pt>
                <c:pt idx="4">
                  <c:v>90.351747621533804</c:v>
                </c:pt>
                <c:pt idx="5">
                  <c:v>91.137927561239593</c:v>
                </c:pt>
                <c:pt idx="6">
                  <c:v>92.036662983601445</c:v>
                </c:pt>
                <c:pt idx="7">
                  <c:v>92.225290501521584</c:v>
                </c:pt>
                <c:pt idx="8">
                  <c:v>92.826678694610095</c:v>
                </c:pt>
                <c:pt idx="9">
                  <c:v>92.6814436614643</c:v>
                </c:pt>
                <c:pt idx="10">
                  <c:v>93.332497151050802</c:v>
                </c:pt>
                <c:pt idx="11">
                  <c:v>93.724796546830717</c:v>
                </c:pt>
                <c:pt idx="12">
                  <c:v>94.307041153495618</c:v>
                </c:pt>
                <c:pt idx="13">
                  <c:v>95.12064448055969</c:v>
                </c:pt>
                <c:pt idx="14">
                  <c:v>96.690181415514033</c:v>
                </c:pt>
                <c:pt idx="15">
                  <c:v>97.437430040633501</c:v>
                </c:pt>
                <c:pt idx="16">
                  <c:v>98.36264818534454</c:v>
                </c:pt>
                <c:pt idx="17">
                  <c:v>99.016281807324575</c:v>
                </c:pt>
                <c:pt idx="18">
                  <c:v>100.20750272077041</c:v>
                </c:pt>
                <c:pt idx="19">
                  <c:v>101.0245076271098</c:v>
                </c:pt>
                <c:pt idx="20">
                  <c:v>102.3732571981496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C-1E4B-8603-6E2683A5A8CD}"/>
            </c:ext>
          </c:extLst>
        </c:ser>
        <c:ser>
          <c:idx val="2"/>
          <c:order val="2"/>
          <c:tx>
            <c:strRef>
              <c:f>ws_Stage_4!$H$2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104.859557468961</c:v>
                </c:pt>
                <c:pt idx="2">
                  <c:v>108.61999854487939</c:v>
                </c:pt>
                <c:pt idx="3">
                  <c:v>112.8065842151325</c:v>
                </c:pt>
                <c:pt idx="4">
                  <c:v>117.71242839972589</c:v>
                </c:pt>
                <c:pt idx="5">
                  <c:v>122.8372087796663</c:v>
                </c:pt>
                <c:pt idx="6">
                  <c:v>128.2774387023122</c:v>
                </c:pt>
                <c:pt idx="7">
                  <c:v>133.36218894551979</c:v>
                </c:pt>
                <c:pt idx="8">
                  <c:v>138.70397046590529</c:v>
                </c:pt>
                <c:pt idx="9">
                  <c:v>143.79165481709751</c:v>
                </c:pt>
                <c:pt idx="10">
                  <c:v>148.3718781676011</c:v>
                </c:pt>
                <c:pt idx="11">
                  <c:v>153.4672227899263</c:v>
                </c:pt>
                <c:pt idx="12">
                  <c:v>158.12111658026399</c:v>
                </c:pt>
                <c:pt idx="13">
                  <c:v>163.4309236637994</c:v>
                </c:pt>
                <c:pt idx="14">
                  <c:v>169.3122579739472</c:v>
                </c:pt>
                <c:pt idx="15">
                  <c:v>174.49200768982001</c:v>
                </c:pt>
                <c:pt idx="16">
                  <c:v>180.49420462132611</c:v>
                </c:pt>
                <c:pt idx="17">
                  <c:v>186.55743272066849</c:v>
                </c:pt>
                <c:pt idx="18">
                  <c:v>192.61384359416081</c:v>
                </c:pt>
                <c:pt idx="19">
                  <c:v>199.36143500159659</c:v>
                </c:pt>
                <c:pt idx="20">
                  <c:v>205.64225603015859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C-1E4B-8603-6E2683A5A8CD}"/>
            </c:ext>
          </c:extLst>
        </c:ser>
        <c:ser>
          <c:idx val="3"/>
          <c:order val="3"/>
          <c:tx>
            <c:strRef>
              <c:f>ws_Stage_4!$I$2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118.9543162028244</c:v>
                </c:pt>
                <c:pt idx="2">
                  <c:v>130.14680066810541</c:v>
                </c:pt>
                <c:pt idx="3">
                  <c:v>140.078759206147</c:v>
                </c:pt>
                <c:pt idx="4">
                  <c:v>151.6495577083563</c:v>
                </c:pt>
                <c:pt idx="5">
                  <c:v>163.976989256629</c:v>
                </c:pt>
                <c:pt idx="6">
                  <c:v>175.8851806695794</c:v>
                </c:pt>
                <c:pt idx="7">
                  <c:v>188.43461735950521</c:v>
                </c:pt>
                <c:pt idx="8">
                  <c:v>201.4382065019912</c:v>
                </c:pt>
                <c:pt idx="9">
                  <c:v>214.37394487993711</c:v>
                </c:pt>
                <c:pt idx="10">
                  <c:v>228.1445503376107</c:v>
                </c:pt>
                <c:pt idx="11">
                  <c:v>241.89638032055811</c:v>
                </c:pt>
                <c:pt idx="12">
                  <c:v>257.49911543893307</c:v>
                </c:pt>
                <c:pt idx="13">
                  <c:v>270.58267849228031</c:v>
                </c:pt>
                <c:pt idx="14">
                  <c:v>285.99561410307348</c:v>
                </c:pt>
                <c:pt idx="15">
                  <c:v>302.96083823988778</c:v>
                </c:pt>
                <c:pt idx="16">
                  <c:v>321.62150108604772</c:v>
                </c:pt>
                <c:pt idx="17">
                  <c:v>339.29344024339417</c:v>
                </c:pt>
                <c:pt idx="18">
                  <c:v>358.04270600213079</c:v>
                </c:pt>
                <c:pt idx="19">
                  <c:v>378.5410974436241</c:v>
                </c:pt>
                <c:pt idx="20">
                  <c:v>397.56312226108639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9C-1E4B-8603-6E2683A5A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ws_Stage_4!$N$2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B-4743-A900-2F86C4044D43}"/>
            </c:ext>
          </c:extLst>
        </c:ser>
        <c:ser>
          <c:idx val="1"/>
          <c:order val="1"/>
          <c:tx>
            <c:strRef>
              <c:f>ws_Stage_4!$O$2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FB-4743-A900-2F86C4044D43}"/>
            </c:ext>
          </c:extLst>
        </c:ser>
        <c:ser>
          <c:idx val="2"/>
          <c:order val="2"/>
          <c:tx>
            <c:strRef>
              <c:f>ws_Stage_4!$P$2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FB-4743-A900-2F86C4044D43}"/>
            </c:ext>
          </c:extLst>
        </c:ser>
        <c:ser>
          <c:idx val="3"/>
          <c:order val="3"/>
          <c:tx>
            <c:strRef>
              <c:f>ws_Stage_4!$Q$2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ws_Stage_4!$A$3:$A$23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ws_Stage_4!$Q$3:$Q$23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FB-4743-A900-2F86C4044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ws_Stage_5!$J$2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D-D64F-BCE2-5BAB62E9FE09}"/>
            </c:ext>
          </c:extLst>
        </c:ser>
        <c:ser>
          <c:idx val="1"/>
          <c:order val="1"/>
          <c:tx>
            <c:strRef>
              <c:f>ws_Stage_5!$K$2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D-D64F-BCE2-5BAB62E9FE09}"/>
            </c:ext>
          </c:extLst>
        </c:ser>
        <c:ser>
          <c:idx val="2"/>
          <c:order val="2"/>
          <c:tx>
            <c:strRef>
              <c:f>ws_Stage_5!$L$2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D-D64F-BCE2-5BAB62E9FE09}"/>
            </c:ext>
          </c:extLst>
        </c:ser>
        <c:ser>
          <c:idx val="3"/>
          <c:order val="3"/>
          <c:tx>
            <c:strRef>
              <c:f>ws_Stage_5!$M$2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5D-D64F-BCE2-5BAB62E9F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ws_Stage_5!$B$2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ws_Stage_5!$B$3:$B$23</c:f>
              <c:numCache>
                <c:formatCode>General</c:formatCode>
                <c:ptCount val="21"/>
                <c:pt idx="0">
                  <c:v>100</c:v>
                </c:pt>
                <c:pt idx="1">
                  <c:v>86.345964117102312</c:v>
                </c:pt>
                <c:pt idx="2">
                  <c:v>86.348363629621772</c:v>
                </c:pt>
                <c:pt idx="3">
                  <c:v>87.226863174283892</c:v>
                </c:pt>
                <c:pt idx="4">
                  <c:v>87.427424701007865</c:v>
                </c:pt>
                <c:pt idx="5">
                  <c:v>88.154955404980853</c:v>
                </c:pt>
                <c:pt idx="6">
                  <c:v>89.593838089825766</c:v>
                </c:pt>
                <c:pt idx="7">
                  <c:v>88.862717594755608</c:v>
                </c:pt>
                <c:pt idx="8">
                  <c:v>89.334640807674688</c:v>
                </c:pt>
                <c:pt idx="9">
                  <c:v>89.082112627096066</c:v>
                </c:pt>
                <c:pt idx="10">
                  <c:v>90.248388005400429</c:v>
                </c:pt>
                <c:pt idx="11">
                  <c:v>91.832997714684694</c:v>
                </c:pt>
                <c:pt idx="12">
                  <c:v>93.527434984782147</c:v>
                </c:pt>
                <c:pt idx="13">
                  <c:v>93.99130058417326</c:v>
                </c:pt>
                <c:pt idx="14">
                  <c:v>95.82893988677769</c:v>
                </c:pt>
                <c:pt idx="15">
                  <c:v>97.021364423281923</c:v>
                </c:pt>
                <c:pt idx="16">
                  <c:v>98.466150843313173</c:v>
                </c:pt>
                <c:pt idx="17">
                  <c:v>100.95410752782919</c:v>
                </c:pt>
                <c:pt idx="18">
                  <c:v>103.45148621167939</c:v>
                </c:pt>
                <c:pt idx="19">
                  <c:v>106.2712814586003</c:v>
                </c:pt>
                <c:pt idx="20">
                  <c:v>108.3995167203644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F-C747-997E-C546501A6C03}"/>
            </c:ext>
          </c:extLst>
        </c:ser>
        <c:ser>
          <c:idx val="1"/>
          <c:order val="1"/>
          <c:tx>
            <c:strRef>
              <c:f>ws_Stage_5!$C$2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ws_Stage_5!$C$3:$C$23</c:f>
              <c:numCache>
                <c:formatCode>General</c:formatCode>
                <c:ptCount val="21"/>
                <c:pt idx="0">
                  <c:v>100</c:v>
                </c:pt>
                <c:pt idx="1">
                  <c:v>95.816856409572495</c:v>
                </c:pt>
                <c:pt idx="2">
                  <c:v>98.054125070162371</c:v>
                </c:pt>
                <c:pt idx="3">
                  <c:v>101.8975816481902</c:v>
                </c:pt>
                <c:pt idx="4">
                  <c:v>105.2750062242888</c:v>
                </c:pt>
                <c:pt idx="5">
                  <c:v>109.5926090101356</c:v>
                </c:pt>
                <c:pt idx="6">
                  <c:v>114.0181437082483</c:v>
                </c:pt>
                <c:pt idx="7">
                  <c:v>117.33429525540259</c:v>
                </c:pt>
                <c:pt idx="8">
                  <c:v>121.3375332052496</c:v>
                </c:pt>
                <c:pt idx="9">
                  <c:v>124.4009525777126</c:v>
                </c:pt>
                <c:pt idx="10">
                  <c:v>128.51170856096709</c:v>
                </c:pt>
                <c:pt idx="11">
                  <c:v>132.36006755170891</c:v>
                </c:pt>
                <c:pt idx="12">
                  <c:v>136.61067937175949</c:v>
                </c:pt>
                <c:pt idx="13">
                  <c:v>140.90179538970199</c:v>
                </c:pt>
                <c:pt idx="14">
                  <c:v>146.64910152065099</c:v>
                </c:pt>
                <c:pt idx="15">
                  <c:v>150.94914805981321</c:v>
                </c:pt>
                <c:pt idx="16">
                  <c:v>156.7867172851619</c:v>
                </c:pt>
                <c:pt idx="17">
                  <c:v>162.45654088625261</c:v>
                </c:pt>
                <c:pt idx="18">
                  <c:v>168.23484427276591</c:v>
                </c:pt>
                <c:pt idx="19">
                  <c:v>174.44758939798231</c:v>
                </c:pt>
                <c:pt idx="20">
                  <c:v>181.49307290718721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CF-C747-997E-C546501A6C03}"/>
            </c:ext>
          </c:extLst>
        </c:ser>
        <c:ser>
          <c:idx val="2"/>
          <c:order val="2"/>
          <c:tx>
            <c:strRef>
              <c:f>ws_Stage_5!$D$2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107.81708963326</c:v>
                </c:pt>
                <c:pt idx="2">
                  <c:v>114.68404477606251</c:v>
                </c:pt>
                <c:pt idx="3">
                  <c:v>121.97018936839341</c:v>
                </c:pt>
                <c:pt idx="4">
                  <c:v>130.37229136105969</c:v>
                </c:pt>
                <c:pt idx="5">
                  <c:v>139.63041184909389</c:v>
                </c:pt>
                <c:pt idx="6">
                  <c:v>149.14695127778481</c:v>
                </c:pt>
                <c:pt idx="7">
                  <c:v>158.76532465102181</c:v>
                </c:pt>
                <c:pt idx="8">
                  <c:v>168.659072517759</c:v>
                </c:pt>
                <c:pt idx="9">
                  <c:v>178.94482261948329</c:v>
                </c:pt>
                <c:pt idx="10">
                  <c:v>189.2573042257047</c:v>
                </c:pt>
                <c:pt idx="11">
                  <c:v>200.2845200698757</c:v>
                </c:pt>
                <c:pt idx="12">
                  <c:v>211.19326216171939</c:v>
                </c:pt>
                <c:pt idx="13">
                  <c:v>223.036528913354</c:v>
                </c:pt>
                <c:pt idx="14">
                  <c:v>235.94604963203079</c:v>
                </c:pt>
                <c:pt idx="15">
                  <c:v>249.135712557472</c:v>
                </c:pt>
                <c:pt idx="16">
                  <c:v>262.85850970781007</c:v>
                </c:pt>
                <c:pt idx="17">
                  <c:v>276.51243037666251</c:v>
                </c:pt>
                <c:pt idx="18">
                  <c:v>293.19502399485111</c:v>
                </c:pt>
                <c:pt idx="19">
                  <c:v>310.3022272637495</c:v>
                </c:pt>
                <c:pt idx="20">
                  <c:v>326.0744959955893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CF-C747-997E-C546501A6C03}"/>
            </c:ext>
          </c:extLst>
        </c:ser>
        <c:ser>
          <c:idx val="3"/>
          <c:order val="3"/>
          <c:tx>
            <c:strRef>
              <c:f>ws_Stage_5!$E$2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118.88689342681739</c:v>
                </c:pt>
                <c:pt idx="2">
                  <c:v>132.0462686335556</c:v>
                </c:pt>
                <c:pt idx="3">
                  <c:v>144.89398438101671</c:v>
                </c:pt>
                <c:pt idx="4">
                  <c:v>159.61616101369421</c:v>
                </c:pt>
                <c:pt idx="5">
                  <c:v>175.35187767263369</c:v>
                </c:pt>
                <c:pt idx="6">
                  <c:v>191.4275774658727</c:v>
                </c:pt>
                <c:pt idx="7">
                  <c:v>209.3200587182738</c:v>
                </c:pt>
                <c:pt idx="8">
                  <c:v>227.4823975369066</c:v>
                </c:pt>
                <c:pt idx="9">
                  <c:v>247.19208524773799</c:v>
                </c:pt>
                <c:pt idx="10">
                  <c:v>267.2271156584456</c:v>
                </c:pt>
                <c:pt idx="11">
                  <c:v>288.81126269337972</c:v>
                </c:pt>
                <c:pt idx="12">
                  <c:v>313.1676806050699</c:v>
                </c:pt>
                <c:pt idx="13">
                  <c:v>337.59252883682132</c:v>
                </c:pt>
                <c:pt idx="14">
                  <c:v>364.55554135624038</c:v>
                </c:pt>
                <c:pt idx="15">
                  <c:v>393.43468800730409</c:v>
                </c:pt>
                <c:pt idx="16">
                  <c:v>423.77787981126949</c:v>
                </c:pt>
                <c:pt idx="17">
                  <c:v>456.78506565579698</c:v>
                </c:pt>
                <c:pt idx="18">
                  <c:v>493.14999818832001</c:v>
                </c:pt>
                <c:pt idx="19">
                  <c:v>527.80178248691959</c:v>
                </c:pt>
                <c:pt idx="20">
                  <c:v>567.57828905865836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CF-C747-997E-C546501A6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ws_Stage_5!$F$2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ws_Stage_5!$F$3:$F$23</c:f>
              <c:numCache>
                <c:formatCode>General</c:formatCode>
                <c:ptCount val="21"/>
                <c:pt idx="0">
                  <c:v>100</c:v>
                </c:pt>
                <c:pt idx="1">
                  <c:v>83.485214978678158</c:v>
                </c:pt>
                <c:pt idx="2">
                  <c:v>81.604935010808092</c:v>
                </c:pt>
                <c:pt idx="3">
                  <c:v>80.690831273788177</c:v>
                </c:pt>
                <c:pt idx="4">
                  <c:v>78.982044537135295</c:v>
                </c:pt>
                <c:pt idx="5">
                  <c:v>78.351826608674486</c:v>
                </c:pt>
                <c:pt idx="6">
                  <c:v>78.121172972695305</c:v>
                </c:pt>
                <c:pt idx="7">
                  <c:v>75.629817454808787</c:v>
                </c:pt>
                <c:pt idx="8">
                  <c:v>75.709819850253965</c:v>
                </c:pt>
                <c:pt idx="9">
                  <c:v>73.277383475178809</c:v>
                </c:pt>
                <c:pt idx="10">
                  <c:v>72.61019800452749</c:v>
                </c:pt>
                <c:pt idx="11">
                  <c:v>72.693902532957722</c:v>
                </c:pt>
                <c:pt idx="12">
                  <c:v>72.117934564518407</c:v>
                </c:pt>
                <c:pt idx="13">
                  <c:v>71.517805390620353</c:v>
                </c:pt>
                <c:pt idx="14">
                  <c:v>71.000241883624824</c:v>
                </c:pt>
                <c:pt idx="15">
                  <c:v>71.465109882133959</c:v>
                </c:pt>
                <c:pt idx="16">
                  <c:v>71.350818039816829</c:v>
                </c:pt>
                <c:pt idx="17">
                  <c:v>71.353438364174522</c:v>
                </c:pt>
                <c:pt idx="18">
                  <c:v>71.340653844133257</c:v>
                </c:pt>
                <c:pt idx="19">
                  <c:v>72.46764102021524</c:v>
                </c:pt>
                <c:pt idx="20">
                  <c:v>73.335623488932811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6-B449-8701-EB880C01CD9A}"/>
            </c:ext>
          </c:extLst>
        </c:ser>
        <c:ser>
          <c:idx val="1"/>
          <c:order val="1"/>
          <c:tx>
            <c:strRef>
              <c:f>ws_Stage_5!$G$2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ws_Stage_5!$G$3:$G$23</c:f>
              <c:numCache>
                <c:formatCode>General</c:formatCode>
                <c:ptCount val="21"/>
                <c:pt idx="0">
                  <c:v>100</c:v>
                </c:pt>
                <c:pt idx="1">
                  <c:v>93.437690440197912</c:v>
                </c:pt>
                <c:pt idx="2">
                  <c:v>93.21373182129652</c:v>
                </c:pt>
                <c:pt idx="3">
                  <c:v>94.883062203073493</c:v>
                </c:pt>
                <c:pt idx="4">
                  <c:v>95.820615489596221</c:v>
                </c:pt>
                <c:pt idx="5">
                  <c:v>97.607107676687249</c:v>
                </c:pt>
                <c:pt idx="6">
                  <c:v>99.313699636906918</c:v>
                </c:pt>
                <c:pt idx="7">
                  <c:v>100.26795404504421</c:v>
                </c:pt>
                <c:pt idx="8">
                  <c:v>101.68396568729931</c:v>
                </c:pt>
                <c:pt idx="9">
                  <c:v>102.2896706109107</c:v>
                </c:pt>
                <c:pt idx="10">
                  <c:v>103.69026614255949</c:v>
                </c:pt>
                <c:pt idx="11">
                  <c:v>104.75859567186821</c:v>
                </c:pt>
                <c:pt idx="12">
                  <c:v>106.05648134495679</c:v>
                </c:pt>
                <c:pt idx="13">
                  <c:v>107.3257691812158</c:v>
                </c:pt>
                <c:pt idx="14">
                  <c:v>109.24492092108009</c:v>
                </c:pt>
                <c:pt idx="15">
                  <c:v>110.88651892430271</c:v>
                </c:pt>
                <c:pt idx="16">
                  <c:v>112.6543920905856</c:v>
                </c:pt>
                <c:pt idx="17">
                  <c:v>114.11977929254491</c:v>
                </c:pt>
                <c:pt idx="18">
                  <c:v>116.0564694795283</c:v>
                </c:pt>
                <c:pt idx="19">
                  <c:v>117.9865932425829</c:v>
                </c:pt>
                <c:pt idx="20">
                  <c:v>119.91688400045069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6-B449-8701-EB880C01CD9A}"/>
            </c:ext>
          </c:extLst>
        </c:ser>
        <c:ser>
          <c:idx val="2"/>
          <c:order val="2"/>
          <c:tx>
            <c:strRef>
              <c:f>ws_Stage_5!$H$2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105.46690324814961</c:v>
                </c:pt>
                <c:pt idx="2">
                  <c:v>109.57674625592151</c:v>
                </c:pt>
                <c:pt idx="3">
                  <c:v>113.94754294760401</c:v>
                </c:pt>
                <c:pt idx="4">
                  <c:v>119.2779424349993</c:v>
                </c:pt>
                <c:pt idx="5">
                  <c:v>125.0703628713827</c:v>
                </c:pt>
                <c:pt idx="6">
                  <c:v>130.8845825839214</c:v>
                </c:pt>
                <c:pt idx="7">
                  <c:v>136.4521140947796</c:v>
                </c:pt>
                <c:pt idx="8">
                  <c:v>141.86711314486789</c:v>
                </c:pt>
                <c:pt idx="9">
                  <c:v>147.62052496059391</c:v>
                </c:pt>
                <c:pt idx="10">
                  <c:v>152.88784068618989</c:v>
                </c:pt>
                <c:pt idx="11">
                  <c:v>158.46187788118399</c:v>
                </c:pt>
                <c:pt idx="12">
                  <c:v>163.91368466125249</c:v>
                </c:pt>
                <c:pt idx="13">
                  <c:v>169.8019382997683</c:v>
                </c:pt>
                <c:pt idx="14">
                  <c:v>176.24403769577609</c:v>
                </c:pt>
                <c:pt idx="15">
                  <c:v>182.54013273593179</c:v>
                </c:pt>
                <c:pt idx="16">
                  <c:v>188.92025252675401</c:v>
                </c:pt>
                <c:pt idx="17">
                  <c:v>194.7568410602762</c:v>
                </c:pt>
                <c:pt idx="18">
                  <c:v>203.0049992558717</c:v>
                </c:pt>
                <c:pt idx="19">
                  <c:v>209.88875434486619</c:v>
                </c:pt>
                <c:pt idx="20">
                  <c:v>217.24468973642641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6-B449-8701-EB880C01CD9A}"/>
            </c:ext>
          </c:extLst>
        </c:ser>
        <c:ser>
          <c:idx val="3"/>
          <c:order val="3"/>
          <c:tx>
            <c:strRef>
              <c:f>ws_Stage_5!$I$2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116.4335802288624</c:v>
                </c:pt>
                <c:pt idx="2">
                  <c:v>126.5665438153045</c:v>
                </c:pt>
                <c:pt idx="3">
                  <c:v>136.0496611991251</c:v>
                </c:pt>
                <c:pt idx="4">
                  <c:v>146.6296500241709</c:v>
                </c:pt>
                <c:pt idx="5">
                  <c:v>157.86260448174599</c:v>
                </c:pt>
                <c:pt idx="6">
                  <c:v>168.97666426105431</c:v>
                </c:pt>
                <c:pt idx="7">
                  <c:v>180.72194192685691</c:v>
                </c:pt>
                <c:pt idx="8">
                  <c:v>192.76030704678729</c:v>
                </c:pt>
                <c:pt idx="9">
                  <c:v>205.31149407092801</c:v>
                </c:pt>
                <c:pt idx="10">
                  <c:v>217.9649120826862</c:v>
                </c:pt>
                <c:pt idx="11">
                  <c:v>230.45704057060391</c:v>
                </c:pt>
                <c:pt idx="12">
                  <c:v>244.53248097955941</c:v>
                </c:pt>
                <c:pt idx="13">
                  <c:v>258.47594927883182</c:v>
                </c:pt>
                <c:pt idx="14">
                  <c:v>274.53475461196808</c:v>
                </c:pt>
                <c:pt idx="15">
                  <c:v>289.46121667154267</c:v>
                </c:pt>
                <c:pt idx="16">
                  <c:v>305.64528429395432</c:v>
                </c:pt>
                <c:pt idx="17">
                  <c:v>322.92154992759993</c:v>
                </c:pt>
                <c:pt idx="18">
                  <c:v>340.41977507779211</c:v>
                </c:pt>
                <c:pt idx="19">
                  <c:v>358.26404366912902</c:v>
                </c:pt>
                <c:pt idx="20">
                  <c:v>377.64975251894089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36-B449-8701-EB880C01C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ws_Stage_5!$N$2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F-B045-B85E-92D1DD05FE25}"/>
            </c:ext>
          </c:extLst>
        </c:ser>
        <c:ser>
          <c:idx val="1"/>
          <c:order val="1"/>
          <c:tx>
            <c:strRef>
              <c:f>ws_Stage_5!$O$2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F-B045-B85E-92D1DD05FE25}"/>
            </c:ext>
          </c:extLst>
        </c:ser>
        <c:ser>
          <c:idx val="2"/>
          <c:order val="2"/>
          <c:tx>
            <c:strRef>
              <c:f>ws_Stage_5!$P$2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F-B045-B85E-92D1DD05FE25}"/>
            </c:ext>
          </c:extLst>
        </c:ser>
        <c:ser>
          <c:idx val="3"/>
          <c:order val="3"/>
          <c:tx>
            <c:strRef>
              <c:f>ws_Stage_5!$Q$2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ws_Stage_5!$A$3:$A$23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ws_Stage_5!$Q$3:$Q$23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AF-B045-B85E-92D1DD05F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ws_Diversified_Portfolio!$J$2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7-8F42-91F7-FFC2CC3447CA}"/>
            </c:ext>
          </c:extLst>
        </c:ser>
        <c:ser>
          <c:idx val="1"/>
          <c:order val="1"/>
          <c:tx>
            <c:strRef>
              <c:f>ws_Diversified_Portfolio!$K$2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7-8F42-91F7-FFC2CC3447CA}"/>
            </c:ext>
          </c:extLst>
        </c:ser>
        <c:ser>
          <c:idx val="2"/>
          <c:order val="2"/>
          <c:tx>
            <c:strRef>
              <c:f>ws_Diversified_Portfolio!$L$2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27-8F42-91F7-FFC2CC3447CA}"/>
            </c:ext>
          </c:extLst>
        </c:ser>
        <c:ser>
          <c:idx val="3"/>
          <c:order val="3"/>
          <c:tx>
            <c:strRef>
              <c:f>ws_Diversified_Portfolio!$M$2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27-8F42-91F7-FFC2CC344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ws_Diversified_Portfolio!$B$2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87.712923580903151</c:v>
                </c:pt>
                <c:pt idx="2">
                  <c:v>89.171726769568807</c:v>
                </c:pt>
                <c:pt idx="3">
                  <c:v>91.04016521292246</c:v>
                </c:pt>
                <c:pt idx="4">
                  <c:v>91.90347657350577</c:v>
                </c:pt>
                <c:pt idx="5">
                  <c:v>93.836526122626879</c:v>
                </c:pt>
                <c:pt idx="6">
                  <c:v>95.918688383516383</c:v>
                </c:pt>
                <c:pt idx="7">
                  <c:v>95.886823379913793</c:v>
                </c:pt>
                <c:pt idx="8">
                  <c:v>97.534806207117029</c:v>
                </c:pt>
                <c:pt idx="9">
                  <c:v>97.943928062076026</c:v>
                </c:pt>
                <c:pt idx="10">
                  <c:v>99.755179134313479</c:v>
                </c:pt>
                <c:pt idx="11">
                  <c:v>101.5032912130973</c:v>
                </c:pt>
                <c:pt idx="12">
                  <c:v>103.80877837199721</c:v>
                </c:pt>
                <c:pt idx="13">
                  <c:v>105.6184376095665</c:v>
                </c:pt>
                <c:pt idx="14">
                  <c:v>107.8043703539757</c:v>
                </c:pt>
                <c:pt idx="15">
                  <c:v>109.73386884775481</c:v>
                </c:pt>
                <c:pt idx="16">
                  <c:v>113.1110519043069</c:v>
                </c:pt>
                <c:pt idx="17">
                  <c:v>116.5526244977638</c:v>
                </c:pt>
                <c:pt idx="18">
                  <c:v>119.0987175442939</c:v>
                </c:pt>
                <c:pt idx="19">
                  <c:v>123.4590819883624</c:v>
                </c:pt>
                <c:pt idx="20">
                  <c:v>125.69706160242841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6-F748-83CE-8011866E86D5}"/>
            </c:ext>
          </c:extLst>
        </c:ser>
        <c:ser>
          <c:idx val="1"/>
          <c:order val="1"/>
          <c:tx>
            <c:strRef>
              <c:f>ws_Diversified_Portfolio!$C$2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97.266513555746869</c:v>
                </c:pt>
                <c:pt idx="2">
                  <c:v>100.0810042625515</c:v>
                </c:pt>
                <c:pt idx="3">
                  <c:v>104.6636117550002</c:v>
                </c:pt>
                <c:pt idx="4">
                  <c:v>108.7477615454512</c:v>
                </c:pt>
                <c:pt idx="5">
                  <c:v>113.7722911363566</c:v>
                </c:pt>
                <c:pt idx="6">
                  <c:v>118.8469877633904</c:v>
                </c:pt>
                <c:pt idx="7">
                  <c:v>123.23235010823559</c:v>
                </c:pt>
                <c:pt idx="8">
                  <c:v>127.966059480224</c:v>
                </c:pt>
                <c:pt idx="9">
                  <c:v>131.71169450735161</c:v>
                </c:pt>
                <c:pt idx="10">
                  <c:v>136.87054593661739</c:v>
                </c:pt>
                <c:pt idx="11">
                  <c:v>141.66321759268021</c:v>
                </c:pt>
                <c:pt idx="12">
                  <c:v>146.5272353266775</c:v>
                </c:pt>
                <c:pt idx="13">
                  <c:v>151.76860463460321</c:v>
                </c:pt>
                <c:pt idx="14">
                  <c:v>157.90703499658531</c:v>
                </c:pt>
                <c:pt idx="15">
                  <c:v>164.00143591209411</c:v>
                </c:pt>
                <c:pt idx="16">
                  <c:v>169.9102235061529</c:v>
                </c:pt>
                <c:pt idx="17">
                  <c:v>176.92452196131211</c:v>
                </c:pt>
                <c:pt idx="18">
                  <c:v>183.77790359012519</c:v>
                </c:pt>
                <c:pt idx="19">
                  <c:v>190.6765208063712</c:v>
                </c:pt>
                <c:pt idx="20">
                  <c:v>198.79438901831841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6-F748-83CE-8011866E86D5}"/>
            </c:ext>
          </c:extLst>
        </c:ser>
        <c:ser>
          <c:idx val="2"/>
          <c:order val="2"/>
          <c:tx>
            <c:strRef>
              <c:f>ws_Diversified_Portfolio!$D$2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108.3672592039986</c:v>
                </c:pt>
                <c:pt idx="2">
                  <c:v>115.4625199098338</c:v>
                </c:pt>
                <c:pt idx="3">
                  <c:v>122.88830520563501</c:v>
                </c:pt>
                <c:pt idx="4">
                  <c:v>131.79041631281621</c:v>
                </c:pt>
                <c:pt idx="5">
                  <c:v>141.3703338772396</c:v>
                </c:pt>
                <c:pt idx="6">
                  <c:v>151.28250039896599</c:v>
                </c:pt>
                <c:pt idx="7">
                  <c:v>161.29888783125071</c:v>
                </c:pt>
                <c:pt idx="8">
                  <c:v>171.3919325152693</c:v>
                </c:pt>
                <c:pt idx="9">
                  <c:v>182.143522140653</c:v>
                </c:pt>
                <c:pt idx="10">
                  <c:v>192.68977690508231</c:v>
                </c:pt>
                <c:pt idx="11">
                  <c:v>204.38291661324891</c:v>
                </c:pt>
                <c:pt idx="12">
                  <c:v>215.74719429793171</c:v>
                </c:pt>
                <c:pt idx="13">
                  <c:v>228.6611579429763</c:v>
                </c:pt>
                <c:pt idx="14">
                  <c:v>241.54193677049369</c:v>
                </c:pt>
                <c:pt idx="15">
                  <c:v>254.94805756715041</c:v>
                </c:pt>
                <c:pt idx="16">
                  <c:v>269.93265910050968</c:v>
                </c:pt>
                <c:pt idx="17">
                  <c:v>284.63688745606999</c:v>
                </c:pt>
                <c:pt idx="18">
                  <c:v>302.31849142114697</c:v>
                </c:pt>
                <c:pt idx="19">
                  <c:v>319.42380748349422</c:v>
                </c:pt>
                <c:pt idx="20">
                  <c:v>337.75161271426242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6-F748-83CE-8011866E86D5}"/>
            </c:ext>
          </c:extLst>
        </c:ser>
        <c:ser>
          <c:idx val="3"/>
          <c:order val="3"/>
          <c:tx>
            <c:strRef>
              <c:f>ws_Diversified_Portfolio!$E$2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117.5990578929276</c:v>
                </c:pt>
                <c:pt idx="2">
                  <c:v>130.49039433260211</c:v>
                </c:pt>
                <c:pt idx="3">
                  <c:v>143.12011476298079</c:v>
                </c:pt>
                <c:pt idx="4">
                  <c:v>157.21927554432571</c:v>
                </c:pt>
                <c:pt idx="5">
                  <c:v>172.8400284379729</c:v>
                </c:pt>
                <c:pt idx="6">
                  <c:v>188.6402381496948</c:v>
                </c:pt>
                <c:pt idx="7">
                  <c:v>205.4339089575578</c:v>
                </c:pt>
                <c:pt idx="8">
                  <c:v>223.14526243025469</c:v>
                </c:pt>
                <c:pt idx="9">
                  <c:v>242.5735094082853</c:v>
                </c:pt>
                <c:pt idx="10">
                  <c:v>261.81868520566292</c:v>
                </c:pt>
                <c:pt idx="11">
                  <c:v>283.44262369137113</c:v>
                </c:pt>
                <c:pt idx="12">
                  <c:v>305.83590335003578</c:v>
                </c:pt>
                <c:pt idx="13">
                  <c:v>330.59907451612418</c:v>
                </c:pt>
                <c:pt idx="14">
                  <c:v>357.77944265725398</c:v>
                </c:pt>
                <c:pt idx="15">
                  <c:v>386.00419528927841</c:v>
                </c:pt>
                <c:pt idx="16">
                  <c:v>414.93234413448408</c:v>
                </c:pt>
                <c:pt idx="17">
                  <c:v>447.1481868548239</c:v>
                </c:pt>
                <c:pt idx="18">
                  <c:v>481.50600316572502</c:v>
                </c:pt>
                <c:pt idx="19">
                  <c:v>516.51526005387575</c:v>
                </c:pt>
                <c:pt idx="20">
                  <c:v>553.95943338593975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76-F748-83CE-8011866E8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ws_Diversified_Portfolio!$F$2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84.81760690449596</c:v>
                </c:pt>
                <c:pt idx="2">
                  <c:v>84.26189001190339</c:v>
                </c:pt>
                <c:pt idx="3">
                  <c:v>83.787667963888708</c:v>
                </c:pt>
                <c:pt idx="4">
                  <c:v>82.900201572779835</c:v>
                </c:pt>
                <c:pt idx="5">
                  <c:v>83.098693963388229</c:v>
                </c:pt>
                <c:pt idx="6">
                  <c:v>83.174536780907246</c:v>
                </c:pt>
                <c:pt idx="7">
                  <c:v>81.612245363207009</c:v>
                </c:pt>
                <c:pt idx="8">
                  <c:v>82.029163668923246</c:v>
                </c:pt>
                <c:pt idx="9">
                  <c:v>80.434012240555219</c:v>
                </c:pt>
                <c:pt idx="10">
                  <c:v>80.368349269539067</c:v>
                </c:pt>
                <c:pt idx="11">
                  <c:v>80.443263200164566</c:v>
                </c:pt>
                <c:pt idx="12">
                  <c:v>80.276942952256235</c:v>
                </c:pt>
                <c:pt idx="13">
                  <c:v>80.129826624586585</c:v>
                </c:pt>
                <c:pt idx="14">
                  <c:v>80.501893950153331</c:v>
                </c:pt>
                <c:pt idx="15">
                  <c:v>80.452920946851904</c:v>
                </c:pt>
                <c:pt idx="16">
                  <c:v>81.570163640654457</c:v>
                </c:pt>
                <c:pt idx="17">
                  <c:v>82.010469560656389</c:v>
                </c:pt>
                <c:pt idx="18">
                  <c:v>82.934513149636174</c:v>
                </c:pt>
                <c:pt idx="19">
                  <c:v>84.450117379331033</c:v>
                </c:pt>
                <c:pt idx="20">
                  <c:v>85.234593119075726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9-564E-9B66-44B763A174FC}"/>
            </c:ext>
          </c:extLst>
        </c:ser>
        <c:ser>
          <c:idx val="1"/>
          <c:order val="1"/>
          <c:tx>
            <c:strRef>
              <c:f>ws_Diversified_Portfolio!$G$2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94.789155471075034</c:v>
                </c:pt>
                <c:pt idx="2">
                  <c:v>95.082583682438525</c:v>
                </c:pt>
                <c:pt idx="3">
                  <c:v>97.345818630588525</c:v>
                </c:pt>
                <c:pt idx="4">
                  <c:v>98.767645037542295</c:v>
                </c:pt>
                <c:pt idx="5">
                  <c:v>101.210770613763</c:v>
                </c:pt>
                <c:pt idx="6">
                  <c:v>103.36180080906389</c:v>
                </c:pt>
                <c:pt idx="7">
                  <c:v>105.0887044117769</c:v>
                </c:pt>
                <c:pt idx="8">
                  <c:v>107.0532415561252</c:v>
                </c:pt>
                <c:pt idx="9">
                  <c:v>107.91794894272429</c:v>
                </c:pt>
                <c:pt idx="10">
                  <c:v>110.07732518802</c:v>
                </c:pt>
                <c:pt idx="11">
                  <c:v>111.79540380341859</c:v>
                </c:pt>
                <c:pt idx="12">
                  <c:v>113.4088741648106</c:v>
                </c:pt>
                <c:pt idx="13">
                  <c:v>115.48964031497989</c:v>
                </c:pt>
                <c:pt idx="14">
                  <c:v>117.3471565673851</c:v>
                </c:pt>
                <c:pt idx="15">
                  <c:v>119.9142967608981</c:v>
                </c:pt>
                <c:pt idx="16">
                  <c:v>122.0451683977281</c:v>
                </c:pt>
                <c:pt idx="17">
                  <c:v>124.6142922166401</c:v>
                </c:pt>
                <c:pt idx="18">
                  <c:v>126.4800147446138</c:v>
                </c:pt>
                <c:pt idx="19">
                  <c:v>128.56961623119719</c:v>
                </c:pt>
                <c:pt idx="20">
                  <c:v>132.24417106009881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9-564E-9B66-44B763A174FC}"/>
            </c:ext>
          </c:extLst>
        </c:ser>
        <c:ser>
          <c:idx val="2"/>
          <c:order val="2"/>
          <c:tx>
            <c:strRef>
              <c:f>ws_Diversified_Portfolio!$H$2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105.9941563807695</c:v>
                </c:pt>
                <c:pt idx="2">
                  <c:v>110.3660589973385</c:v>
                </c:pt>
                <c:pt idx="3">
                  <c:v>114.97393807371741</c:v>
                </c:pt>
                <c:pt idx="4">
                  <c:v>120.54715044681269</c:v>
                </c:pt>
                <c:pt idx="5">
                  <c:v>126.69278985335571</c:v>
                </c:pt>
                <c:pt idx="6">
                  <c:v>132.64745898386269</c:v>
                </c:pt>
                <c:pt idx="7">
                  <c:v>138.63223734894731</c:v>
                </c:pt>
                <c:pt idx="8">
                  <c:v>144.20318837658559</c:v>
                </c:pt>
                <c:pt idx="9">
                  <c:v>150.1153063445648</c:v>
                </c:pt>
                <c:pt idx="10">
                  <c:v>155.62150029023039</c:v>
                </c:pt>
                <c:pt idx="11">
                  <c:v>161.90238777705881</c:v>
                </c:pt>
                <c:pt idx="12">
                  <c:v>167.7066768768174</c:v>
                </c:pt>
                <c:pt idx="13">
                  <c:v>174.14464140236271</c:v>
                </c:pt>
                <c:pt idx="14">
                  <c:v>180.864176535985</c:v>
                </c:pt>
                <c:pt idx="15">
                  <c:v>187.0873756939412</c:v>
                </c:pt>
                <c:pt idx="16">
                  <c:v>193.91340663327659</c:v>
                </c:pt>
                <c:pt idx="17">
                  <c:v>201.0114951857876</c:v>
                </c:pt>
                <c:pt idx="18">
                  <c:v>209.08095939885769</c:v>
                </c:pt>
                <c:pt idx="19">
                  <c:v>216.84530699297699</c:v>
                </c:pt>
                <c:pt idx="20">
                  <c:v>224.70118317465301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19-564E-9B66-44B763A174FC}"/>
            </c:ext>
          </c:extLst>
        </c:ser>
        <c:ser>
          <c:idx val="3"/>
          <c:order val="3"/>
          <c:tx>
            <c:strRef>
              <c:f>ws_Diversified_Portfolio!$I$2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115.22301810526641</c:v>
                </c:pt>
                <c:pt idx="2">
                  <c:v>125.09450069970281</c:v>
                </c:pt>
                <c:pt idx="3">
                  <c:v>134.22618320836051</c:v>
                </c:pt>
                <c:pt idx="4">
                  <c:v>144.64071035702869</c:v>
                </c:pt>
                <c:pt idx="5">
                  <c:v>155.67034484395711</c:v>
                </c:pt>
                <c:pt idx="6">
                  <c:v>166.3803529505777</c:v>
                </c:pt>
                <c:pt idx="7">
                  <c:v>177.5300867947077</c:v>
                </c:pt>
                <c:pt idx="8">
                  <c:v>189.29462774771929</c:v>
                </c:pt>
                <c:pt idx="9">
                  <c:v>201.66135591611041</c:v>
                </c:pt>
                <c:pt idx="10">
                  <c:v>213.62233098809341</c:v>
                </c:pt>
                <c:pt idx="11">
                  <c:v>225.893699666613</c:v>
                </c:pt>
                <c:pt idx="12">
                  <c:v>239.8406519966282</c:v>
                </c:pt>
                <c:pt idx="13">
                  <c:v>253.08772162439209</c:v>
                </c:pt>
                <c:pt idx="14">
                  <c:v>268.93683429713877</c:v>
                </c:pt>
                <c:pt idx="15">
                  <c:v>283.62856582994272</c:v>
                </c:pt>
                <c:pt idx="16">
                  <c:v>299.44629816971832</c:v>
                </c:pt>
                <c:pt idx="17">
                  <c:v>316.25409474480659</c:v>
                </c:pt>
                <c:pt idx="18">
                  <c:v>333.1069828377515</c:v>
                </c:pt>
                <c:pt idx="19">
                  <c:v>349.51780087574463</c:v>
                </c:pt>
                <c:pt idx="20">
                  <c:v>368.62964434831179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19-564E-9B66-44B763A17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ws_Diversified_Portfolio!$N$2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F-C243-A762-AD6F233B0EFF}"/>
            </c:ext>
          </c:extLst>
        </c:ser>
        <c:ser>
          <c:idx val="1"/>
          <c:order val="1"/>
          <c:tx>
            <c:strRef>
              <c:f>ws_Diversified_Portfolio!$O$2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F-C243-A762-AD6F233B0EFF}"/>
            </c:ext>
          </c:extLst>
        </c:ser>
        <c:ser>
          <c:idx val="2"/>
          <c:order val="2"/>
          <c:tx>
            <c:strRef>
              <c:f>ws_Diversified_Portfolio!$P$2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7F-C243-A762-AD6F233B0EFF}"/>
            </c:ext>
          </c:extLst>
        </c:ser>
        <c:ser>
          <c:idx val="3"/>
          <c:order val="3"/>
          <c:tx>
            <c:strRef>
              <c:f>ws_Diversified_Portfolio!$Q$2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ws_Diversified_Portfolio!$A$3:$A$23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ws_Diversified_Portfolio!$Q$3:$Q$23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7F-C243-A762-AD6F233B0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43</xdr:row>
      <xdr:rowOff>146050</xdr:rowOff>
    </xdr:from>
    <xdr:to>
      <xdr:col>9</xdr:col>
      <xdr:colOff>101600</xdr:colOff>
      <xdr:row>62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7E875-4C1D-1C71-9637-8F02D81F8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opLeftCell="A12" workbookViewId="0">
      <selection activeCell="A39" sqref="A39"/>
    </sheetView>
  </sheetViews>
  <sheetFormatPr baseColWidth="10" defaultColWidth="8.83203125" defaultRowHeight="15"/>
  <cols>
    <col min="1" max="1" width="40" customWidth="1"/>
    <col min="2" max="8" width="18" customWidth="1"/>
  </cols>
  <sheetData>
    <row r="1" spans="1:8" ht="37" customHeight="1">
      <c r="A1" s="46"/>
      <c r="B1" s="47" t="s">
        <v>0</v>
      </c>
      <c r="C1" s="47" t="s">
        <v>1</v>
      </c>
      <c r="D1" s="47" t="s">
        <v>2</v>
      </c>
      <c r="E1" s="47" t="s">
        <v>3</v>
      </c>
      <c r="F1" s="47" t="s">
        <v>4</v>
      </c>
      <c r="G1" s="47" t="s">
        <v>5</v>
      </c>
      <c r="H1" s="48" t="s">
        <v>6</v>
      </c>
    </row>
    <row r="2" spans="1:8" ht="17" customHeight="1">
      <c r="A2" s="49" t="s">
        <v>7</v>
      </c>
      <c r="B2" s="1">
        <v>0.22</v>
      </c>
      <c r="C2" s="1">
        <v>0.32</v>
      </c>
      <c r="D2" s="1">
        <v>0.40500000000000003</v>
      </c>
      <c r="E2" s="1">
        <v>0.40500000000000003</v>
      </c>
      <c r="F2" s="1">
        <v>0.40500000000000003</v>
      </c>
      <c r="G2" s="1">
        <v>0.40500000000000003</v>
      </c>
      <c r="H2" s="50">
        <v>0.40500000000000003</v>
      </c>
    </row>
    <row r="3" spans="1:8" ht="17" customHeight="1">
      <c r="A3" s="51" t="s">
        <v>8</v>
      </c>
      <c r="B3" s="2">
        <v>22</v>
      </c>
      <c r="C3" s="2">
        <v>28.5</v>
      </c>
      <c r="D3" s="2">
        <v>28.5</v>
      </c>
      <c r="E3" s="2">
        <v>28.5</v>
      </c>
      <c r="F3" s="2">
        <v>28.5</v>
      </c>
      <c r="G3" s="2">
        <v>28.5</v>
      </c>
      <c r="H3" s="52">
        <v>28.5</v>
      </c>
    </row>
    <row r="4" spans="1:8" ht="17" customHeight="1">
      <c r="A4" s="51" t="s">
        <v>9</v>
      </c>
      <c r="B4" s="2" t="s">
        <v>87</v>
      </c>
      <c r="C4" s="2">
        <v>3.5</v>
      </c>
      <c r="D4" s="2">
        <v>12</v>
      </c>
      <c r="E4" s="2">
        <v>12</v>
      </c>
      <c r="F4" s="2">
        <v>12</v>
      </c>
      <c r="G4" s="2">
        <v>12</v>
      </c>
      <c r="H4" s="52">
        <v>12</v>
      </c>
    </row>
    <row r="5" spans="1:8" ht="17" customHeight="1">
      <c r="A5" s="49" t="s">
        <v>10</v>
      </c>
      <c r="B5" s="1">
        <v>0</v>
      </c>
      <c r="C5" s="1">
        <v>0</v>
      </c>
      <c r="D5" s="1">
        <v>1.9E-2</v>
      </c>
      <c r="E5" s="1">
        <v>0.03</v>
      </c>
      <c r="F5" s="1">
        <v>4.0000000000000008E-2</v>
      </c>
      <c r="G5" s="1">
        <v>0.05</v>
      </c>
      <c r="H5" s="50">
        <v>0.06</v>
      </c>
    </row>
    <row r="6" spans="1:8" ht="17" customHeight="1">
      <c r="A6" s="51" t="s">
        <v>11</v>
      </c>
      <c r="B6" s="2" t="s">
        <v>87</v>
      </c>
      <c r="C6" s="2" t="s">
        <v>87</v>
      </c>
      <c r="D6" s="2">
        <v>1.9</v>
      </c>
      <c r="E6" s="2">
        <v>3</v>
      </c>
      <c r="F6" s="2">
        <v>4.0000000000000009</v>
      </c>
      <c r="G6" s="2">
        <v>5</v>
      </c>
      <c r="H6" s="52">
        <v>6</v>
      </c>
    </row>
    <row r="7" spans="1:8" ht="17" customHeight="1">
      <c r="A7" s="49" t="s">
        <v>12</v>
      </c>
      <c r="B7" s="1">
        <v>0.126</v>
      </c>
      <c r="C7" s="1">
        <v>0.126</v>
      </c>
      <c r="D7" s="1">
        <v>0.126</v>
      </c>
      <c r="E7" s="1">
        <v>0.215</v>
      </c>
      <c r="F7" s="1">
        <v>0.30499999999999988</v>
      </c>
      <c r="G7" s="1">
        <v>0.39500000000000002</v>
      </c>
      <c r="H7" s="50">
        <v>0.48500000000000021</v>
      </c>
    </row>
    <row r="8" spans="1:8" ht="17" customHeight="1">
      <c r="A8" s="51" t="s">
        <v>13</v>
      </c>
      <c r="B8" s="2">
        <v>2.739130434782608</v>
      </c>
      <c r="C8" s="2">
        <v>2.739130434782608</v>
      </c>
      <c r="D8" s="2">
        <v>2.739130434782608</v>
      </c>
      <c r="E8" s="2" t="s">
        <v>87</v>
      </c>
      <c r="F8" s="2" t="s">
        <v>87</v>
      </c>
      <c r="G8" s="2" t="s">
        <v>87</v>
      </c>
      <c r="H8" s="52" t="s">
        <v>87</v>
      </c>
    </row>
    <row r="9" spans="1:8" ht="17" customHeight="1">
      <c r="A9" s="51" t="s">
        <v>14</v>
      </c>
      <c r="B9" s="2">
        <v>1.6434782608695651</v>
      </c>
      <c r="C9" s="2">
        <v>1.6434782608695651</v>
      </c>
      <c r="D9" s="2">
        <v>1.6434782608695651</v>
      </c>
      <c r="E9" s="2">
        <v>6.0455445544554438</v>
      </c>
      <c r="F9" s="2">
        <v>8.5762376237623723</v>
      </c>
      <c r="G9" s="2">
        <v>11.1069306930693</v>
      </c>
      <c r="H9" s="52">
        <v>13.63762376237624</v>
      </c>
    </row>
    <row r="10" spans="1:8" ht="17" customHeight="1">
      <c r="A10" s="51" t="s">
        <v>15</v>
      </c>
      <c r="B10" s="2">
        <v>1.369565217391304</v>
      </c>
      <c r="C10" s="2">
        <v>1.369565217391304</v>
      </c>
      <c r="D10" s="2">
        <v>1.369565217391304</v>
      </c>
      <c r="E10" s="2">
        <v>6.7693069306930687</v>
      </c>
      <c r="F10" s="2">
        <v>9.6029702970296995</v>
      </c>
      <c r="G10" s="2">
        <v>12.436633663366329</v>
      </c>
      <c r="H10" s="52">
        <v>15.27029702970297</v>
      </c>
    </row>
    <row r="11" spans="1:8" ht="17" customHeight="1">
      <c r="A11" s="51" t="s">
        <v>16</v>
      </c>
      <c r="B11" s="2" t="s">
        <v>87</v>
      </c>
      <c r="C11" s="2">
        <v>0</v>
      </c>
      <c r="D11" s="2" t="s">
        <v>87</v>
      </c>
      <c r="E11" s="2">
        <v>2.1287128712871288</v>
      </c>
      <c r="F11" s="2">
        <v>3.0198019801980198</v>
      </c>
      <c r="G11" s="2">
        <v>3.9108910891089121</v>
      </c>
      <c r="H11" s="52">
        <v>4.8019801980198036</v>
      </c>
    </row>
    <row r="12" spans="1:8" ht="17" customHeight="1">
      <c r="A12" s="51" t="s">
        <v>17</v>
      </c>
      <c r="B12" s="2">
        <v>1.9173913043478259</v>
      </c>
      <c r="C12" s="2">
        <v>1.9173913043478259</v>
      </c>
      <c r="D12" s="2">
        <v>1.9173913043478259</v>
      </c>
      <c r="E12" s="2">
        <v>2.4267326732673271</v>
      </c>
      <c r="F12" s="2">
        <v>3.4425742574257421</v>
      </c>
      <c r="G12" s="2">
        <v>4.4584158415841584</v>
      </c>
      <c r="H12" s="52">
        <v>5.474257425742576</v>
      </c>
    </row>
    <row r="13" spans="1:8" ht="17" customHeight="1">
      <c r="A13" s="51" t="s">
        <v>18</v>
      </c>
      <c r="B13" s="2" t="s">
        <v>87</v>
      </c>
      <c r="C13" s="2" t="s">
        <v>87</v>
      </c>
      <c r="D13" s="2" t="s">
        <v>87</v>
      </c>
      <c r="E13" s="2">
        <v>0.72376237623762363</v>
      </c>
      <c r="F13" s="2">
        <v>1.026732673267327</v>
      </c>
      <c r="G13" s="2">
        <v>1.32970297029703</v>
      </c>
      <c r="H13" s="52">
        <v>1.632673267326733</v>
      </c>
    </row>
    <row r="14" spans="1:8" ht="17" customHeight="1">
      <c r="A14" s="51" t="s">
        <v>19</v>
      </c>
      <c r="B14" s="2">
        <v>1.0956521739130429</v>
      </c>
      <c r="C14" s="2">
        <v>1.0956521739130429</v>
      </c>
      <c r="D14" s="2">
        <v>1.0956521739130429</v>
      </c>
      <c r="E14" s="2">
        <v>1.106930693069307</v>
      </c>
      <c r="F14" s="2">
        <v>1.5702970297029699</v>
      </c>
      <c r="G14" s="2">
        <v>2.0336633663366341</v>
      </c>
      <c r="H14" s="52">
        <v>2.497029702970297</v>
      </c>
    </row>
    <row r="15" spans="1:8" ht="17" customHeight="1">
      <c r="A15" s="51" t="s">
        <v>20</v>
      </c>
      <c r="B15" s="2">
        <v>2.1913043478260872</v>
      </c>
      <c r="C15" s="2">
        <v>2.1913043478260872</v>
      </c>
      <c r="D15" s="2">
        <v>2.1913043478260872</v>
      </c>
      <c r="E15" s="2">
        <v>0.5534653465346534</v>
      </c>
      <c r="F15" s="2">
        <v>0.78514851485148518</v>
      </c>
      <c r="G15" s="2">
        <v>1.0168316831683171</v>
      </c>
      <c r="H15" s="52">
        <v>1.248514851485149</v>
      </c>
    </row>
    <row r="16" spans="1:8" ht="17" customHeight="1">
      <c r="A16" s="51" t="s">
        <v>21</v>
      </c>
      <c r="B16" s="2">
        <v>1.6434782608695651</v>
      </c>
      <c r="C16" s="2">
        <v>1.6434782608695651</v>
      </c>
      <c r="D16" s="2">
        <v>1.6434782608695651</v>
      </c>
      <c r="E16" s="2">
        <v>0.5534653465346534</v>
      </c>
      <c r="F16" s="2">
        <v>0.78514851485148518</v>
      </c>
      <c r="G16" s="2">
        <v>1.0168316831683171</v>
      </c>
      <c r="H16" s="52">
        <v>1.248514851485149</v>
      </c>
    </row>
    <row r="17" spans="1:8" ht="17" customHeight="1">
      <c r="A17" s="51" t="s">
        <v>22</v>
      </c>
      <c r="B17" s="2" t="s">
        <v>87</v>
      </c>
      <c r="C17" s="2" t="s">
        <v>87</v>
      </c>
      <c r="D17" s="2" t="s">
        <v>87</v>
      </c>
      <c r="E17" s="2">
        <v>0.59603960396039601</v>
      </c>
      <c r="F17" s="2">
        <v>0.84554455445544541</v>
      </c>
      <c r="G17" s="2">
        <v>1.0950495049504949</v>
      </c>
      <c r="H17" s="52">
        <v>1.3445544554455451</v>
      </c>
    </row>
    <row r="18" spans="1:8" ht="17" customHeight="1">
      <c r="A18" s="51" t="s">
        <v>23</v>
      </c>
      <c r="B18" s="2" t="s">
        <v>87</v>
      </c>
      <c r="C18" s="2" t="s">
        <v>87</v>
      </c>
      <c r="D18" s="2" t="s">
        <v>87</v>
      </c>
      <c r="E18" s="2">
        <v>0.59603960396039601</v>
      </c>
      <c r="F18" s="2">
        <v>0.84554455445544541</v>
      </c>
      <c r="G18" s="2">
        <v>1.0950495049504949</v>
      </c>
      <c r="H18" s="52">
        <v>1.3445544554455451</v>
      </c>
    </row>
    <row r="19" spans="1:8" ht="17" customHeight="1">
      <c r="A19" s="49" t="s">
        <v>24</v>
      </c>
      <c r="B19" s="1">
        <v>5.3999999999999992E-2</v>
      </c>
      <c r="C19" s="1">
        <v>5.3999999999999992E-2</v>
      </c>
      <c r="D19" s="1">
        <v>0.05</v>
      </c>
      <c r="E19" s="1">
        <v>0.05</v>
      </c>
      <c r="F19" s="1">
        <v>0.05</v>
      </c>
      <c r="G19" s="1">
        <v>0.05</v>
      </c>
      <c r="H19" s="50">
        <v>0.05</v>
      </c>
    </row>
    <row r="20" spans="1:8" ht="17" customHeight="1">
      <c r="A20" s="51" t="s">
        <v>25</v>
      </c>
      <c r="B20" s="2" t="s">
        <v>87</v>
      </c>
      <c r="C20" s="2" t="s">
        <v>87</v>
      </c>
      <c r="D20" s="2">
        <v>0.50000000000000011</v>
      </c>
      <c r="E20" s="2">
        <v>0.50000000000000011</v>
      </c>
      <c r="F20" s="2">
        <v>0.50000000000000022</v>
      </c>
      <c r="G20" s="2">
        <v>0.50000000000000011</v>
      </c>
      <c r="H20" s="52">
        <v>0.50000000000000011</v>
      </c>
    </row>
    <row r="21" spans="1:8" ht="17" customHeight="1">
      <c r="A21" s="51" t="s">
        <v>26</v>
      </c>
      <c r="B21" s="2">
        <v>5.3999999999999986</v>
      </c>
      <c r="C21" s="2">
        <v>5.3999999999999986</v>
      </c>
      <c r="D21" s="2">
        <v>1.5</v>
      </c>
      <c r="E21" s="2">
        <v>1.5</v>
      </c>
      <c r="F21" s="2">
        <v>1.5</v>
      </c>
      <c r="G21" s="2">
        <v>1.5</v>
      </c>
      <c r="H21" s="52">
        <v>1.5</v>
      </c>
    </row>
    <row r="22" spans="1:8" ht="17" customHeight="1">
      <c r="A22" s="51" t="s">
        <v>27</v>
      </c>
      <c r="B22" s="2" t="s">
        <v>87</v>
      </c>
      <c r="C22" s="2">
        <v>0</v>
      </c>
      <c r="D22" s="2">
        <v>3</v>
      </c>
      <c r="E22" s="2">
        <v>3</v>
      </c>
      <c r="F22" s="2">
        <v>3</v>
      </c>
      <c r="G22" s="2">
        <v>3</v>
      </c>
      <c r="H22" s="52">
        <v>3</v>
      </c>
    </row>
    <row r="23" spans="1:8" ht="17" customHeight="1">
      <c r="A23" s="49" t="s">
        <v>28</v>
      </c>
      <c r="B23" s="1">
        <v>0.6</v>
      </c>
      <c r="C23" s="1">
        <v>0.5</v>
      </c>
      <c r="D23" s="1">
        <v>0.4</v>
      </c>
      <c r="E23" s="1">
        <v>0.3</v>
      </c>
      <c r="F23" s="1">
        <v>0.20000000000000009</v>
      </c>
      <c r="G23" s="1">
        <v>0.1</v>
      </c>
      <c r="H23" s="50">
        <v>0</v>
      </c>
    </row>
    <row r="24" spans="1:8" ht="17" customHeight="1">
      <c r="A24" s="51" t="s">
        <v>29</v>
      </c>
      <c r="B24" s="2">
        <v>60</v>
      </c>
      <c r="C24" s="2">
        <v>50</v>
      </c>
      <c r="D24" s="2">
        <v>40</v>
      </c>
      <c r="E24" s="2">
        <v>30</v>
      </c>
      <c r="F24" s="2">
        <v>20.000000000000011</v>
      </c>
      <c r="G24" s="2">
        <v>10</v>
      </c>
      <c r="H24" s="52" t="s">
        <v>87</v>
      </c>
    </row>
    <row r="25" spans="1:8" ht="23" customHeight="1">
      <c r="A25" s="53" t="s">
        <v>30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54">
        <v>1</v>
      </c>
    </row>
    <row r="26" spans="1:8" ht="3" customHeight="1">
      <c r="A26" s="55"/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56">
        <v>0</v>
      </c>
    </row>
    <row r="27" spans="1:8" ht="23" customHeight="1">
      <c r="A27" s="57" t="s">
        <v>31</v>
      </c>
      <c r="B27" s="5">
        <v>6.1829844637349432E-2</v>
      </c>
      <c r="C27" s="5">
        <v>5.8770350514065151E-2</v>
      </c>
      <c r="D27" s="5">
        <v>5.6753578809400261E-2</v>
      </c>
      <c r="E27" s="5">
        <v>5.7606808731547263E-2</v>
      </c>
      <c r="F27" s="5">
        <v>5.8281762839915797E-2</v>
      </c>
      <c r="G27" s="5">
        <v>5.8956716948284332E-2</v>
      </c>
      <c r="H27" s="58">
        <v>5.9631671056652867E-2</v>
      </c>
    </row>
    <row r="28" spans="1:8" ht="23" customHeight="1">
      <c r="A28" s="57" t="s">
        <v>32</v>
      </c>
      <c r="B28" s="6">
        <v>0.16346605152076499</v>
      </c>
      <c r="C28" s="6">
        <v>0.17777472875906619</v>
      </c>
      <c r="D28" s="6">
        <v>0.20544213007950371</v>
      </c>
      <c r="E28" s="6">
        <v>0.25546214852690152</v>
      </c>
      <c r="F28" s="6">
        <v>0.32069113754206768</v>
      </c>
      <c r="G28" s="6">
        <v>0.40029898869580433</v>
      </c>
      <c r="H28" s="59">
        <v>0.46413636396119312</v>
      </c>
    </row>
    <row r="29" spans="1:8" ht="3" customHeight="1">
      <c r="A29" s="55"/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56">
        <v>0</v>
      </c>
    </row>
    <row r="30" spans="1:8" ht="23" customHeight="1">
      <c r="A30" s="60" t="s">
        <v>33</v>
      </c>
      <c r="B30" s="61">
        <v>0.22530577018721809</v>
      </c>
      <c r="C30" s="61">
        <v>0.1899614796197118</v>
      </c>
      <c r="D30" s="61">
        <v>0.15456215722214331</v>
      </c>
      <c r="E30" s="61">
        <v>0.12763851286607961</v>
      </c>
      <c r="F30" s="61">
        <v>0.10378136139028769</v>
      </c>
      <c r="G30" s="61">
        <v>8.4828385549804028E-2</v>
      </c>
      <c r="H30" s="62">
        <v>7.4615293576842989E-2</v>
      </c>
    </row>
    <row r="32" spans="1:8">
      <c r="H32" s="64">
        <f>(H27-2.5%)/(POWER(H30,2))</f>
        <v>6.2203918487997312</v>
      </c>
    </row>
    <row r="37" spans="1:12">
      <c r="B37" t="str">
        <f>B1</f>
        <v>Current Portfolio</v>
      </c>
      <c r="C37" t="str">
        <f t="shared" ref="C37:H37" si="0">C1</f>
        <v>Stage 1</v>
      </c>
      <c r="D37" t="str">
        <f t="shared" si="0"/>
        <v>Stage 2</v>
      </c>
      <c r="E37" t="str">
        <f t="shared" si="0"/>
        <v>Stage 3</v>
      </c>
      <c r="F37" t="str">
        <f t="shared" si="0"/>
        <v>Stage 4</v>
      </c>
      <c r="G37" t="str">
        <f t="shared" si="0"/>
        <v>Stage 5</v>
      </c>
      <c r="H37" t="str">
        <f t="shared" si="0"/>
        <v>Diversified Portfolio</v>
      </c>
    </row>
    <row r="38" spans="1:12">
      <c r="A38" s="65" t="s">
        <v>90</v>
      </c>
      <c r="B38" s="63">
        <f>B30</f>
        <v>0.22530577018721809</v>
      </c>
      <c r="C38" s="63">
        <f t="shared" ref="C38:H38" si="1">C30</f>
        <v>0.1899614796197118</v>
      </c>
      <c r="D38" s="63">
        <f t="shared" si="1"/>
        <v>0.15456215722214331</v>
      </c>
      <c r="E38" s="63">
        <f t="shared" si="1"/>
        <v>0.12763851286607961</v>
      </c>
      <c r="F38" s="63">
        <f t="shared" si="1"/>
        <v>0.10378136139028769</v>
      </c>
      <c r="G38" s="63">
        <f t="shared" si="1"/>
        <v>8.4828385549804028E-2</v>
      </c>
      <c r="H38" s="63">
        <f t="shared" si="1"/>
        <v>7.4615293576842989E-2</v>
      </c>
    </row>
    <row r="39" spans="1:12">
      <c r="A39" s="65" t="s">
        <v>89</v>
      </c>
      <c r="B39" s="64">
        <f>B28</f>
        <v>0.16346605152076499</v>
      </c>
      <c r="C39" s="64">
        <f t="shared" ref="C39:H39" si="2">C28</f>
        <v>0.17777472875906619</v>
      </c>
      <c r="D39" s="64">
        <f t="shared" si="2"/>
        <v>0.20544213007950371</v>
      </c>
      <c r="E39" s="64">
        <f t="shared" si="2"/>
        <v>0.25546214852690152</v>
      </c>
      <c r="F39" s="64">
        <f t="shared" si="2"/>
        <v>0.32069113754206768</v>
      </c>
      <c r="G39" s="64">
        <f t="shared" si="2"/>
        <v>0.40029898869580433</v>
      </c>
      <c r="H39" s="64">
        <f t="shared" si="2"/>
        <v>0.46413636396119312</v>
      </c>
    </row>
    <row r="40" spans="1:12">
      <c r="A40" s="65" t="s">
        <v>88</v>
      </c>
      <c r="B40" s="67">
        <v>0.49764320248685601</v>
      </c>
      <c r="C40" s="67">
        <v>0.418509439515031</v>
      </c>
      <c r="D40" s="67">
        <v>0.33882667672427502</v>
      </c>
      <c r="E40" s="67">
        <v>0.273768522510416</v>
      </c>
      <c r="F40" s="67">
        <v>0.20936198530427899</v>
      </c>
      <c r="G40" s="67">
        <v>0.14495544809814201</v>
      </c>
      <c r="H40" s="67">
        <v>8.0548910892004999E-2</v>
      </c>
    </row>
    <row r="42" spans="1:12"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</row>
    <row r="43" spans="1:12"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</row>
    <row r="44" spans="1:12"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</row>
    <row r="45" spans="1:12"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</row>
    <row r="46" spans="1:12"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</row>
    <row r="48" spans="1:12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</row>
    <row r="49" spans="2:12"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</row>
    <row r="50" spans="2:12"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</row>
    <row r="51" spans="2:12"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2:12"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</row>
    <row r="53" spans="2:12"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</row>
    <row r="54" spans="2:12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</row>
    <row r="55" spans="2:12"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</row>
    <row r="56" spans="2:12"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</row>
    <row r="57" spans="2:12"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</row>
    <row r="58" spans="2:12"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</row>
    <row r="59" spans="2:12"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</row>
    <row r="60" spans="2:12"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</row>
    <row r="61" spans="2:12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</row>
    <row r="62" spans="2:12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</row>
    <row r="63" spans="2:12"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</row>
    <row r="64" spans="2:12"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tabSelected="1" workbookViewId="0">
      <selection activeCell="G29" sqref="G29"/>
    </sheetView>
  </sheetViews>
  <sheetFormatPr baseColWidth="10" defaultColWidth="8.83203125" defaultRowHeight="15"/>
  <cols>
    <col min="1" max="1" width="40" customWidth="1"/>
    <col min="2" max="15" width="12.33203125" customWidth="1"/>
  </cols>
  <sheetData>
    <row r="1" spans="1:15" ht="35" customHeight="1">
      <c r="A1" s="69"/>
      <c r="B1" s="70" t="s">
        <v>0</v>
      </c>
      <c r="C1" s="71"/>
      <c r="D1" s="70" t="s">
        <v>1</v>
      </c>
      <c r="E1" s="71"/>
      <c r="F1" s="70" t="s">
        <v>2</v>
      </c>
      <c r="G1" s="71"/>
      <c r="H1" s="70" t="s">
        <v>3</v>
      </c>
      <c r="I1" s="71"/>
      <c r="J1" s="70" t="s">
        <v>4</v>
      </c>
      <c r="K1" s="71"/>
      <c r="L1" s="70" t="s">
        <v>5</v>
      </c>
      <c r="M1" s="71"/>
      <c r="N1" s="70" t="s">
        <v>6</v>
      </c>
      <c r="O1" s="72"/>
    </row>
    <row r="2" spans="1:15" ht="20" customHeight="1">
      <c r="A2" s="73" t="s">
        <v>7</v>
      </c>
      <c r="B2" s="40">
        <v>0.22</v>
      </c>
      <c r="C2" s="74"/>
      <c r="D2" s="40">
        <v>0.32</v>
      </c>
      <c r="E2" s="74"/>
      <c r="F2" s="40">
        <v>0.40500000000000003</v>
      </c>
      <c r="G2" s="74"/>
      <c r="H2" s="40">
        <v>0.40500000000000003</v>
      </c>
      <c r="I2" s="74"/>
      <c r="J2" s="40">
        <v>0.40500000000000003</v>
      </c>
      <c r="K2" s="74"/>
      <c r="L2" s="40">
        <v>0.40500000000000003</v>
      </c>
      <c r="M2" s="74"/>
      <c r="N2" s="40">
        <v>0.40500000000000003</v>
      </c>
      <c r="O2" s="75"/>
    </row>
    <row r="3" spans="1:15" ht="16" customHeight="1">
      <c r="A3" s="73" t="s">
        <v>10</v>
      </c>
      <c r="B3" s="40">
        <v>0</v>
      </c>
      <c r="C3" s="74"/>
      <c r="D3" s="40">
        <v>0</v>
      </c>
      <c r="E3" s="74"/>
      <c r="F3" s="40">
        <v>1.9E-2</v>
      </c>
      <c r="G3" s="74"/>
      <c r="H3" s="40">
        <v>0.03</v>
      </c>
      <c r="I3" s="74"/>
      <c r="J3" s="40">
        <v>4.0000000000000008E-2</v>
      </c>
      <c r="K3" s="74"/>
      <c r="L3" s="40">
        <v>0.05</v>
      </c>
      <c r="M3" s="74"/>
      <c r="N3" s="40">
        <v>0.06</v>
      </c>
      <c r="O3" s="75"/>
    </row>
    <row r="4" spans="1:15" ht="16" customHeight="1">
      <c r="A4" s="73" t="s">
        <v>12</v>
      </c>
      <c r="B4" s="40">
        <v>0.126</v>
      </c>
      <c r="C4" s="74"/>
      <c r="D4" s="40">
        <v>0.126</v>
      </c>
      <c r="E4" s="74"/>
      <c r="F4" s="40">
        <v>0.126</v>
      </c>
      <c r="G4" s="74"/>
      <c r="H4" s="40">
        <v>0.215</v>
      </c>
      <c r="I4" s="74"/>
      <c r="J4" s="40">
        <v>0.30499999999999988</v>
      </c>
      <c r="K4" s="74"/>
      <c r="L4" s="40">
        <v>0.39500000000000002</v>
      </c>
      <c r="M4" s="74"/>
      <c r="N4" s="40">
        <v>0.48500000000000021</v>
      </c>
      <c r="O4" s="75"/>
    </row>
    <row r="5" spans="1:15" ht="16" customHeight="1">
      <c r="A5" s="73" t="s">
        <v>24</v>
      </c>
      <c r="B5" s="40">
        <v>5.3999999999999992E-2</v>
      </c>
      <c r="C5" s="74"/>
      <c r="D5" s="40">
        <v>5.3999999999999992E-2</v>
      </c>
      <c r="E5" s="74"/>
      <c r="F5" s="40">
        <v>0.05</v>
      </c>
      <c r="G5" s="74"/>
      <c r="H5" s="40">
        <v>0.05</v>
      </c>
      <c r="I5" s="74"/>
      <c r="J5" s="40">
        <v>0.05</v>
      </c>
      <c r="K5" s="74"/>
      <c r="L5" s="40">
        <v>0.05</v>
      </c>
      <c r="M5" s="74"/>
      <c r="N5" s="40">
        <v>0.05</v>
      </c>
      <c r="O5" s="75"/>
    </row>
    <row r="6" spans="1:15" ht="16" customHeight="1">
      <c r="A6" s="73" t="s">
        <v>28</v>
      </c>
      <c r="B6" s="40">
        <v>0.6</v>
      </c>
      <c r="C6" s="74"/>
      <c r="D6" s="40">
        <v>0.5</v>
      </c>
      <c r="E6" s="74"/>
      <c r="F6" s="40">
        <v>0.4</v>
      </c>
      <c r="G6" s="74"/>
      <c r="H6" s="40">
        <v>0.3</v>
      </c>
      <c r="I6" s="74"/>
      <c r="J6" s="40">
        <v>0.20000000000000009</v>
      </c>
      <c r="K6" s="74"/>
      <c r="L6" s="40">
        <v>0.1</v>
      </c>
      <c r="M6" s="74"/>
      <c r="N6" s="40">
        <v>0</v>
      </c>
      <c r="O6" s="75"/>
    </row>
    <row r="7" spans="1:15" ht="16" customHeight="1">
      <c r="A7" s="76" t="s">
        <v>31</v>
      </c>
      <c r="B7" s="77">
        <v>6.1829844637349432E-2</v>
      </c>
      <c r="C7" s="41"/>
      <c r="D7" s="77">
        <v>5.8770350514065151E-2</v>
      </c>
      <c r="E7" s="41"/>
      <c r="F7" s="77">
        <v>5.6753578809400261E-2</v>
      </c>
      <c r="G7" s="41"/>
      <c r="H7" s="77">
        <v>5.7606808731547263E-2</v>
      </c>
      <c r="I7" s="41"/>
      <c r="J7" s="77">
        <v>5.8281762839915797E-2</v>
      </c>
      <c r="K7" s="41"/>
      <c r="L7" s="77">
        <v>5.8956716948284332E-2</v>
      </c>
      <c r="M7" s="41"/>
      <c r="N7" s="77">
        <v>5.9631671056652867E-2</v>
      </c>
      <c r="O7" s="78"/>
    </row>
    <row r="8" spans="1:15" ht="16" customHeight="1">
      <c r="A8" s="73" t="s">
        <v>32</v>
      </c>
      <c r="B8" s="42">
        <v>0.16346605152076499</v>
      </c>
      <c r="C8" s="74"/>
      <c r="D8" s="42">
        <v>0.17777472875906619</v>
      </c>
      <c r="E8" s="74"/>
      <c r="F8" s="42">
        <v>0.20544213007950371</v>
      </c>
      <c r="G8" s="74"/>
      <c r="H8" s="42">
        <v>0.25546214852690152</v>
      </c>
      <c r="I8" s="74"/>
      <c r="J8" s="42">
        <v>0.32069113754206768</v>
      </c>
      <c r="K8" s="74"/>
      <c r="L8" s="42">
        <v>0.40029898869580433</v>
      </c>
      <c r="M8" s="74"/>
      <c r="N8" s="42">
        <v>0.46413636396119312</v>
      </c>
      <c r="O8" s="75"/>
    </row>
    <row r="9" spans="1:15" ht="16" customHeight="1">
      <c r="A9" s="73" t="s">
        <v>33</v>
      </c>
      <c r="B9" s="40">
        <v>0.22530577018721809</v>
      </c>
      <c r="C9" s="74"/>
      <c r="D9" s="40">
        <v>0.1899614796197118</v>
      </c>
      <c r="E9" s="74"/>
      <c r="F9" s="40">
        <v>0.15456215722214331</v>
      </c>
      <c r="G9" s="74"/>
      <c r="H9" s="40">
        <v>0.12763851286607961</v>
      </c>
      <c r="I9" s="74"/>
      <c r="J9" s="40">
        <v>0.10378136139028769</v>
      </c>
      <c r="K9" s="74"/>
      <c r="L9" s="40">
        <v>8.4828385549804028E-2</v>
      </c>
      <c r="M9" s="74"/>
      <c r="N9" s="40">
        <v>7.4615293576842989E-2</v>
      </c>
      <c r="O9" s="75"/>
    </row>
    <row r="10" spans="1:15" ht="16" customHeight="1">
      <c r="A10" s="79" t="s">
        <v>34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0"/>
    </row>
    <row r="11" spans="1:15" ht="16" customHeight="1">
      <c r="A11" s="81" t="s">
        <v>35</v>
      </c>
      <c r="B11" s="82" t="s">
        <v>36</v>
      </c>
      <c r="C11" s="82" t="s">
        <v>37</v>
      </c>
      <c r="D11" s="82" t="s">
        <v>36</v>
      </c>
      <c r="E11" s="82" t="s">
        <v>37</v>
      </c>
      <c r="F11" s="82" t="s">
        <v>36</v>
      </c>
      <c r="G11" s="82" t="s">
        <v>37</v>
      </c>
      <c r="H11" s="82" t="s">
        <v>36</v>
      </c>
      <c r="I11" s="82" t="s">
        <v>37</v>
      </c>
      <c r="J11" s="82" t="s">
        <v>36</v>
      </c>
      <c r="K11" s="82" t="s">
        <v>37</v>
      </c>
      <c r="L11" s="82" t="s">
        <v>36</v>
      </c>
      <c r="M11" s="82" t="s">
        <v>37</v>
      </c>
      <c r="N11" s="82" t="s">
        <v>36</v>
      </c>
      <c r="O11" s="83" t="s">
        <v>37</v>
      </c>
    </row>
    <row r="12" spans="1:15" ht="16" customHeight="1">
      <c r="A12" s="84" t="s">
        <v>38</v>
      </c>
      <c r="B12" s="9">
        <v>-0.35374999399930812</v>
      </c>
      <c r="C12" s="9">
        <v>-0.45081422150921668</v>
      </c>
      <c r="D12" s="9">
        <v>-0.30592021826207749</v>
      </c>
      <c r="E12" s="9">
        <v>-0.41016829132834731</v>
      </c>
      <c r="F12" s="9">
        <v>-0.25734285685049951</v>
      </c>
      <c r="G12" s="9">
        <v>-0.36888705992234411</v>
      </c>
      <c r="H12" s="9">
        <v>-0.2472967616127123</v>
      </c>
      <c r="I12" s="9">
        <v>-0.3603498489626108</v>
      </c>
      <c r="J12" s="9">
        <v>-0.23091509982848399</v>
      </c>
      <c r="K12" s="9">
        <v>-0.34642864881343127</v>
      </c>
      <c r="L12" s="9">
        <v>-0.2085292249730156</v>
      </c>
      <c r="M12" s="9">
        <v>-0.32740504495185618</v>
      </c>
      <c r="N12" s="9">
        <v>-0.18557750152031599</v>
      </c>
      <c r="O12" s="85">
        <v>-0.3079005807429035</v>
      </c>
    </row>
    <row r="13" spans="1:15" ht="16" customHeight="1">
      <c r="A13" s="84" t="s">
        <v>39</v>
      </c>
      <c r="B13" s="9">
        <v>0.1001739692528882</v>
      </c>
      <c r="C13" s="9">
        <v>-7.289450867641134E-2</v>
      </c>
      <c r="D13" s="9">
        <v>9.1957286181872711E-2</v>
      </c>
      <c r="E13" s="9">
        <v>-7.9818624505817115E-2</v>
      </c>
      <c r="F13" s="9">
        <v>8.0845080855646678E-2</v>
      </c>
      <c r="G13" s="9">
        <v>-8.9182767692785658E-2</v>
      </c>
      <c r="H13" s="9">
        <v>7.8104685339158486E-2</v>
      </c>
      <c r="I13" s="9">
        <v>-9.1492071314520973E-2</v>
      </c>
      <c r="J13" s="9">
        <v>8.1165101525585648E-2</v>
      </c>
      <c r="K13" s="9">
        <v>-8.8913089506671872E-2</v>
      </c>
      <c r="L13" s="9">
        <v>8.4202301736404861E-2</v>
      </c>
      <c r="M13" s="9">
        <v>-8.635367156696927E-2</v>
      </c>
      <c r="N13" s="9">
        <v>8.7216120195537483E-2</v>
      </c>
      <c r="O13" s="85">
        <v>-8.3813957193240141E-2</v>
      </c>
    </row>
    <row r="14" spans="1:15" ht="16" customHeight="1">
      <c r="A14" s="84" t="s">
        <v>40</v>
      </c>
      <c r="B14" s="9">
        <v>-0.12809359718008409</v>
      </c>
      <c r="C14" s="9">
        <v>-0.2345149718515884</v>
      </c>
      <c r="D14" s="9">
        <v>-7.9865151312841443E-2</v>
      </c>
      <c r="E14" s="9">
        <v>-0.19217309533498081</v>
      </c>
      <c r="F14" s="9">
        <v>-2.8063146311626989E-2</v>
      </c>
      <c r="G14" s="9">
        <v>-0.146693833881858</v>
      </c>
      <c r="H14" s="9">
        <v>-2.8472965338559812E-2</v>
      </c>
      <c r="I14" s="9">
        <v>-0.14705363205325889</v>
      </c>
      <c r="J14" s="9">
        <v>-1.840269497923408E-2</v>
      </c>
      <c r="K14" s="9">
        <v>-0.13821249822910139</v>
      </c>
      <c r="L14" s="9">
        <v>1.2627021196986551E-2</v>
      </c>
      <c r="M14" s="9">
        <v>-0.1109701439078459</v>
      </c>
      <c r="N14" s="9">
        <v>4.4527258899236262E-2</v>
      </c>
      <c r="O14" s="85">
        <v>-8.2963520402764113E-2</v>
      </c>
    </row>
    <row r="15" spans="1:15" ht="16" customHeight="1">
      <c r="A15" s="84" t="s">
        <v>41</v>
      </c>
      <c r="B15" s="9">
        <v>-0.1355670101186339</v>
      </c>
      <c r="C15" s="9">
        <v>-0.13782915129138079</v>
      </c>
      <c r="D15" s="9">
        <v>-0.1126748620635994</v>
      </c>
      <c r="E15" s="9">
        <v>-0.1149969098702371</v>
      </c>
      <c r="F15" s="9">
        <v>-9.5524790025316775E-2</v>
      </c>
      <c r="G15" s="9">
        <v>-9.7891717984062709E-2</v>
      </c>
      <c r="H15" s="9">
        <v>-0.11523590686403271</v>
      </c>
      <c r="I15" s="9">
        <v>-0.11755125265332959</v>
      </c>
      <c r="J15" s="9">
        <v>-0.11403487041503679</v>
      </c>
      <c r="K15" s="9">
        <v>-0.1163533592056223</v>
      </c>
      <c r="L15" s="9">
        <v>-0.10579789488928081</v>
      </c>
      <c r="M15" s="9">
        <v>-0.10813793908288059</v>
      </c>
      <c r="N15" s="9">
        <v>-9.7560919363524845E-2</v>
      </c>
      <c r="O15" s="85">
        <v>-9.9922518960138818E-2</v>
      </c>
    </row>
    <row r="16" spans="1:15" ht="16" customHeight="1">
      <c r="A16" s="84" t="s">
        <v>42</v>
      </c>
      <c r="B16" s="9">
        <v>-6.1830706093230603E-2</v>
      </c>
      <c r="C16" s="9">
        <v>-8.3751187615392908E-2</v>
      </c>
      <c r="D16" s="9">
        <v>-5.6188181857153241E-2</v>
      </c>
      <c r="E16" s="9">
        <v>-7.8240501896157388E-2</v>
      </c>
      <c r="F16" s="9">
        <v>-5.2251346262577332E-2</v>
      </c>
      <c r="G16" s="9">
        <v>-7.4395651119745221E-2</v>
      </c>
      <c r="H16" s="9">
        <v>-4.9600596260708341E-2</v>
      </c>
      <c r="I16" s="9">
        <v>-7.1806836332355406E-2</v>
      </c>
      <c r="J16" s="9">
        <v>-4.5763464338150928E-2</v>
      </c>
      <c r="K16" s="9">
        <v>-6.8059359635089134E-2</v>
      </c>
      <c r="L16" s="9">
        <v>-4.1925707051186478E-2</v>
      </c>
      <c r="M16" s="9">
        <v>-6.4311272185159307E-2</v>
      </c>
      <c r="N16" s="9">
        <v>-3.8087425231141503E-2</v>
      </c>
      <c r="O16" s="85">
        <v>-6.056267245795155E-2</v>
      </c>
    </row>
    <row r="17" spans="1:15" ht="16" customHeight="1">
      <c r="A17" s="84" t="s">
        <v>43</v>
      </c>
      <c r="B17" s="9">
        <v>-0.1082673666592637</v>
      </c>
      <c r="C17" s="9">
        <v>-0.10936227646957961</v>
      </c>
      <c r="D17" s="9">
        <v>-9.181632780847182E-2</v>
      </c>
      <c r="E17" s="9">
        <v>-9.2931436951137147E-2</v>
      </c>
      <c r="F17" s="9">
        <v>-7.8003868873169346E-2</v>
      </c>
      <c r="G17" s="9">
        <v>-7.9135937579976834E-2</v>
      </c>
      <c r="H17" s="9">
        <v>-8.2695122563474333E-2</v>
      </c>
      <c r="I17" s="9">
        <v>-8.3821431136026137E-2</v>
      </c>
      <c r="J17" s="9">
        <v>-8.1353669473443913E-2</v>
      </c>
      <c r="K17" s="9">
        <v>-8.2481625142999282E-2</v>
      </c>
      <c r="L17" s="9">
        <v>-7.6995833634051603E-2</v>
      </c>
      <c r="M17" s="9">
        <v>-7.8129140052288659E-2</v>
      </c>
      <c r="N17" s="9">
        <v>-7.2637997794659181E-2</v>
      </c>
      <c r="O17" s="85">
        <v>-7.3776654961578036E-2</v>
      </c>
    </row>
    <row r="18" spans="1:15" ht="16" customHeight="1">
      <c r="A18" s="84" t="s">
        <v>44</v>
      </c>
      <c r="B18" s="9">
        <v>-0.49411177129924472</v>
      </c>
      <c r="C18" s="9">
        <v>-0.52153360178136565</v>
      </c>
      <c r="D18" s="9">
        <v>-0.42578616243126288</v>
      </c>
      <c r="E18" s="9">
        <v>-0.45691160402285252</v>
      </c>
      <c r="F18" s="9">
        <v>-0.34869308355407491</v>
      </c>
      <c r="G18" s="9">
        <v>-0.38399737972337311</v>
      </c>
      <c r="H18" s="9">
        <v>-0.31107558274673941</v>
      </c>
      <c r="I18" s="9">
        <v>-0.34841894737380541</v>
      </c>
      <c r="J18" s="9">
        <v>-0.26617402389817518</v>
      </c>
      <c r="K18" s="9">
        <v>-0.30595129163915752</v>
      </c>
      <c r="L18" s="9">
        <v>-0.21333842720590671</v>
      </c>
      <c r="M18" s="9">
        <v>-0.25597966507649261</v>
      </c>
      <c r="N18" s="9">
        <v>-0.1570246650773173</v>
      </c>
      <c r="O18" s="85">
        <v>-0.20271840812847769</v>
      </c>
    </row>
    <row r="19" spans="1:15" ht="16" customHeight="1">
      <c r="A19" s="84" t="s">
        <v>45</v>
      </c>
      <c r="B19" s="9">
        <v>-0.4542733426976544</v>
      </c>
      <c r="C19" s="9">
        <v>-0.46329260073892481</v>
      </c>
      <c r="D19" s="9">
        <v>-0.39821285811385781</v>
      </c>
      <c r="E19" s="9">
        <v>-0.40815863123298662</v>
      </c>
      <c r="F19" s="9">
        <v>-0.34012146213688849</v>
      </c>
      <c r="G19" s="9">
        <v>-0.35102731533142328</v>
      </c>
      <c r="H19" s="9">
        <v>-0.32745742541792988</v>
      </c>
      <c r="I19" s="9">
        <v>-0.33857257792647849</v>
      </c>
      <c r="J19" s="9">
        <v>-0.31123126599003659</v>
      </c>
      <c r="K19" s="9">
        <v>-0.3226145892337704</v>
      </c>
      <c r="L19" s="9">
        <v>-0.29233523518995108</v>
      </c>
      <c r="M19" s="9">
        <v>-0.30403085429730331</v>
      </c>
      <c r="N19" s="9">
        <v>-0.27305539190362182</v>
      </c>
      <c r="O19" s="85">
        <v>-0.28506965016716668</v>
      </c>
    </row>
    <row r="20" spans="1:15" ht="16" customHeight="1">
      <c r="A20" s="84" t="s">
        <v>46</v>
      </c>
      <c r="B20" s="9">
        <v>-0.14245502817735781</v>
      </c>
      <c r="C20" s="9">
        <v>-0.13941938099414569</v>
      </c>
      <c r="D20" s="9">
        <v>-0.12132081259029789</v>
      </c>
      <c r="E20" s="9">
        <v>-0.1182103518123192</v>
      </c>
      <c r="F20" s="9">
        <v>-0.1020277818942634</v>
      </c>
      <c r="G20" s="9">
        <v>-9.8849025182878969E-2</v>
      </c>
      <c r="H20" s="9">
        <v>-0.1052779212281113</v>
      </c>
      <c r="I20" s="9">
        <v>-0.102110669774921</v>
      </c>
      <c r="J20" s="9">
        <v>-0.1039417662036234</v>
      </c>
      <c r="K20" s="9">
        <v>-0.1007697848582759</v>
      </c>
      <c r="L20" s="9">
        <v>-0.10116985759122971</v>
      </c>
      <c r="M20" s="9">
        <v>-9.7988063889857036E-2</v>
      </c>
      <c r="N20" s="9">
        <v>-9.8393863012508298E-2</v>
      </c>
      <c r="O20" s="85">
        <v>-9.5202242491084887E-2</v>
      </c>
    </row>
    <row r="21" spans="1:15" ht="16" customHeight="1">
      <c r="A21" s="81" t="s">
        <v>47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3"/>
    </row>
    <row r="22" spans="1:15" ht="16" customHeight="1">
      <c r="A22" s="84" t="s">
        <v>48</v>
      </c>
      <c r="B22" s="40">
        <v>0.6105681136951232</v>
      </c>
      <c r="C22" s="40"/>
      <c r="D22" s="40">
        <v>0.51248401742812</v>
      </c>
      <c r="E22" s="40">
        <v>0.5135049336772981</v>
      </c>
      <c r="F22" s="40">
        <v>0.41470544429966211</v>
      </c>
      <c r="G22" s="40">
        <v>0.41593535808264198</v>
      </c>
      <c r="H22" s="40">
        <v>0.32470396916657951</v>
      </c>
      <c r="I22" s="40">
        <v>0.32612642555543808</v>
      </c>
      <c r="J22" s="40">
        <v>0.23498933009601261</v>
      </c>
      <c r="K22" s="40">
        <v>0.2366037221976986</v>
      </c>
      <c r="L22" s="40">
        <v>0.14549321675444879</v>
      </c>
      <c r="M22" s="40">
        <v>0.14729908220817889</v>
      </c>
      <c r="N22" s="40">
        <v>5.6620790159864758E-2</v>
      </c>
      <c r="O22" s="86">
        <v>5.861680935767255E-2</v>
      </c>
    </row>
    <row r="23" spans="1:15" ht="16" customHeight="1">
      <c r="A23" s="84" t="s">
        <v>49</v>
      </c>
      <c r="B23" s="40">
        <v>0.64016991529144152</v>
      </c>
      <c r="C23" s="40"/>
      <c r="D23" s="40">
        <v>0.53813766079639902</v>
      </c>
      <c r="E23" s="40">
        <v>0.54892463995070639</v>
      </c>
      <c r="F23" s="40">
        <v>0.43704350253091379</v>
      </c>
      <c r="G23" s="40">
        <v>0.44981597414572738</v>
      </c>
      <c r="H23" s="40">
        <v>0.36476542739435092</v>
      </c>
      <c r="I23" s="40">
        <v>0.38004097746934717</v>
      </c>
      <c r="J23" s="40">
        <v>0.2979416049718438</v>
      </c>
      <c r="K23" s="40">
        <v>0.31421601062679227</v>
      </c>
      <c r="L23" s="40">
        <v>0.23066709090989199</v>
      </c>
      <c r="M23" s="40">
        <v>0.24915309083977721</v>
      </c>
      <c r="N23" s="40">
        <v>0.1641278823654454</v>
      </c>
      <c r="O23" s="86">
        <v>0.18375521870057271</v>
      </c>
    </row>
    <row r="24" spans="1:15" ht="16" customHeight="1">
      <c r="A24" s="84" t="s">
        <v>50</v>
      </c>
      <c r="B24" s="68">
        <v>0.64267442180129686</v>
      </c>
      <c r="C24" s="68"/>
      <c r="D24" s="68">
        <v>0.53589720718027489</v>
      </c>
      <c r="E24" s="68">
        <v>0.56487682288897889</v>
      </c>
      <c r="F24" s="68">
        <v>0.42444855678400478</v>
      </c>
      <c r="G24" s="68">
        <v>0.45993050948896252</v>
      </c>
      <c r="H24" s="68">
        <v>0.35979718214763168</v>
      </c>
      <c r="I24" s="68">
        <v>0.39987390187893262</v>
      </c>
      <c r="J24" s="68">
        <v>0.29978078635468342</v>
      </c>
      <c r="K24" s="68">
        <v>0.34500888460549362</v>
      </c>
      <c r="L24" s="68">
        <v>0.2404160615180419</v>
      </c>
      <c r="M24" s="68">
        <v>0.28922346841005658</v>
      </c>
      <c r="N24" s="68">
        <v>0.1796333205586805</v>
      </c>
      <c r="O24" s="87">
        <v>0.23319441459353329</v>
      </c>
    </row>
    <row r="25" spans="1:15" ht="16" customHeight="1">
      <c r="A25" s="81" t="s">
        <v>51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3"/>
    </row>
    <row r="26" spans="1:15" ht="16" customHeight="1">
      <c r="A26" s="84" t="s">
        <v>48</v>
      </c>
      <c r="B26" s="40">
        <v>0.61557937219528325</v>
      </c>
      <c r="C26" s="40">
        <v>0.61638004156563397</v>
      </c>
      <c r="D26" s="40">
        <v>0.51673072708355594</v>
      </c>
      <c r="E26" s="40">
        <v>0.51774265806582187</v>
      </c>
      <c r="F26" s="40">
        <v>0.4183894146047199</v>
      </c>
      <c r="G26" s="40">
        <v>0.41961153377512372</v>
      </c>
      <c r="H26" s="40">
        <v>0.3311828774132794</v>
      </c>
      <c r="I26" s="40">
        <v>0.33259162560812011</v>
      </c>
      <c r="J26" s="40">
        <v>0.2456972171968449</v>
      </c>
      <c r="K26" s="40">
        <v>0.24728895335275791</v>
      </c>
      <c r="L26" s="40">
        <v>0.1604024341644345</v>
      </c>
      <c r="M26" s="40">
        <v>0.1621767544199407</v>
      </c>
      <c r="N26" s="40">
        <v>7.5186257686260083E-2</v>
      </c>
      <c r="O26" s="86">
        <v>7.7142995724156393E-2</v>
      </c>
    </row>
    <row r="27" spans="1:15" ht="16" customHeight="1">
      <c r="A27" s="84" t="s">
        <v>49</v>
      </c>
      <c r="B27" s="40">
        <v>0.65169123547530006</v>
      </c>
      <c r="C27" s="40">
        <v>0.65946644574915547</v>
      </c>
      <c r="D27" s="40">
        <v>0.54976944334840105</v>
      </c>
      <c r="E27" s="40">
        <v>0.55993804906127009</v>
      </c>
      <c r="F27" s="40">
        <v>0.44759526768662389</v>
      </c>
      <c r="G27" s="40">
        <v>0.46030299843564909</v>
      </c>
      <c r="H27" s="40">
        <v>0.38172981237916598</v>
      </c>
      <c r="I27" s="40">
        <v>0.39566152483595668</v>
      </c>
      <c r="J27" s="40">
        <v>0.32149179784376453</v>
      </c>
      <c r="K27" s="40">
        <v>0.33685780452991998</v>
      </c>
      <c r="L27" s="40">
        <v>0.26114494056302218</v>
      </c>
      <c r="M27" s="40">
        <v>0.27795459299708669</v>
      </c>
      <c r="N27" s="40">
        <v>0.2005535549123659</v>
      </c>
      <c r="O27" s="86">
        <v>0.2187713004500664</v>
      </c>
    </row>
    <row r="28" spans="1:15" ht="16" customHeight="1">
      <c r="A28" s="84" t="s">
        <v>50</v>
      </c>
      <c r="B28" s="68">
        <v>0.6589099306617866</v>
      </c>
      <c r="C28" s="68">
        <v>0.68006685055828431</v>
      </c>
      <c r="D28" s="68">
        <v>0.55292834773392752</v>
      </c>
      <c r="E28" s="68">
        <v>0.58083209034170613</v>
      </c>
      <c r="F28" s="68">
        <v>0.4432468611113754</v>
      </c>
      <c r="G28" s="68">
        <v>0.47831076296675179</v>
      </c>
      <c r="H28" s="68">
        <v>0.38563353602918282</v>
      </c>
      <c r="I28" s="68">
        <v>0.42417804905217138</v>
      </c>
      <c r="J28" s="68">
        <v>0.33419619214446672</v>
      </c>
      <c r="K28" s="68">
        <v>0.37605327745931588</v>
      </c>
      <c r="L28" s="68">
        <v>0.28238120618381768</v>
      </c>
      <c r="M28" s="68">
        <v>0.32748558388114851</v>
      </c>
      <c r="N28" s="68">
        <v>0.23011537134417639</v>
      </c>
      <c r="O28" s="87">
        <v>0.27853352591275943</v>
      </c>
    </row>
    <row r="29" spans="1:15" ht="16" customHeight="1">
      <c r="A29" s="81" t="s">
        <v>52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3"/>
    </row>
    <row r="30" spans="1:15" ht="16" customHeight="1">
      <c r="A30" s="84" t="s">
        <v>48</v>
      </c>
      <c r="B30" s="40">
        <v>0.45024999999999998</v>
      </c>
      <c r="C30" s="40">
        <v>0.46294999999999997</v>
      </c>
      <c r="D30" s="40">
        <v>0.44469999999999998</v>
      </c>
      <c r="E30" s="40">
        <v>0.45915</v>
      </c>
      <c r="F30" s="40">
        <v>0.43375000000000002</v>
      </c>
      <c r="G30" s="40">
        <v>0.45305000000000001</v>
      </c>
      <c r="H30" s="40">
        <v>0.41604999999999998</v>
      </c>
      <c r="I30" s="40">
        <v>0.43914999999999998</v>
      </c>
      <c r="J30" s="40">
        <v>0.3906</v>
      </c>
      <c r="K30" s="40">
        <v>0.42</v>
      </c>
      <c r="L30" s="40">
        <v>0.35649999999999998</v>
      </c>
      <c r="M30" s="40">
        <v>0.39150000000000001</v>
      </c>
      <c r="N30" s="40">
        <v>0.33084999999999998</v>
      </c>
      <c r="O30" s="86">
        <v>0.36770000000000003</v>
      </c>
    </row>
    <row r="31" spans="1:15" ht="16" customHeight="1">
      <c r="A31" s="84" t="s">
        <v>49</v>
      </c>
      <c r="B31" s="40">
        <v>0.39850000000000002</v>
      </c>
      <c r="C31" s="40">
        <v>0.43874999999999997</v>
      </c>
      <c r="D31" s="40">
        <v>0.37309999999999999</v>
      </c>
      <c r="E31" s="40">
        <v>0.41889999999999999</v>
      </c>
      <c r="F31" s="40">
        <v>0.33865000000000001</v>
      </c>
      <c r="G31" s="40">
        <v>0.39450000000000002</v>
      </c>
      <c r="H31" s="40">
        <v>0.29875000000000002</v>
      </c>
      <c r="I31" s="40">
        <v>0.3594</v>
      </c>
      <c r="J31" s="40">
        <v>0.25074999999999997</v>
      </c>
      <c r="K31" s="40">
        <v>0.31574999999999998</v>
      </c>
      <c r="L31" s="40">
        <v>0.20419999999999999</v>
      </c>
      <c r="M31" s="40">
        <v>0.27145000000000002</v>
      </c>
      <c r="N31" s="40">
        <v>0.17730000000000001</v>
      </c>
      <c r="O31" s="86">
        <v>0.24410000000000001</v>
      </c>
    </row>
    <row r="32" spans="1:15" ht="16" customHeight="1">
      <c r="A32" s="88" t="s">
        <v>50</v>
      </c>
      <c r="B32" s="89">
        <v>0.35549999999999998</v>
      </c>
      <c r="C32" s="89">
        <v>0.41489999999999999</v>
      </c>
      <c r="D32" s="89">
        <v>0.31780000000000003</v>
      </c>
      <c r="E32" s="89">
        <v>0.38755000000000001</v>
      </c>
      <c r="F32" s="89">
        <v>0.27005000000000001</v>
      </c>
      <c r="G32" s="89">
        <v>0.34939999999999999</v>
      </c>
      <c r="H32" s="89">
        <v>0.21955</v>
      </c>
      <c r="I32" s="89">
        <v>0.30449999999999999</v>
      </c>
      <c r="J32" s="89">
        <v>0.16955000000000001</v>
      </c>
      <c r="K32" s="89">
        <v>0.25195000000000001</v>
      </c>
      <c r="L32" s="89">
        <v>0.12620000000000001</v>
      </c>
      <c r="M32" s="89">
        <v>0.20435</v>
      </c>
      <c r="N32" s="89">
        <v>9.8500000000000004E-2</v>
      </c>
      <c r="O32" s="90">
        <v>0.17469999999999999</v>
      </c>
    </row>
    <row r="33" spans="1:15" ht="16" customHeight="1">
      <c r="A33" s="7" t="s">
        <v>53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16" customHeight="1"/>
    <row r="35" spans="1:15" ht="20" customHeight="1"/>
  </sheetData>
  <mergeCells count="126">
    <mergeCell ref="N31:O31"/>
    <mergeCell ref="D32:E32"/>
    <mergeCell ref="F32:G32"/>
    <mergeCell ref="H32:I32"/>
    <mergeCell ref="J32:K32"/>
    <mergeCell ref="L32:M32"/>
    <mergeCell ref="N32:O32"/>
    <mergeCell ref="D31:E31"/>
    <mergeCell ref="F31:G31"/>
    <mergeCell ref="H31:I31"/>
    <mergeCell ref="J31:K31"/>
    <mergeCell ref="L31:M31"/>
    <mergeCell ref="N28:O28"/>
    <mergeCell ref="D30:E30"/>
    <mergeCell ref="F30:G30"/>
    <mergeCell ref="H30:I30"/>
    <mergeCell ref="J30:K30"/>
    <mergeCell ref="L30:M30"/>
    <mergeCell ref="N30:O30"/>
    <mergeCell ref="D28:E28"/>
    <mergeCell ref="F28:G28"/>
    <mergeCell ref="H28:I28"/>
    <mergeCell ref="J28:K28"/>
    <mergeCell ref="L28:M28"/>
    <mergeCell ref="J26:K26"/>
    <mergeCell ref="L26:M26"/>
    <mergeCell ref="N26:O26"/>
    <mergeCell ref="D27:E27"/>
    <mergeCell ref="F27:G27"/>
    <mergeCell ref="H27:I27"/>
    <mergeCell ref="J27:K27"/>
    <mergeCell ref="L27:M27"/>
    <mergeCell ref="N27:O27"/>
    <mergeCell ref="B32:C32"/>
    <mergeCell ref="D22:E22"/>
    <mergeCell ref="F22:G22"/>
    <mergeCell ref="H22:I22"/>
    <mergeCell ref="J22:K22"/>
    <mergeCell ref="D23:E23"/>
    <mergeCell ref="F23:G23"/>
    <mergeCell ref="H23:I23"/>
    <mergeCell ref="J23:K23"/>
    <mergeCell ref="D24:E24"/>
    <mergeCell ref="F24:G24"/>
    <mergeCell ref="H24:I24"/>
    <mergeCell ref="J24:K24"/>
    <mergeCell ref="D26:E26"/>
    <mergeCell ref="F26:G26"/>
    <mergeCell ref="H26:I26"/>
    <mergeCell ref="B26:C26"/>
    <mergeCell ref="B27:C27"/>
    <mergeCell ref="B28:C28"/>
    <mergeCell ref="B30:C30"/>
    <mergeCell ref="B31:C31"/>
    <mergeCell ref="L9:M9"/>
    <mergeCell ref="N9:O9"/>
    <mergeCell ref="B22:C22"/>
    <mergeCell ref="B23:C23"/>
    <mergeCell ref="B24:C24"/>
    <mergeCell ref="L22:M22"/>
    <mergeCell ref="N22:O22"/>
    <mergeCell ref="L23:M23"/>
    <mergeCell ref="N23:O23"/>
    <mergeCell ref="L24:M24"/>
    <mergeCell ref="N24:O24"/>
    <mergeCell ref="B9:C9"/>
    <mergeCell ref="D9:E9"/>
    <mergeCell ref="F9:G9"/>
    <mergeCell ref="H9:I9"/>
    <mergeCell ref="J9:K9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3:C3"/>
    <mergeCell ref="D3:E3"/>
    <mergeCell ref="F3:G3"/>
    <mergeCell ref="H3:I3"/>
    <mergeCell ref="J3:K3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1:C1"/>
    <mergeCell ref="D1:E1"/>
    <mergeCell ref="F1:G1"/>
    <mergeCell ref="H1:I1"/>
    <mergeCell ref="J1:K1"/>
  </mergeCells>
  <conditionalFormatting sqref="B12:O2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/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10"/>
      <c r="B1" s="43" t="s">
        <v>54</v>
      </c>
      <c r="C1" s="44"/>
      <c r="D1" s="44"/>
      <c r="E1" s="44"/>
      <c r="F1" s="44"/>
      <c r="G1" s="44"/>
      <c r="H1" s="12"/>
      <c r="I1" s="43" t="s">
        <v>55</v>
      </c>
      <c r="J1" s="44"/>
    </row>
    <row r="2" spans="1:10" ht="49" customHeight="1">
      <c r="A2" s="13"/>
      <c r="B2" s="45" t="s">
        <v>56</v>
      </c>
      <c r="C2" s="44"/>
      <c r="D2" s="44"/>
      <c r="E2" s="11" t="s">
        <v>33</v>
      </c>
      <c r="F2" s="11" t="s">
        <v>32</v>
      </c>
      <c r="G2" s="14" t="s">
        <v>57</v>
      </c>
      <c r="H2" s="11" t="s">
        <v>58</v>
      </c>
      <c r="I2" s="11" t="s">
        <v>59</v>
      </c>
      <c r="J2" s="11" t="s">
        <v>60</v>
      </c>
    </row>
    <row r="3" spans="1:10" ht="17" customHeight="1">
      <c r="A3" s="15" t="s">
        <v>7</v>
      </c>
      <c r="B3" s="16"/>
      <c r="C3" s="16"/>
      <c r="D3" s="16"/>
      <c r="E3" s="16"/>
      <c r="F3" s="17"/>
      <c r="G3" s="16"/>
      <c r="H3" s="16"/>
      <c r="I3" s="16"/>
      <c r="J3" s="16"/>
    </row>
    <row r="4" spans="1:10" ht="17" customHeight="1">
      <c r="A4" s="18" t="s">
        <v>61</v>
      </c>
      <c r="B4" s="19">
        <v>5.7327167405640438E-3</v>
      </c>
      <c r="C4" s="20">
        <v>1.0867351760870111E-2</v>
      </c>
      <c r="D4" s="21">
        <v>1.6001986781176172E-2</v>
      </c>
      <c r="E4" s="20">
        <v>3.2110810353131243E-2</v>
      </c>
      <c r="F4" s="22">
        <v>0.33843280942956311</v>
      </c>
      <c r="G4" s="20">
        <v>3.5867351760870109E-2</v>
      </c>
      <c r="H4" s="23">
        <v>0</v>
      </c>
      <c r="I4" s="24">
        <v>26723</v>
      </c>
      <c r="J4" s="24">
        <v>45777</v>
      </c>
    </row>
    <row r="5" spans="1:10" ht="17" customHeight="1">
      <c r="A5" s="18" t="s">
        <v>62</v>
      </c>
      <c r="B5" s="19">
        <v>1.318813385797757E-2</v>
      </c>
      <c r="C5" s="20">
        <v>1.994219801661444E-2</v>
      </c>
      <c r="D5" s="21">
        <v>2.6696262175251301E-2</v>
      </c>
      <c r="E5" s="20">
        <v>4.2238342638410517E-2</v>
      </c>
      <c r="F5" s="22">
        <v>0.47213495537297651</v>
      </c>
      <c r="G5" s="20">
        <v>4.4942198016614428E-2</v>
      </c>
      <c r="H5" s="23">
        <v>0</v>
      </c>
      <c r="I5" s="24">
        <v>26723</v>
      </c>
      <c r="J5" s="24">
        <v>45777</v>
      </c>
    </row>
    <row r="6" spans="1:10" ht="17" customHeight="1">
      <c r="A6" s="25" t="s">
        <v>10</v>
      </c>
      <c r="B6" s="26"/>
      <c r="C6" s="27"/>
      <c r="D6" s="28"/>
      <c r="E6" s="27"/>
      <c r="F6" s="29"/>
      <c r="G6" s="27"/>
      <c r="H6" s="30"/>
      <c r="I6" s="31"/>
      <c r="J6" s="31"/>
    </row>
    <row r="7" spans="1:10" ht="17" customHeight="1">
      <c r="A7" s="18" t="s">
        <v>63</v>
      </c>
      <c r="B7" s="19">
        <v>1.983586277754092E-2</v>
      </c>
      <c r="C7" s="20">
        <v>3.2957299522559672E-2</v>
      </c>
      <c r="D7" s="21">
        <v>4.607873626757842E-2</v>
      </c>
      <c r="E7" s="20">
        <v>8.2058406335332817E-2</v>
      </c>
      <c r="F7" s="22">
        <v>0.40163221532574261</v>
      </c>
      <c r="G7" s="20">
        <v>5.7957299522559673E-2</v>
      </c>
      <c r="H7" s="23">
        <v>0</v>
      </c>
      <c r="I7" s="24">
        <v>30559</v>
      </c>
      <c r="J7" s="24">
        <v>45777</v>
      </c>
    </row>
    <row r="8" spans="1:10" ht="17" customHeight="1">
      <c r="A8" s="25" t="s">
        <v>12</v>
      </c>
      <c r="B8" s="26"/>
      <c r="C8" s="27"/>
      <c r="D8" s="28"/>
      <c r="E8" s="27"/>
      <c r="F8" s="29"/>
      <c r="G8" s="27"/>
      <c r="H8" s="30"/>
      <c r="I8" s="31"/>
      <c r="J8" s="31"/>
    </row>
    <row r="9" spans="1:10" ht="17" customHeight="1">
      <c r="A9" s="18" t="s">
        <v>64</v>
      </c>
      <c r="B9" s="19">
        <v>2.1935921675440791E-2</v>
      </c>
      <c r="C9" s="20">
        <v>4.6797853363938748E-2</v>
      </c>
      <c r="D9" s="21">
        <v>7.1659785052436725E-2</v>
      </c>
      <c r="E9" s="20">
        <v>0.14696430180559181</v>
      </c>
      <c r="F9" s="22">
        <v>0.31843007307886351</v>
      </c>
      <c r="G9" s="20">
        <v>7.1797853363938763E-2</v>
      </c>
      <c r="H9" s="23">
        <v>0.7</v>
      </c>
      <c r="I9" s="24">
        <v>32171</v>
      </c>
      <c r="J9" s="24">
        <v>45777</v>
      </c>
    </row>
    <row r="10" spans="1:10" ht="17" customHeight="1">
      <c r="A10" s="18" t="s">
        <v>65</v>
      </c>
      <c r="B10" s="19">
        <v>1.717616023930112E-2</v>
      </c>
      <c r="C10" s="20">
        <v>4.4244823467154477E-2</v>
      </c>
      <c r="D10" s="21">
        <v>7.1313486695007838E-2</v>
      </c>
      <c r="E10" s="20">
        <v>0.16928110917035849</v>
      </c>
      <c r="F10" s="22">
        <v>0.26136893646312342</v>
      </c>
      <c r="G10" s="20">
        <v>6.9244823467154493E-2</v>
      </c>
      <c r="H10" s="23">
        <v>0</v>
      </c>
      <c r="I10" s="24">
        <v>28886</v>
      </c>
      <c r="J10" s="24">
        <v>45777</v>
      </c>
    </row>
    <row r="11" spans="1:10" ht="17" customHeight="1">
      <c r="A11" s="18" t="s">
        <v>66</v>
      </c>
      <c r="B11" s="19">
        <v>3.8328393380117128E-2</v>
      </c>
      <c r="C11" s="20">
        <v>6.1473144644885652E-2</v>
      </c>
      <c r="D11" s="21">
        <v>8.4617895909654156E-2</v>
      </c>
      <c r="E11" s="20">
        <v>0.14474187855499729</v>
      </c>
      <c r="F11" s="22">
        <v>0.42470876610550418</v>
      </c>
      <c r="G11" s="20">
        <v>8.6473144644885647E-2</v>
      </c>
      <c r="H11" s="23">
        <v>0</v>
      </c>
      <c r="I11" s="24">
        <v>28886</v>
      </c>
      <c r="J11" s="24">
        <v>45777</v>
      </c>
    </row>
    <row r="12" spans="1:10" ht="17" customHeight="1">
      <c r="A12" s="18" t="s">
        <v>67</v>
      </c>
      <c r="B12" s="19">
        <v>3.9548088591888853E-2</v>
      </c>
      <c r="C12" s="20">
        <v>7.0287620802001807E-2</v>
      </c>
      <c r="D12" s="21">
        <v>0.1010271530121148</v>
      </c>
      <c r="E12" s="20">
        <v>0.1922378679768498</v>
      </c>
      <c r="F12" s="22">
        <v>0.36562838290771188</v>
      </c>
      <c r="G12" s="20">
        <v>9.5287620802001816E-2</v>
      </c>
      <c r="H12" s="23">
        <v>0</v>
      </c>
      <c r="I12" s="24">
        <v>28886</v>
      </c>
      <c r="J12" s="24">
        <v>45777</v>
      </c>
    </row>
    <row r="13" spans="1:10" ht="17" customHeight="1">
      <c r="A13" s="18" t="s">
        <v>68</v>
      </c>
      <c r="B13" s="19">
        <v>2.1019364331575089E-2</v>
      </c>
      <c r="C13" s="20">
        <v>4.7103364879311882E-2</v>
      </c>
      <c r="D13" s="21">
        <v>7.3187365427048678E-2</v>
      </c>
      <c r="E13" s="20">
        <v>0.16312325832838301</v>
      </c>
      <c r="F13" s="22">
        <v>0.28875934285525512</v>
      </c>
      <c r="G13" s="20">
        <v>7.2103364879311876E-2</v>
      </c>
      <c r="H13" s="23">
        <v>0.7</v>
      </c>
      <c r="I13" s="24">
        <v>25626</v>
      </c>
      <c r="J13" s="24">
        <v>45777</v>
      </c>
    </row>
    <row r="14" spans="1:10" ht="17" customHeight="1">
      <c r="A14" s="18" t="s">
        <v>69</v>
      </c>
      <c r="B14" s="19">
        <v>2.537093070079656E-2</v>
      </c>
      <c r="C14" s="20">
        <v>4.9088970154403527E-2</v>
      </c>
      <c r="D14" s="21">
        <v>7.2807009608010509E-2</v>
      </c>
      <c r="E14" s="20">
        <v>0.14832708923436991</v>
      </c>
      <c r="F14" s="22">
        <v>0.33095080883599509</v>
      </c>
      <c r="G14" s="20">
        <v>7.4088970154403536E-2</v>
      </c>
      <c r="H14" s="23">
        <v>0.7</v>
      </c>
      <c r="I14" s="24">
        <v>25598</v>
      </c>
      <c r="J14" s="24">
        <v>45777</v>
      </c>
    </row>
    <row r="15" spans="1:10" ht="17" customHeight="1">
      <c r="A15" s="18" t="s">
        <v>70</v>
      </c>
      <c r="B15" s="19">
        <v>-1.528425824486708E-3</v>
      </c>
      <c r="C15" s="20">
        <v>2.7945937897505491E-2</v>
      </c>
      <c r="D15" s="21">
        <v>5.7420301619497682E-2</v>
      </c>
      <c r="E15" s="20">
        <v>0.18432579920737729</v>
      </c>
      <c r="F15" s="22">
        <v>0.15161164643081071</v>
      </c>
      <c r="G15" s="20">
        <v>5.2945937897505492E-2</v>
      </c>
      <c r="H15" s="23">
        <v>0.7</v>
      </c>
      <c r="I15" s="24">
        <v>25598</v>
      </c>
      <c r="J15" s="24">
        <v>45777</v>
      </c>
    </row>
    <row r="16" spans="1:10" ht="17" customHeight="1">
      <c r="A16" s="18" t="s">
        <v>71</v>
      </c>
      <c r="B16" s="19">
        <v>2.752917685078874E-2</v>
      </c>
      <c r="C16" s="20">
        <v>5.6461831660523189E-2</v>
      </c>
      <c r="D16" s="21">
        <v>8.5394486470257644E-2</v>
      </c>
      <c r="E16" s="20">
        <v>0.1710272341976542</v>
      </c>
      <c r="F16" s="22">
        <v>0.33013357156481238</v>
      </c>
      <c r="G16" s="20">
        <v>8.146183166052319E-2</v>
      </c>
      <c r="H16" s="23">
        <v>0.7</v>
      </c>
      <c r="I16" s="24">
        <v>25626</v>
      </c>
      <c r="J16" s="24">
        <v>45777</v>
      </c>
    </row>
    <row r="17" spans="1:10" ht="17" customHeight="1">
      <c r="A17" s="18" t="s">
        <v>72</v>
      </c>
      <c r="B17" s="19">
        <v>3.5868022051295918E-2</v>
      </c>
      <c r="C17" s="20">
        <v>7.5245769473422777E-2</v>
      </c>
      <c r="D17" s="21">
        <v>0.1146235168955496</v>
      </c>
      <c r="E17" s="20">
        <v>0.2327704552115373</v>
      </c>
      <c r="F17" s="22">
        <v>0.32326168458553239</v>
      </c>
      <c r="G17" s="20">
        <v>0.1002457694734228</v>
      </c>
      <c r="H17" s="23">
        <v>0</v>
      </c>
      <c r="I17" s="24">
        <v>32171</v>
      </c>
      <c r="J17" s="24">
        <v>45777</v>
      </c>
    </row>
    <row r="18" spans="1:10" ht="17" customHeight="1">
      <c r="A18" s="18" t="s">
        <v>73</v>
      </c>
      <c r="B18" s="19">
        <v>3.4888825869154871E-2</v>
      </c>
      <c r="C18" s="20">
        <v>5.8342310196128878E-2</v>
      </c>
      <c r="D18" s="21">
        <v>8.1795794523102885E-2</v>
      </c>
      <c r="E18" s="20">
        <v>0.13562199119584281</v>
      </c>
      <c r="F18" s="22">
        <v>0.43018325923176132</v>
      </c>
      <c r="G18" s="20">
        <v>8.334231019612888E-2</v>
      </c>
      <c r="H18" s="23">
        <v>0.7</v>
      </c>
      <c r="I18" s="24">
        <v>32720</v>
      </c>
      <c r="J18" s="24">
        <v>44925</v>
      </c>
    </row>
    <row r="19" spans="1:10" ht="17" customHeight="1">
      <c r="A19" s="18" t="s">
        <v>74</v>
      </c>
      <c r="B19" s="19">
        <v>1.688838611526584E-2</v>
      </c>
      <c r="C19" s="20">
        <v>4.5625590064520882E-2</v>
      </c>
      <c r="D19" s="21">
        <v>7.4362794013775907E-2</v>
      </c>
      <c r="E19" s="20">
        <v>0.1405898501681038</v>
      </c>
      <c r="F19" s="22">
        <v>0.32452975808684759</v>
      </c>
      <c r="G19" s="20">
        <v>7.0625590064520877E-2</v>
      </c>
      <c r="H19" s="23">
        <v>0.7</v>
      </c>
      <c r="I19" s="24">
        <v>36189</v>
      </c>
      <c r="J19" s="24">
        <v>45777</v>
      </c>
    </row>
    <row r="20" spans="1:10" ht="17" customHeight="1">
      <c r="A20" s="25" t="s">
        <v>24</v>
      </c>
      <c r="B20" s="26"/>
      <c r="C20" s="27"/>
      <c r="D20" s="28"/>
      <c r="E20" s="27"/>
      <c r="F20" s="29"/>
      <c r="G20" s="27"/>
      <c r="H20" s="30"/>
      <c r="I20" s="31"/>
      <c r="J20" s="31"/>
    </row>
    <row r="21" spans="1:10" ht="17" customHeight="1">
      <c r="A21" s="18" t="s">
        <v>75</v>
      </c>
      <c r="B21" s="19">
        <v>7.8845227205770769E-3</v>
      </c>
      <c r="C21" s="20">
        <v>1.9381268325582329E-2</v>
      </c>
      <c r="D21" s="21">
        <v>3.0878013930587589E-2</v>
      </c>
      <c r="E21" s="20">
        <v>6.1838706545769923E-2</v>
      </c>
      <c r="F21" s="22">
        <v>0.31341645723519918</v>
      </c>
      <c r="G21" s="20">
        <v>4.4381268325582333E-2</v>
      </c>
      <c r="H21" s="23">
        <v>1</v>
      </c>
      <c r="I21" s="24">
        <v>34365</v>
      </c>
      <c r="J21" s="24">
        <v>45777</v>
      </c>
    </row>
    <row r="22" spans="1:10" ht="17" customHeight="1">
      <c r="A22" s="18" t="s">
        <v>76</v>
      </c>
      <c r="B22" s="19">
        <v>4.3523800542835459E-3</v>
      </c>
      <c r="C22" s="20">
        <v>2.0773446286426561E-2</v>
      </c>
      <c r="D22" s="21">
        <v>3.7194512518569582E-2</v>
      </c>
      <c r="E22" s="20">
        <v>8.8325647168886759E-2</v>
      </c>
      <c r="F22" s="22">
        <v>0.2351915548006778</v>
      </c>
      <c r="G22" s="20">
        <v>4.5773446286426572E-2</v>
      </c>
      <c r="H22" s="23">
        <v>1</v>
      </c>
      <c r="I22" s="24">
        <v>34365</v>
      </c>
      <c r="J22" s="24">
        <v>45777</v>
      </c>
    </row>
    <row r="23" spans="1:10" ht="17" customHeight="1">
      <c r="A23" s="18" t="s">
        <v>77</v>
      </c>
      <c r="B23" s="19">
        <v>1.069289996815625E-2</v>
      </c>
      <c r="C23" s="20">
        <v>2.7968658495309991E-2</v>
      </c>
      <c r="D23" s="21">
        <v>4.524441702246372E-2</v>
      </c>
      <c r="E23" s="20">
        <v>7.3138510600272974E-2</v>
      </c>
      <c r="F23" s="22">
        <v>0.38240672753330041</v>
      </c>
      <c r="G23" s="20">
        <v>5.2968658495309989E-2</v>
      </c>
      <c r="H23" s="23">
        <v>1</v>
      </c>
      <c r="I23" s="24">
        <v>38383</v>
      </c>
      <c r="J23" s="24">
        <v>45777</v>
      </c>
    </row>
    <row r="24" spans="1:10" ht="17" customHeight="1">
      <c r="A24" s="25" t="s">
        <v>28</v>
      </c>
      <c r="B24" s="26"/>
      <c r="C24" s="27"/>
      <c r="D24" s="28"/>
      <c r="E24" s="27"/>
      <c r="F24" s="29"/>
      <c r="G24" s="27"/>
      <c r="H24" s="30"/>
      <c r="I24" s="31"/>
      <c r="J24" s="31"/>
    </row>
    <row r="25" spans="1:10" ht="17" customHeight="1">
      <c r="A25" s="32" t="s">
        <v>78</v>
      </c>
      <c r="B25" s="33">
        <v>-2.531983386786682E-2</v>
      </c>
      <c r="C25" s="34">
        <v>4.4638489183223357E-2</v>
      </c>
      <c r="D25" s="35">
        <v>0.11459681223431351</v>
      </c>
      <c r="E25" s="34">
        <v>0.4030127704197457</v>
      </c>
      <c r="F25" s="36">
        <v>0.110761971976053</v>
      </c>
      <c r="G25" s="34">
        <v>6.9638489183223351E-2</v>
      </c>
      <c r="H25" s="37">
        <v>0</v>
      </c>
      <c r="I25" s="38">
        <v>26723</v>
      </c>
      <c r="J25" s="38">
        <v>45107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79</v>
      </c>
      <c r="C1" s="39" t="s">
        <v>79</v>
      </c>
      <c r="D1" s="39" t="s">
        <v>79</v>
      </c>
      <c r="E1" s="39" t="s">
        <v>79</v>
      </c>
      <c r="F1" s="39" t="s">
        <v>80</v>
      </c>
      <c r="G1" s="39" t="s">
        <v>80</v>
      </c>
      <c r="H1" s="39" t="s">
        <v>80</v>
      </c>
      <c r="I1" s="39" t="s">
        <v>80</v>
      </c>
      <c r="J1" s="39" t="s">
        <v>81</v>
      </c>
      <c r="K1" s="39" t="s">
        <v>81</v>
      </c>
      <c r="L1" s="39" t="s">
        <v>81</v>
      </c>
      <c r="M1" s="39" t="s">
        <v>81</v>
      </c>
      <c r="N1" s="39" t="s">
        <v>82</v>
      </c>
      <c r="O1" s="39" t="s">
        <v>82</v>
      </c>
      <c r="P1" s="39" t="s">
        <v>82</v>
      </c>
      <c r="Q1" s="39" t="s">
        <v>82</v>
      </c>
    </row>
    <row r="2" spans="1:17">
      <c r="A2" s="39"/>
      <c r="B2" s="39" t="s">
        <v>83</v>
      </c>
      <c r="C2" s="39" t="s">
        <v>84</v>
      </c>
      <c r="D2" s="39" t="s">
        <v>85</v>
      </c>
      <c r="E2" s="39" t="s">
        <v>86</v>
      </c>
      <c r="F2" s="39" t="s">
        <v>83</v>
      </c>
      <c r="G2" s="39" t="s">
        <v>84</v>
      </c>
      <c r="H2" s="39" t="s">
        <v>85</v>
      </c>
      <c r="I2" s="39" t="s">
        <v>86</v>
      </c>
      <c r="J2" s="39" t="s">
        <v>83</v>
      </c>
      <c r="K2" s="39" t="s">
        <v>84</v>
      </c>
      <c r="L2" s="39" t="s">
        <v>85</v>
      </c>
      <c r="M2" s="39" t="s">
        <v>86</v>
      </c>
      <c r="N2" s="39" t="s">
        <v>83</v>
      </c>
      <c r="O2" s="39" t="s">
        <v>84</v>
      </c>
      <c r="P2" s="39" t="s">
        <v>85</v>
      </c>
      <c r="Q2" s="39" t="s">
        <v>86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61.818528838662637</v>
      </c>
      <c r="C4" s="39">
        <v>78.140481063408899</v>
      </c>
      <c r="D4" s="39">
        <v>103.9567990908773</v>
      </c>
      <c r="E4" s="39">
        <v>136.74500235036791</v>
      </c>
      <c r="F4" s="39">
        <v>60.243372653839351</v>
      </c>
      <c r="G4" s="39">
        <v>76.300465172299752</v>
      </c>
      <c r="H4" s="39">
        <v>101.69008239319901</v>
      </c>
      <c r="I4" s="39">
        <v>133.95045444541711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51.418656500318328</v>
      </c>
      <c r="C5" s="39">
        <v>72.042419582877244</v>
      </c>
      <c r="D5" s="39">
        <v>107.1145847452551</v>
      </c>
      <c r="E5" s="39">
        <v>158.61413142735211</v>
      </c>
      <c r="F5" s="39">
        <v>49.275422075807292</v>
      </c>
      <c r="G5" s="39">
        <v>68.738786755048153</v>
      </c>
      <c r="H5" s="39">
        <v>102.27023323506781</v>
      </c>
      <c r="I5" s="39">
        <v>151.62832238171919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45.515505915479586</v>
      </c>
      <c r="C6" s="39">
        <v>68.571127550626969</v>
      </c>
      <c r="D6" s="39">
        <v>110.57685165845029</v>
      </c>
      <c r="E6" s="39">
        <v>177.06463233693611</v>
      </c>
      <c r="F6" s="39">
        <v>42.373081987269529</v>
      </c>
      <c r="G6" s="39">
        <v>63.860213424435479</v>
      </c>
      <c r="H6" s="39">
        <v>103.28658428404169</v>
      </c>
      <c r="I6" s="39">
        <v>165.605611713012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40.816035405245337</v>
      </c>
      <c r="C7" s="39">
        <v>65.749726137367588</v>
      </c>
      <c r="D7" s="39">
        <v>115.32868879014249</v>
      </c>
      <c r="E7" s="39">
        <v>200.08121142682319</v>
      </c>
      <c r="F7" s="39">
        <v>37.162846625730673</v>
      </c>
      <c r="G7" s="39">
        <v>59.96474845692395</v>
      </c>
      <c r="H7" s="39">
        <v>105.38616916908541</v>
      </c>
      <c r="I7" s="39">
        <v>183.61428266848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37.252532271232418</v>
      </c>
      <c r="C8" s="39">
        <v>63.557761141349943</v>
      </c>
      <c r="D8" s="39">
        <v>120.4385732873385</v>
      </c>
      <c r="E8" s="39">
        <v>224.4245239285143</v>
      </c>
      <c r="F8" s="39">
        <v>33.324042332814329</v>
      </c>
      <c r="G8" s="39">
        <v>56.848919929283923</v>
      </c>
      <c r="H8" s="39">
        <v>107.7677035404208</v>
      </c>
      <c r="I8" s="39">
        <v>200.87492825194369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33.977457604959049</v>
      </c>
      <c r="C9" s="39">
        <v>62.355610131771442</v>
      </c>
      <c r="D9" s="39">
        <v>125.4654397278165</v>
      </c>
      <c r="E9" s="39">
        <v>248.2645635660121</v>
      </c>
      <c r="F9" s="39">
        <v>29.739685743343941</v>
      </c>
      <c r="G9" s="39">
        <v>54.704510153475901</v>
      </c>
      <c r="H9" s="39">
        <v>110.3152393464581</v>
      </c>
      <c r="I9" s="39">
        <v>217.85584016750241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31.43333440582979</v>
      </c>
      <c r="C10" s="39">
        <v>61.247568196429008</v>
      </c>
      <c r="D10" s="39">
        <v>130.79973378454159</v>
      </c>
      <c r="E10" s="39">
        <v>274.22000707112181</v>
      </c>
      <c r="F10" s="39">
        <v>27.079066453236301</v>
      </c>
      <c r="G10" s="39">
        <v>52.549156031184808</v>
      </c>
      <c r="H10" s="39">
        <v>112.53785906700119</v>
      </c>
      <c r="I10" s="39">
        <v>236.61298473632189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29.72697440006397</v>
      </c>
      <c r="C11" s="39">
        <v>60.341557116189271</v>
      </c>
      <c r="D11" s="39">
        <v>137.00040420597799</v>
      </c>
      <c r="E11" s="39">
        <v>304.67743275253048</v>
      </c>
      <c r="F11" s="39">
        <v>24.846840176268621</v>
      </c>
      <c r="G11" s="39">
        <v>50.772367547498838</v>
      </c>
      <c r="H11" s="39">
        <v>115.04903439382861</v>
      </c>
      <c r="I11" s="39">
        <v>257.00662544249548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27.49419457135048</v>
      </c>
      <c r="C12" s="39">
        <v>58.220463863749949</v>
      </c>
      <c r="D12" s="39">
        <v>142.0502612187002</v>
      </c>
      <c r="E12" s="39">
        <v>331.30743283119688</v>
      </c>
      <c r="F12" s="39">
        <v>22.787404155535441</v>
      </c>
      <c r="G12" s="39">
        <v>47.792786442669041</v>
      </c>
      <c r="H12" s="39">
        <v>117.0483571075026</v>
      </c>
      <c r="I12" s="39">
        <v>273.78308133256752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25.547402480417329</v>
      </c>
      <c r="C13" s="39">
        <v>57.661713063234913</v>
      </c>
      <c r="D13" s="39">
        <v>147.9146147353776</v>
      </c>
      <c r="E13" s="39">
        <v>360.40513093974198</v>
      </c>
      <c r="F13" s="39">
        <v>20.582206520031811</v>
      </c>
      <c r="G13" s="39">
        <v>46.594426637497868</v>
      </c>
      <c r="H13" s="39">
        <v>119.5873322346358</v>
      </c>
      <c r="I13" s="39">
        <v>291.5817494148157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24.65521735934928</v>
      </c>
      <c r="C14" s="39">
        <v>56.307721269938547</v>
      </c>
      <c r="D14" s="39">
        <v>153.00997119381989</v>
      </c>
      <c r="E14" s="39">
        <v>397.71890714282858</v>
      </c>
      <c r="F14" s="39">
        <v>19.62702599704334</v>
      </c>
      <c r="G14" s="39">
        <v>44.698243341515578</v>
      </c>
      <c r="H14" s="39">
        <v>121.1613205108181</v>
      </c>
      <c r="I14" s="39">
        <v>314.47551222340132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22.89769230170635</v>
      </c>
      <c r="C15" s="39">
        <v>55.63837567841351</v>
      </c>
      <c r="D15" s="39">
        <v>158.58830033045149</v>
      </c>
      <c r="E15" s="39">
        <v>436.19140899975793</v>
      </c>
      <c r="F15" s="39">
        <v>17.83524584566819</v>
      </c>
      <c r="G15" s="39">
        <v>43.430709975708737</v>
      </c>
      <c r="H15" s="39">
        <v>123.1778460041632</v>
      </c>
      <c r="I15" s="39">
        <v>338.05250916352662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21.3976645070789</v>
      </c>
      <c r="C16" s="39">
        <v>55.961524180217182</v>
      </c>
      <c r="D16" s="39">
        <v>164.4284467923647</v>
      </c>
      <c r="E16" s="39">
        <v>469.68585523134669</v>
      </c>
      <c r="F16" s="39">
        <v>16.305592593560831</v>
      </c>
      <c r="G16" s="39">
        <v>42.635782720868811</v>
      </c>
      <c r="H16" s="39">
        <v>125.3085507759366</v>
      </c>
      <c r="I16" s="39">
        <v>358.98008445785172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20.223944984707661</v>
      </c>
      <c r="C17" s="39">
        <v>55.805166461233952</v>
      </c>
      <c r="D17" s="39">
        <v>171.35597381936091</v>
      </c>
      <c r="E17" s="39">
        <v>509.34628085955438</v>
      </c>
      <c r="F17" s="39">
        <v>15.23549596610669</v>
      </c>
      <c r="G17" s="39">
        <v>41.657427221290341</v>
      </c>
      <c r="H17" s="39">
        <v>127.6313004467664</v>
      </c>
      <c r="I17" s="39">
        <v>379.16060512957529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19.467366201475681</v>
      </c>
      <c r="C18" s="39">
        <v>55.227090463712791</v>
      </c>
      <c r="D18" s="39">
        <v>177.74567701918389</v>
      </c>
      <c r="E18" s="39">
        <v>548.23275094812971</v>
      </c>
      <c r="F18" s="39">
        <v>14.17936454087322</v>
      </c>
      <c r="G18" s="39">
        <v>40.408344415476293</v>
      </c>
      <c r="H18" s="39">
        <v>130.285186627402</v>
      </c>
      <c r="I18" s="39">
        <v>402.08766633638788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18.282824627442761</v>
      </c>
      <c r="C19" s="39">
        <v>54.426720572314053</v>
      </c>
      <c r="D19" s="39">
        <v>184.32824926859749</v>
      </c>
      <c r="E19" s="39">
        <v>591.38166790329399</v>
      </c>
      <c r="F19" s="39">
        <v>13.216959179737181</v>
      </c>
      <c r="G19" s="39">
        <v>39.195197904358373</v>
      </c>
      <c r="H19" s="39">
        <v>132.32468428949329</v>
      </c>
      <c r="I19" s="39">
        <v>427.44729628479138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17.510807624358911</v>
      </c>
      <c r="C20" s="39">
        <v>53.95041122356271</v>
      </c>
      <c r="D20" s="39">
        <v>189.92205068720139</v>
      </c>
      <c r="E20" s="39">
        <v>644.7084256939828</v>
      </c>
      <c r="F20" s="39">
        <v>12.436675285246469</v>
      </c>
      <c r="G20" s="39">
        <v>38.228939121180353</v>
      </c>
      <c r="H20" s="39">
        <v>133.303414379126</v>
      </c>
      <c r="I20" s="39">
        <v>454.6455942087822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17.256404715054199</v>
      </c>
      <c r="C21" s="39">
        <v>53.392467576357987</v>
      </c>
      <c r="D21" s="39">
        <v>197.52060918620421</v>
      </c>
      <c r="E21" s="39">
        <v>696.7813524249284</v>
      </c>
      <c r="F21" s="39">
        <v>12.01359828797847</v>
      </c>
      <c r="G21" s="39">
        <v>37.078672103848078</v>
      </c>
      <c r="H21" s="39">
        <v>136.07078981074159</v>
      </c>
      <c r="I21" s="39">
        <v>481.84468827991219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16.567829987066581</v>
      </c>
      <c r="C22" s="39">
        <v>53.394578068013303</v>
      </c>
      <c r="D22" s="39">
        <v>202.3004067788583</v>
      </c>
      <c r="E22" s="39">
        <v>753.89226858296877</v>
      </c>
      <c r="F22" s="39">
        <v>11.236374720677601</v>
      </c>
      <c r="G22" s="39">
        <v>36.255314481403829</v>
      </c>
      <c r="H22" s="39">
        <v>137.28802547856569</v>
      </c>
      <c r="I22" s="39">
        <v>510.66678735556042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15.951519416199419</v>
      </c>
      <c r="C23" s="39">
        <v>53.480226754063978</v>
      </c>
      <c r="D23" s="39">
        <v>209.83315740661129</v>
      </c>
      <c r="E23" s="39">
        <v>816.95971244848488</v>
      </c>
      <c r="F23" s="39">
        <v>10.69348975724195</v>
      </c>
      <c r="G23" s="39">
        <v>35.721520641026267</v>
      </c>
      <c r="H23" s="39">
        <v>139.0643964374315</v>
      </c>
      <c r="I23" s="39">
        <v>541.02506750956036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79</v>
      </c>
      <c r="C1" s="39" t="s">
        <v>79</v>
      </c>
      <c r="D1" s="39" t="s">
        <v>79</v>
      </c>
      <c r="E1" s="39" t="s">
        <v>79</v>
      </c>
      <c r="F1" s="39" t="s">
        <v>80</v>
      </c>
      <c r="G1" s="39" t="s">
        <v>80</v>
      </c>
      <c r="H1" s="39" t="s">
        <v>80</v>
      </c>
      <c r="I1" s="39" t="s">
        <v>80</v>
      </c>
      <c r="J1" s="39" t="s">
        <v>81</v>
      </c>
      <c r="K1" s="39" t="s">
        <v>81</v>
      </c>
      <c r="L1" s="39" t="s">
        <v>81</v>
      </c>
      <c r="M1" s="39" t="s">
        <v>81</v>
      </c>
      <c r="N1" s="39" t="s">
        <v>82</v>
      </c>
      <c r="O1" s="39" t="s">
        <v>82</v>
      </c>
      <c r="P1" s="39" t="s">
        <v>82</v>
      </c>
      <c r="Q1" s="39" t="s">
        <v>82</v>
      </c>
    </row>
    <row r="2" spans="1:17">
      <c r="A2" s="39"/>
      <c r="B2" s="39" t="s">
        <v>83</v>
      </c>
      <c r="C2" s="39" t="s">
        <v>84</v>
      </c>
      <c r="D2" s="39" t="s">
        <v>85</v>
      </c>
      <c r="E2" s="39" t="s">
        <v>86</v>
      </c>
      <c r="F2" s="39" t="s">
        <v>83</v>
      </c>
      <c r="G2" s="39" t="s">
        <v>84</v>
      </c>
      <c r="H2" s="39" t="s">
        <v>85</v>
      </c>
      <c r="I2" s="39" t="s">
        <v>86</v>
      </c>
      <c r="J2" s="39" t="s">
        <v>83</v>
      </c>
      <c r="K2" s="39" t="s">
        <v>84</v>
      </c>
      <c r="L2" s="39" t="s">
        <v>85</v>
      </c>
      <c r="M2" s="39" t="s">
        <v>86</v>
      </c>
      <c r="N2" s="39" t="s">
        <v>83</v>
      </c>
      <c r="O2" s="39" t="s">
        <v>84</v>
      </c>
      <c r="P2" s="39" t="s">
        <v>85</v>
      </c>
      <c r="Q2" s="39" t="s">
        <v>86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67.706754373663429</v>
      </c>
      <c r="C4" s="39">
        <v>82.460747979560594</v>
      </c>
      <c r="D4" s="39">
        <v>104.83958702334149</v>
      </c>
      <c r="E4" s="39">
        <v>132.06056841672071</v>
      </c>
      <c r="F4" s="39">
        <v>66.070864326383344</v>
      </c>
      <c r="G4" s="39">
        <v>80.495025380923181</v>
      </c>
      <c r="H4" s="39">
        <v>102.4705046863989</v>
      </c>
      <c r="I4" s="39">
        <v>129.25400008659051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59.024816040912839</v>
      </c>
      <c r="C5" s="39">
        <v>78.078309098840165</v>
      </c>
      <c r="D5" s="39">
        <v>108.9029669810956</v>
      </c>
      <c r="E5" s="39">
        <v>151.54817949751319</v>
      </c>
      <c r="F5" s="39">
        <v>56.369237533666222</v>
      </c>
      <c r="G5" s="39">
        <v>74.469896351008074</v>
      </c>
      <c r="H5" s="39">
        <v>103.9850308845281</v>
      </c>
      <c r="I5" s="39">
        <v>144.84798204393951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53.891978638820618</v>
      </c>
      <c r="C6" s="39">
        <v>75.918480587208947</v>
      </c>
      <c r="D6" s="39">
        <v>113.3406013875163</v>
      </c>
      <c r="E6" s="39">
        <v>168.35170053236359</v>
      </c>
      <c r="F6" s="39">
        <v>50.213402369252051</v>
      </c>
      <c r="G6" s="39">
        <v>70.875149916500803</v>
      </c>
      <c r="H6" s="39">
        <v>105.90283949673901</v>
      </c>
      <c r="I6" s="39">
        <v>157.6076904384029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49.688260563205652</v>
      </c>
      <c r="C7" s="39">
        <v>74.039756606755773</v>
      </c>
      <c r="D7" s="39">
        <v>119.03714580932569</v>
      </c>
      <c r="E7" s="39">
        <v>189.19559871957409</v>
      </c>
      <c r="F7" s="39">
        <v>45.243269508890791</v>
      </c>
      <c r="G7" s="39">
        <v>67.595709259168004</v>
      </c>
      <c r="H7" s="39">
        <v>108.7907011414909</v>
      </c>
      <c r="I7" s="39">
        <v>173.48173780720509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46.653847768778498</v>
      </c>
      <c r="C8" s="39">
        <v>73.170307431447753</v>
      </c>
      <c r="D8" s="39">
        <v>125.0426176587206</v>
      </c>
      <c r="E8" s="39">
        <v>210.9469246513676</v>
      </c>
      <c r="F8" s="39">
        <v>41.590172401094492</v>
      </c>
      <c r="G8" s="39">
        <v>65.374680498569631</v>
      </c>
      <c r="H8" s="39">
        <v>111.8745611161423</v>
      </c>
      <c r="I8" s="39">
        <v>188.9857127957851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43.595958183383551</v>
      </c>
      <c r="C9" s="39">
        <v>72.825766106306119</v>
      </c>
      <c r="D9" s="39">
        <v>131.02379639544381</v>
      </c>
      <c r="E9" s="39">
        <v>232.6978013714741</v>
      </c>
      <c r="F9" s="39">
        <v>38.168262857868953</v>
      </c>
      <c r="G9" s="39">
        <v>63.917835453005551</v>
      </c>
      <c r="H9" s="39">
        <v>115.1509050464106</v>
      </c>
      <c r="I9" s="39">
        <v>204.5697259697296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41.383219718858378</v>
      </c>
      <c r="C10" s="39">
        <v>72.602771485097676</v>
      </c>
      <c r="D10" s="39">
        <v>137.3040655194377</v>
      </c>
      <c r="E10" s="39">
        <v>256.16704794468421</v>
      </c>
      <c r="F10" s="39">
        <v>35.655233999572779</v>
      </c>
      <c r="G10" s="39">
        <v>62.165876646197653</v>
      </c>
      <c r="H10" s="39">
        <v>118.1026139281653</v>
      </c>
      <c r="I10" s="39">
        <v>220.9534114841928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39.519099564463048</v>
      </c>
      <c r="C11" s="39">
        <v>72.415276776612188</v>
      </c>
      <c r="D11" s="39">
        <v>144.32495844522899</v>
      </c>
      <c r="E11" s="39">
        <v>282.66419769337318</v>
      </c>
      <c r="F11" s="39">
        <v>33.24669640124047</v>
      </c>
      <c r="G11" s="39">
        <v>60.856091388799129</v>
      </c>
      <c r="H11" s="39">
        <v>121.3576136541361</v>
      </c>
      <c r="I11" s="39">
        <v>238.6162841354674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37.791569242522421</v>
      </c>
      <c r="C12" s="39">
        <v>70.865644037416374</v>
      </c>
      <c r="D12" s="39">
        <v>150.2932881684072</v>
      </c>
      <c r="E12" s="39">
        <v>306.68510604585032</v>
      </c>
      <c r="F12" s="39">
        <v>31.23016136670228</v>
      </c>
      <c r="G12" s="39">
        <v>58.353499551709191</v>
      </c>
      <c r="H12" s="39">
        <v>124.0265822372269</v>
      </c>
      <c r="I12" s="39">
        <v>253.71643554897651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35.759257153575462</v>
      </c>
      <c r="C13" s="39">
        <v>71.013742178430249</v>
      </c>
      <c r="D13" s="39">
        <v>157.12575901853381</v>
      </c>
      <c r="E13" s="39">
        <v>333.14358533732639</v>
      </c>
      <c r="F13" s="39">
        <v>28.741894382997081</v>
      </c>
      <c r="G13" s="39">
        <v>57.394042990076827</v>
      </c>
      <c r="H13" s="39">
        <v>126.9039506803614</v>
      </c>
      <c r="I13" s="39">
        <v>270.21807299073782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34.957203036677193</v>
      </c>
      <c r="C14" s="39">
        <v>70.294178520430904</v>
      </c>
      <c r="D14" s="39">
        <v>163.4550163596904</v>
      </c>
      <c r="E14" s="39">
        <v>365.53228934301109</v>
      </c>
      <c r="F14" s="39">
        <v>27.80102895066717</v>
      </c>
      <c r="G14" s="39">
        <v>55.781741226536226</v>
      </c>
      <c r="H14" s="39">
        <v>129.48454497422881</v>
      </c>
      <c r="I14" s="39">
        <v>290.09527801750539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33.352593059560213</v>
      </c>
      <c r="C15" s="39">
        <v>70.26451480020107</v>
      </c>
      <c r="D15" s="39">
        <v>169.8101537885799</v>
      </c>
      <c r="E15" s="39">
        <v>398.6500455971331</v>
      </c>
      <c r="F15" s="39">
        <v>25.91672111299102</v>
      </c>
      <c r="G15" s="39">
        <v>54.835736952909983</v>
      </c>
      <c r="H15" s="39">
        <v>132.1547179070121</v>
      </c>
      <c r="I15" s="39">
        <v>309.66375403273042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31.43167114268547</v>
      </c>
      <c r="C16" s="39">
        <v>71.385818938555047</v>
      </c>
      <c r="D16" s="39">
        <v>177.061875224175</v>
      </c>
      <c r="E16" s="39">
        <v>429.02519404288171</v>
      </c>
      <c r="F16" s="39">
        <v>24.048627704765881</v>
      </c>
      <c r="G16" s="39">
        <v>54.270340081597823</v>
      </c>
      <c r="H16" s="39">
        <v>134.94442358672089</v>
      </c>
      <c r="I16" s="39">
        <v>327.78012018869867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30.561462729525761</v>
      </c>
      <c r="C17" s="39">
        <v>71.679858914113055</v>
      </c>
      <c r="D17" s="39">
        <v>185.36231903513649</v>
      </c>
      <c r="E17" s="39">
        <v>465.62820020054698</v>
      </c>
      <c r="F17" s="39">
        <v>22.937173410463672</v>
      </c>
      <c r="G17" s="39">
        <v>53.565516783986112</v>
      </c>
      <c r="H17" s="39">
        <v>137.98951434731251</v>
      </c>
      <c r="I17" s="39">
        <v>346.0978232628101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29.263522962690981</v>
      </c>
      <c r="C18" s="39">
        <v>71.669827650349518</v>
      </c>
      <c r="D18" s="39">
        <v>192.84470397272071</v>
      </c>
      <c r="E18" s="39">
        <v>499.36675518569388</v>
      </c>
      <c r="F18" s="39">
        <v>21.569582760174779</v>
      </c>
      <c r="G18" s="39">
        <v>52.804146460684137</v>
      </c>
      <c r="H18" s="39">
        <v>140.96352444799439</v>
      </c>
      <c r="I18" s="39">
        <v>365.88501858518788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28.173619974607291</v>
      </c>
      <c r="C19" s="39">
        <v>71.781753950783795</v>
      </c>
      <c r="D19" s="39">
        <v>201.29724901309649</v>
      </c>
      <c r="E19" s="39">
        <v>540.10049189461563</v>
      </c>
      <c r="F19" s="39">
        <v>20.50252264362361</v>
      </c>
      <c r="G19" s="39">
        <v>51.578787228598998</v>
      </c>
      <c r="H19" s="39">
        <v>144.23282360829441</v>
      </c>
      <c r="I19" s="39">
        <v>388.33330421735849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27.84825106619396</v>
      </c>
      <c r="C20" s="39">
        <v>71.576400505324798</v>
      </c>
      <c r="D20" s="39">
        <v>208.04520742667279</v>
      </c>
      <c r="E20" s="39">
        <v>586.32472336818728</v>
      </c>
      <c r="F20" s="39">
        <v>19.59295561908564</v>
      </c>
      <c r="G20" s="39">
        <v>50.692856307501053</v>
      </c>
      <c r="H20" s="39">
        <v>146.24905085147691</v>
      </c>
      <c r="I20" s="39">
        <v>412.21645201489252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27.560718804837549</v>
      </c>
      <c r="C21" s="39">
        <v>72.083515202843927</v>
      </c>
      <c r="D21" s="39">
        <v>217.34807654751739</v>
      </c>
      <c r="E21" s="39">
        <v>632.76284182887105</v>
      </c>
      <c r="F21" s="39">
        <v>19.12580166259896</v>
      </c>
      <c r="G21" s="39">
        <v>49.968197925860537</v>
      </c>
      <c r="H21" s="39">
        <v>149.97095892912921</v>
      </c>
      <c r="I21" s="39">
        <v>437.35075329641262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26.769947796863299</v>
      </c>
      <c r="C22" s="39">
        <v>72.504696142813444</v>
      </c>
      <c r="D22" s="39">
        <v>224.11276712538819</v>
      </c>
      <c r="E22" s="39">
        <v>682.0776791535194</v>
      </c>
      <c r="F22" s="39">
        <v>18.231427707510221</v>
      </c>
      <c r="G22" s="39">
        <v>49.16645834503899</v>
      </c>
      <c r="H22" s="39">
        <v>152.01007358480541</v>
      </c>
      <c r="I22" s="39">
        <v>462.54385801229603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26.529631749351179</v>
      </c>
      <c r="C23" s="39">
        <v>72.94441581470096</v>
      </c>
      <c r="D23" s="39">
        <v>233.95725059975419</v>
      </c>
      <c r="E23" s="39">
        <v>737.60018790278264</v>
      </c>
      <c r="F23" s="39">
        <v>17.487004588045931</v>
      </c>
      <c r="G23" s="39">
        <v>49.016622304010767</v>
      </c>
      <c r="H23" s="39">
        <v>154.94794296836349</v>
      </c>
      <c r="I23" s="39">
        <v>489.370148913398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79</v>
      </c>
      <c r="C1" s="39" t="s">
        <v>79</v>
      </c>
      <c r="D1" s="39" t="s">
        <v>79</v>
      </c>
      <c r="E1" s="39" t="s">
        <v>79</v>
      </c>
      <c r="F1" s="39" t="s">
        <v>80</v>
      </c>
      <c r="G1" s="39" t="s">
        <v>80</v>
      </c>
      <c r="H1" s="39" t="s">
        <v>80</v>
      </c>
      <c r="I1" s="39" t="s">
        <v>80</v>
      </c>
      <c r="J1" s="39" t="s">
        <v>81</v>
      </c>
      <c r="K1" s="39" t="s">
        <v>81</v>
      </c>
      <c r="L1" s="39" t="s">
        <v>81</v>
      </c>
      <c r="M1" s="39" t="s">
        <v>81</v>
      </c>
      <c r="N1" s="39" t="s">
        <v>82</v>
      </c>
      <c r="O1" s="39" t="s">
        <v>82</v>
      </c>
      <c r="P1" s="39" t="s">
        <v>82</v>
      </c>
      <c r="Q1" s="39" t="s">
        <v>82</v>
      </c>
    </row>
    <row r="2" spans="1:17">
      <c r="A2" s="39"/>
      <c r="B2" s="39" t="s">
        <v>83</v>
      </c>
      <c r="C2" s="39" t="s">
        <v>84</v>
      </c>
      <c r="D2" s="39" t="s">
        <v>85</v>
      </c>
      <c r="E2" s="39" t="s">
        <v>86</v>
      </c>
      <c r="F2" s="39" t="s">
        <v>83</v>
      </c>
      <c r="G2" s="39" t="s">
        <v>84</v>
      </c>
      <c r="H2" s="39" t="s">
        <v>85</v>
      </c>
      <c r="I2" s="39" t="s">
        <v>86</v>
      </c>
      <c r="J2" s="39" t="s">
        <v>83</v>
      </c>
      <c r="K2" s="39" t="s">
        <v>84</v>
      </c>
      <c r="L2" s="39" t="s">
        <v>85</v>
      </c>
      <c r="M2" s="39" t="s">
        <v>86</v>
      </c>
      <c r="N2" s="39" t="s">
        <v>83</v>
      </c>
      <c r="O2" s="39" t="s">
        <v>84</v>
      </c>
      <c r="P2" s="39" t="s">
        <v>85</v>
      </c>
      <c r="Q2" s="39" t="s">
        <v>86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74.005561036488899</v>
      </c>
      <c r="C4" s="39">
        <v>86.953257062775393</v>
      </c>
      <c r="D4" s="39">
        <v>105.7093950376721</v>
      </c>
      <c r="E4" s="39">
        <v>127.6411607464661</v>
      </c>
      <c r="F4" s="39">
        <v>72.245751438275519</v>
      </c>
      <c r="G4" s="39">
        <v>84.888121037264767</v>
      </c>
      <c r="H4" s="39">
        <v>103.3723022509658</v>
      </c>
      <c r="I4" s="39">
        <v>124.9425467134493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67.51719424585626</v>
      </c>
      <c r="C5" s="39">
        <v>84.582146987635596</v>
      </c>
      <c r="D5" s="39">
        <v>110.83509341357779</v>
      </c>
      <c r="E5" s="39">
        <v>144.97620452993189</v>
      </c>
      <c r="F5" s="39">
        <v>64.23711779972713</v>
      </c>
      <c r="G5" s="39">
        <v>80.727660731305846</v>
      </c>
      <c r="H5" s="39">
        <v>105.81474486662989</v>
      </c>
      <c r="I5" s="39">
        <v>138.6570375967234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63.867345518320981</v>
      </c>
      <c r="C6" s="39">
        <v>84.029401943336865</v>
      </c>
      <c r="D6" s="39">
        <v>116.4777246164648</v>
      </c>
      <c r="E6" s="39">
        <v>160.49418614099881</v>
      </c>
      <c r="F6" s="39">
        <v>59.421006430076801</v>
      </c>
      <c r="G6" s="39">
        <v>78.39591096567149</v>
      </c>
      <c r="H6" s="39">
        <v>108.7650905719655</v>
      </c>
      <c r="I6" s="39">
        <v>150.06351432096389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60.277849990652392</v>
      </c>
      <c r="C7" s="39">
        <v>83.649544793984433</v>
      </c>
      <c r="D7" s="39">
        <v>122.8502336916613</v>
      </c>
      <c r="E7" s="39">
        <v>179.37508002864939</v>
      </c>
      <c r="F7" s="39">
        <v>54.91736544946562</v>
      </c>
      <c r="G7" s="39">
        <v>76.3359255022323</v>
      </c>
      <c r="H7" s="39">
        <v>112.4189488315871</v>
      </c>
      <c r="I7" s="39">
        <v>164.32170347217939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57.978148132347158</v>
      </c>
      <c r="C8" s="39">
        <v>84.175577959520822</v>
      </c>
      <c r="D8" s="39">
        <v>129.83858560046161</v>
      </c>
      <c r="E8" s="39">
        <v>198.23541436664959</v>
      </c>
      <c r="F8" s="39">
        <v>51.880267459401402</v>
      </c>
      <c r="G8" s="39">
        <v>75.150607787358325</v>
      </c>
      <c r="H8" s="39">
        <v>116.2617791530997</v>
      </c>
      <c r="I8" s="39">
        <v>177.9265978977617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55.946678532154273</v>
      </c>
      <c r="C9" s="39">
        <v>85.120502698861799</v>
      </c>
      <c r="D9" s="39">
        <v>137.02143210916259</v>
      </c>
      <c r="E9" s="39">
        <v>218.46368383917149</v>
      </c>
      <c r="F9" s="39">
        <v>48.963726868254049</v>
      </c>
      <c r="G9" s="39">
        <v>74.52497681886976</v>
      </c>
      <c r="H9" s="39">
        <v>120.3597566960309</v>
      </c>
      <c r="I9" s="39">
        <v>191.9230544847232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54.058316826404322</v>
      </c>
      <c r="C10" s="39">
        <v>85.808647014345794</v>
      </c>
      <c r="D10" s="39">
        <v>144.06019706793921</v>
      </c>
      <c r="E10" s="39">
        <v>239.30094775055889</v>
      </c>
      <c r="F10" s="39">
        <v>46.390780189233411</v>
      </c>
      <c r="G10" s="39">
        <v>73.350692444489923</v>
      </c>
      <c r="H10" s="39">
        <v>124.00956508659991</v>
      </c>
      <c r="I10" s="39">
        <v>206.3471899966265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52.835688768047163</v>
      </c>
      <c r="C11" s="39">
        <v>86.694478407526901</v>
      </c>
      <c r="D11" s="39">
        <v>151.94322394642509</v>
      </c>
      <c r="E11" s="39">
        <v>262.04515942354197</v>
      </c>
      <c r="F11" s="39">
        <v>44.044719476518708</v>
      </c>
      <c r="G11" s="39">
        <v>72.779204856671782</v>
      </c>
      <c r="H11" s="39">
        <v>127.79504074753579</v>
      </c>
      <c r="I11" s="39">
        <v>221.4885218261773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51.51526468286982</v>
      </c>
      <c r="C12" s="39">
        <v>86.147385046923858</v>
      </c>
      <c r="D12" s="39">
        <v>159.18328871638471</v>
      </c>
      <c r="E12" s="39">
        <v>284.4189245012933</v>
      </c>
      <c r="F12" s="39">
        <v>42.218415425524697</v>
      </c>
      <c r="G12" s="39">
        <v>70.768140226054157</v>
      </c>
      <c r="H12" s="39">
        <v>131.37815484537441</v>
      </c>
      <c r="I12" s="39">
        <v>235.18580617361729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49.624310808677428</v>
      </c>
      <c r="C13" s="39">
        <v>87.22164099096041</v>
      </c>
      <c r="D13" s="39">
        <v>166.56308913286981</v>
      </c>
      <c r="E13" s="39">
        <v>308.48144257330972</v>
      </c>
      <c r="F13" s="39">
        <v>40.136265788357257</v>
      </c>
      <c r="G13" s="39">
        <v>70.4960262471524</v>
      </c>
      <c r="H13" s="39">
        <v>134.73476679800569</v>
      </c>
      <c r="I13" s="39">
        <v>250.13628506084311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49.29401758079338</v>
      </c>
      <c r="C14" s="39">
        <v>87.453096416835649</v>
      </c>
      <c r="D14" s="39">
        <v>174.49293017354449</v>
      </c>
      <c r="E14" s="39">
        <v>335.85785056476402</v>
      </c>
      <c r="F14" s="39">
        <v>39.299694421538469</v>
      </c>
      <c r="G14" s="39">
        <v>69.124736596805604</v>
      </c>
      <c r="H14" s="39">
        <v>138.1363857234266</v>
      </c>
      <c r="I14" s="39">
        <v>267.5774857213911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48.181608808103348</v>
      </c>
      <c r="C15" s="39">
        <v>88.451011162907307</v>
      </c>
      <c r="D15" s="39">
        <v>181.87903901499811</v>
      </c>
      <c r="E15" s="39">
        <v>364.24188381133882</v>
      </c>
      <c r="F15" s="39">
        <v>37.259102991837104</v>
      </c>
      <c r="G15" s="39">
        <v>68.660553168727958</v>
      </c>
      <c r="H15" s="39">
        <v>141.6093503539818</v>
      </c>
      <c r="I15" s="39">
        <v>284.74466732034489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46.087014606082597</v>
      </c>
      <c r="C16" s="39">
        <v>89.899792302514555</v>
      </c>
      <c r="D16" s="39">
        <v>190.6263584174558</v>
      </c>
      <c r="E16" s="39">
        <v>392.54774261415042</v>
      </c>
      <c r="F16" s="39">
        <v>35.277035482027571</v>
      </c>
      <c r="G16" s="39">
        <v>68.515125515605732</v>
      </c>
      <c r="H16" s="39">
        <v>145.13445172346749</v>
      </c>
      <c r="I16" s="39">
        <v>300.86804043579258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45.635592563106663</v>
      </c>
      <c r="C17" s="39">
        <v>91.869082286231674</v>
      </c>
      <c r="D17" s="39">
        <v>199.96834854908559</v>
      </c>
      <c r="E17" s="39">
        <v>423.77718810433203</v>
      </c>
      <c r="F17" s="39">
        <v>34.546092658876468</v>
      </c>
      <c r="G17" s="39">
        <v>68.192714750685255</v>
      </c>
      <c r="H17" s="39">
        <v>148.9098244382665</v>
      </c>
      <c r="I17" s="39">
        <v>315.94284057420708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44.236415498990517</v>
      </c>
      <c r="C18" s="39">
        <v>92.863117595870349</v>
      </c>
      <c r="D18" s="39">
        <v>208.67750186893699</v>
      </c>
      <c r="E18" s="39">
        <v>454.99916160076822</v>
      </c>
      <c r="F18" s="39">
        <v>32.828620507790028</v>
      </c>
      <c r="G18" s="39">
        <v>68.318132785519126</v>
      </c>
      <c r="H18" s="39">
        <v>152.6324586913596</v>
      </c>
      <c r="I18" s="39">
        <v>334.27456148835932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43.835735565383537</v>
      </c>
      <c r="C19" s="39">
        <v>93.822306230388847</v>
      </c>
      <c r="D19" s="39">
        <v>218.91045116452929</v>
      </c>
      <c r="E19" s="39">
        <v>493.18384588107841</v>
      </c>
      <c r="F19" s="39">
        <v>31.35902003833089</v>
      </c>
      <c r="G19" s="39">
        <v>67.211720842021563</v>
      </c>
      <c r="H19" s="39">
        <v>157.03355672095429</v>
      </c>
      <c r="I19" s="39">
        <v>353.90309865913139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43.208574341832097</v>
      </c>
      <c r="C20" s="39">
        <v>94.673185312156662</v>
      </c>
      <c r="D20" s="39">
        <v>227.38082260303051</v>
      </c>
      <c r="E20" s="39">
        <v>532.77562612279269</v>
      </c>
      <c r="F20" s="39">
        <v>30.65709493546602</v>
      </c>
      <c r="G20" s="39">
        <v>66.78726701922082</v>
      </c>
      <c r="H20" s="39">
        <v>160.12229828341319</v>
      </c>
      <c r="I20" s="39">
        <v>374.39828726284247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44.283097023964316</v>
      </c>
      <c r="C21" s="39">
        <v>96.415452108703434</v>
      </c>
      <c r="D21" s="39">
        <v>238.67675734774039</v>
      </c>
      <c r="E21" s="39">
        <v>573.06307287338268</v>
      </c>
      <c r="F21" s="39">
        <v>30.229668450478339</v>
      </c>
      <c r="G21" s="39">
        <v>66.332071387755633</v>
      </c>
      <c r="H21" s="39">
        <v>164.56957109183901</v>
      </c>
      <c r="I21" s="39">
        <v>396.2012664602895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42.963652121523559</v>
      </c>
      <c r="C22" s="39">
        <v>97.682097047061205</v>
      </c>
      <c r="D22" s="39">
        <v>247.4589642639497</v>
      </c>
      <c r="E22" s="39">
        <v>617.16738580159131</v>
      </c>
      <c r="F22" s="39">
        <v>29.485496516579261</v>
      </c>
      <c r="G22" s="39">
        <v>66.187808770709751</v>
      </c>
      <c r="H22" s="39">
        <v>167.901361193616</v>
      </c>
      <c r="I22" s="39">
        <v>419.88996749454577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43.181738791051423</v>
      </c>
      <c r="C23" s="39">
        <v>99.56635205664449</v>
      </c>
      <c r="D23" s="39">
        <v>258.66349735766272</v>
      </c>
      <c r="E23" s="39">
        <v>665.39298727869664</v>
      </c>
      <c r="F23" s="39">
        <v>28.587441591246851</v>
      </c>
      <c r="G23" s="39">
        <v>66.380143853951623</v>
      </c>
      <c r="H23" s="39">
        <v>172.15922620212581</v>
      </c>
      <c r="I23" s="39">
        <v>439.86034767757928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79</v>
      </c>
      <c r="C1" s="39" t="s">
        <v>79</v>
      </c>
      <c r="D1" s="39" t="s">
        <v>79</v>
      </c>
      <c r="E1" s="39" t="s">
        <v>79</v>
      </c>
      <c r="F1" s="39" t="s">
        <v>80</v>
      </c>
      <c r="G1" s="39" t="s">
        <v>80</v>
      </c>
      <c r="H1" s="39" t="s">
        <v>80</v>
      </c>
      <c r="I1" s="39" t="s">
        <v>80</v>
      </c>
      <c r="J1" s="39" t="s">
        <v>81</v>
      </c>
      <c r="K1" s="39" t="s">
        <v>81</v>
      </c>
      <c r="L1" s="39" t="s">
        <v>81</v>
      </c>
      <c r="M1" s="39" t="s">
        <v>81</v>
      </c>
      <c r="N1" s="39" t="s">
        <v>82</v>
      </c>
      <c r="O1" s="39" t="s">
        <v>82</v>
      </c>
      <c r="P1" s="39" t="s">
        <v>82</v>
      </c>
      <c r="Q1" s="39" t="s">
        <v>82</v>
      </c>
    </row>
    <row r="2" spans="1:17">
      <c r="A2" s="39"/>
      <c r="B2" s="39" t="s">
        <v>83</v>
      </c>
      <c r="C2" s="39" t="s">
        <v>84</v>
      </c>
      <c r="D2" s="39" t="s">
        <v>85</v>
      </c>
      <c r="E2" s="39" t="s">
        <v>86</v>
      </c>
      <c r="F2" s="39" t="s">
        <v>83</v>
      </c>
      <c r="G2" s="39" t="s">
        <v>84</v>
      </c>
      <c r="H2" s="39" t="s">
        <v>85</v>
      </c>
      <c r="I2" s="39" t="s">
        <v>86</v>
      </c>
      <c r="J2" s="39" t="s">
        <v>83</v>
      </c>
      <c r="K2" s="39" t="s">
        <v>84</v>
      </c>
      <c r="L2" s="39" t="s">
        <v>85</v>
      </c>
      <c r="M2" s="39" t="s">
        <v>86</v>
      </c>
      <c r="N2" s="39" t="s">
        <v>83</v>
      </c>
      <c r="O2" s="39" t="s">
        <v>84</v>
      </c>
      <c r="P2" s="39" t="s">
        <v>85</v>
      </c>
      <c r="Q2" s="39" t="s">
        <v>86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78.685557042436329</v>
      </c>
      <c r="C4" s="39">
        <v>90.360701519257702</v>
      </c>
      <c r="D4" s="39">
        <v>106.5994189818059</v>
      </c>
      <c r="E4" s="39">
        <v>124.65466394486</v>
      </c>
      <c r="F4" s="39">
        <v>76.301630810585664</v>
      </c>
      <c r="G4" s="39">
        <v>88.097773382636007</v>
      </c>
      <c r="H4" s="39">
        <v>104.23055465248029</v>
      </c>
      <c r="I4" s="39">
        <v>122.0316813919022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74.357827561338439</v>
      </c>
      <c r="C5" s="39">
        <v>89.533294402315263</v>
      </c>
      <c r="D5" s="39">
        <v>112.564255029401</v>
      </c>
      <c r="E5" s="39">
        <v>140.52931558155899</v>
      </c>
      <c r="F5" s="39">
        <v>70.319371621780519</v>
      </c>
      <c r="G5" s="39">
        <v>85.333182510449561</v>
      </c>
      <c r="H5" s="39">
        <v>107.50249363857451</v>
      </c>
      <c r="I5" s="39">
        <v>134.5603535579117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72.145281250605308</v>
      </c>
      <c r="C6" s="39">
        <v>90.757228404810945</v>
      </c>
      <c r="D6" s="39">
        <v>118.9639822842768</v>
      </c>
      <c r="E6" s="39">
        <v>155.25128219695699</v>
      </c>
      <c r="F6" s="39">
        <v>66.759867138169696</v>
      </c>
      <c r="G6" s="39">
        <v>84.517607433277234</v>
      </c>
      <c r="H6" s="39">
        <v>111.20945083919641</v>
      </c>
      <c r="I6" s="39">
        <v>145.42999522701751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69.374455873108133</v>
      </c>
      <c r="C7" s="39">
        <v>91.721964946943203</v>
      </c>
      <c r="D7" s="39">
        <v>126.38047976751911</v>
      </c>
      <c r="E7" s="39">
        <v>172.44049189480651</v>
      </c>
      <c r="F7" s="39">
        <v>63.163751301977648</v>
      </c>
      <c r="G7" s="39">
        <v>83.634341694496186</v>
      </c>
      <c r="H7" s="39">
        <v>115.5566821414383</v>
      </c>
      <c r="I7" s="39">
        <v>158.09496223824951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68.492079291920561</v>
      </c>
      <c r="C8" s="39">
        <v>93.276646887310321</v>
      </c>
      <c r="D8" s="39">
        <v>134.21972287111339</v>
      </c>
      <c r="E8" s="39">
        <v>190.62902459917581</v>
      </c>
      <c r="F8" s="39">
        <v>61.182813204746381</v>
      </c>
      <c r="G8" s="39">
        <v>83.426862425288562</v>
      </c>
      <c r="H8" s="39">
        <v>120.0987433495937</v>
      </c>
      <c r="I8" s="39">
        <v>171.16742615347121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67.027192274911442</v>
      </c>
      <c r="C9" s="39">
        <v>95.7484195115847</v>
      </c>
      <c r="D9" s="39">
        <v>142.60270061260721</v>
      </c>
      <c r="E9" s="39">
        <v>209.577018392295</v>
      </c>
      <c r="F9" s="39">
        <v>58.482900144573208</v>
      </c>
      <c r="G9" s="39">
        <v>83.733030883364563</v>
      </c>
      <c r="H9" s="39">
        <v>125.03895698571399</v>
      </c>
      <c r="I9" s="39">
        <v>184.34516552119121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65.631971215704652</v>
      </c>
      <c r="C10" s="39">
        <v>97.29353484402499</v>
      </c>
      <c r="D10" s="39">
        <v>150.5059365447041</v>
      </c>
      <c r="E10" s="39">
        <v>229.5607225772558</v>
      </c>
      <c r="F10" s="39">
        <v>55.945526134657626</v>
      </c>
      <c r="G10" s="39">
        <v>83.184852876722033</v>
      </c>
      <c r="H10" s="39">
        <v>129.1894988841099</v>
      </c>
      <c r="I10" s="39">
        <v>197.83761203078069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64.754240059437038</v>
      </c>
      <c r="C11" s="39">
        <v>98.954003036052072</v>
      </c>
      <c r="D11" s="39">
        <v>159.3248304923876</v>
      </c>
      <c r="E11" s="39">
        <v>251.2345725360853</v>
      </c>
      <c r="F11" s="39">
        <v>54.038308889831953</v>
      </c>
      <c r="G11" s="39">
        <v>82.96278779948058</v>
      </c>
      <c r="H11" s="39">
        <v>134.06022556774809</v>
      </c>
      <c r="I11" s="39">
        <v>211.93166468023631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63.073219608965999</v>
      </c>
      <c r="C12" s="39">
        <v>99.678824847785705</v>
      </c>
      <c r="D12" s="39">
        <v>167.84960695769681</v>
      </c>
      <c r="E12" s="39">
        <v>271.83248607149568</v>
      </c>
      <c r="F12" s="39">
        <v>51.825163779569479</v>
      </c>
      <c r="G12" s="39">
        <v>82.00707442625513</v>
      </c>
      <c r="H12" s="39">
        <v>138.4953572959962</v>
      </c>
      <c r="I12" s="39">
        <v>225.5673939407267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62.616435036103411</v>
      </c>
      <c r="C13" s="39">
        <v>101.5318979901491</v>
      </c>
      <c r="D13" s="39">
        <v>176.50512626613221</v>
      </c>
      <c r="E13" s="39">
        <v>295.93417520588542</v>
      </c>
      <c r="F13" s="39">
        <v>50.467501770999647</v>
      </c>
      <c r="G13" s="39">
        <v>82.15674343105789</v>
      </c>
      <c r="H13" s="39">
        <v>142.78991316049309</v>
      </c>
      <c r="I13" s="39">
        <v>240.27412488498621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62.296421334828921</v>
      </c>
      <c r="C14" s="39">
        <v>102.9253244044717</v>
      </c>
      <c r="D14" s="39">
        <v>184.98781824641131</v>
      </c>
      <c r="E14" s="39">
        <v>321.5944271346558</v>
      </c>
      <c r="F14" s="39">
        <v>49.718829810912517</v>
      </c>
      <c r="G14" s="39">
        <v>81.413001791811212</v>
      </c>
      <c r="H14" s="39">
        <v>146.78419446062799</v>
      </c>
      <c r="I14" s="39">
        <v>256.50138269376993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61.916391404702381</v>
      </c>
      <c r="C15" s="39">
        <v>104.7367648233045</v>
      </c>
      <c r="D15" s="39">
        <v>194.24058962148459</v>
      </c>
      <c r="E15" s="39">
        <v>347.2780799605178</v>
      </c>
      <c r="F15" s="39">
        <v>48.31194929312565</v>
      </c>
      <c r="G15" s="39">
        <v>81.609040463855735</v>
      </c>
      <c r="H15" s="39">
        <v>150.78007491146471</v>
      </c>
      <c r="I15" s="39">
        <v>272.0085109907676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60.456507163030309</v>
      </c>
      <c r="C16" s="39">
        <v>107.81129057831269</v>
      </c>
      <c r="D16" s="39">
        <v>204.66805487805911</v>
      </c>
      <c r="E16" s="39">
        <v>374.58794245495449</v>
      </c>
      <c r="F16" s="39">
        <v>46.279007604860553</v>
      </c>
      <c r="G16" s="39">
        <v>81.796982662833543</v>
      </c>
      <c r="H16" s="39">
        <v>155.51599531344459</v>
      </c>
      <c r="I16" s="39">
        <v>287.17622025614321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60.887632655486847</v>
      </c>
      <c r="C17" s="39">
        <v>110.5236148257415</v>
      </c>
      <c r="D17" s="39">
        <v>215.07897352693971</v>
      </c>
      <c r="E17" s="39">
        <v>404.20126092655829</v>
      </c>
      <c r="F17" s="39">
        <v>45.730578818853679</v>
      </c>
      <c r="G17" s="39">
        <v>82.327682321059115</v>
      </c>
      <c r="H17" s="39">
        <v>160.82807103595749</v>
      </c>
      <c r="I17" s="39">
        <v>303.11720618410692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60.347482182554167</v>
      </c>
      <c r="C18" s="39">
        <v>113.13928369210009</v>
      </c>
      <c r="D18" s="39">
        <v>225.53559081189221</v>
      </c>
      <c r="E18" s="39">
        <v>433.09202791645782</v>
      </c>
      <c r="F18" s="39">
        <v>44.399364120351059</v>
      </c>
      <c r="G18" s="39">
        <v>82.818531087384159</v>
      </c>
      <c r="H18" s="39">
        <v>164.62126867669869</v>
      </c>
      <c r="I18" s="39">
        <v>319.18537921925338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59.703338523112222</v>
      </c>
      <c r="C19" s="39">
        <v>115.30213658915009</v>
      </c>
      <c r="D19" s="39">
        <v>237.1622708559336</v>
      </c>
      <c r="E19" s="39">
        <v>469.20318407909758</v>
      </c>
      <c r="F19" s="39">
        <v>42.781586139936927</v>
      </c>
      <c r="G19" s="39">
        <v>82.721451551288396</v>
      </c>
      <c r="H19" s="39">
        <v>170.3222713939802</v>
      </c>
      <c r="I19" s="39">
        <v>339.76224665089228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59.845027449161229</v>
      </c>
      <c r="C20" s="39">
        <v>117.5922213951102</v>
      </c>
      <c r="D20" s="39">
        <v>248.3727936223749</v>
      </c>
      <c r="E20" s="39">
        <v>508.94226559673422</v>
      </c>
      <c r="F20" s="39">
        <v>42.142412918526666</v>
      </c>
      <c r="G20" s="39">
        <v>82.331924394354061</v>
      </c>
      <c r="H20" s="39">
        <v>174.78162289367049</v>
      </c>
      <c r="I20" s="39">
        <v>359.99343641497319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60.827737988122088</v>
      </c>
      <c r="C21" s="39">
        <v>119.9193046657583</v>
      </c>
      <c r="D21" s="39">
        <v>261.99715078979528</v>
      </c>
      <c r="E21" s="39">
        <v>548.46882397784043</v>
      </c>
      <c r="F21" s="39">
        <v>42.240336358798167</v>
      </c>
      <c r="G21" s="39">
        <v>82.653441843063675</v>
      </c>
      <c r="H21" s="39">
        <v>180.67193403692579</v>
      </c>
      <c r="I21" s="39">
        <v>379.20155842900908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60.830317972976253</v>
      </c>
      <c r="C22" s="39">
        <v>123.39907927292229</v>
      </c>
      <c r="D22" s="39">
        <v>274.23211437056318</v>
      </c>
      <c r="E22" s="39">
        <v>592.54561996192501</v>
      </c>
      <c r="F22" s="39">
        <v>41.300854400160823</v>
      </c>
      <c r="G22" s="39">
        <v>83.180184644337444</v>
      </c>
      <c r="H22" s="39">
        <v>185.9653021907429</v>
      </c>
      <c r="I22" s="39">
        <v>400.64662331919942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60.902690642557587</v>
      </c>
      <c r="C23" s="39">
        <v>126.23592599376261</v>
      </c>
      <c r="D23" s="39">
        <v>286.62054431614632</v>
      </c>
      <c r="E23" s="39">
        <v>632.32112468804939</v>
      </c>
      <c r="F23" s="39">
        <v>40.878511813795811</v>
      </c>
      <c r="G23" s="39">
        <v>83.936728534227598</v>
      </c>
      <c r="H23" s="39">
        <v>190.4138064699886</v>
      </c>
      <c r="I23" s="39">
        <v>422.22326111273878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79</v>
      </c>
      <c r="C1" s="39" t="s">
        <v>79</v>
      </c>
      <c r="D1" s="39" t="s">
        <v>79</v>
      </c>
      <c r="E1" s="39" t="s">
        <v>79</v>
      </c>
      <c r="F1" s="39" t="s">
        <v>80</v>
      </c>
      <c r="G1" s="39" t="s">
        <v>80</v>
      </c>
      <c r="H1" s="39" t="s">
        <v>80</v>
      </c>
      <c r="I1" s="39" t="s">
        <v>80</v>
      </c>
      <c r="J1" s="39" t="s">
        <v>81</v>
      </c>
      <c r="K1" s="39" t="s">
        <v>81</v>
      </c>
      <c r="L1" s="39" t="s">
        <v>81</v>
      </c>
      <c r="M1" s="39" t="s">
        <v>81</v>
      </c>
      <c r="N1" s="39" t="s">
        <v>82</v>
      </c>
      <c r="O1" s="39" t="s">
        <v>82</v>
      </c>
      <c r="P1" s="39" t="s">
        <v>82</v>
      </c>
      <c r="Q1" s="39" t="s">
        <v>82</v>
      </c>
    </row>
    <row r="2" spans="1:17">
      <c r="A2" s="39"/>
      <c r="B2" s="39" t="s">
        <v>83</v>
      </c>
      <c r="C2" s="39" t="s">
        <v>84</v>
      </c>
      <c r="D2" s="39" t="s">
        <v>85</v>
      </c>
      <c r="E2" s="39" t="s">
        <v>86</v>
      </c>
      <c r="F2" s="39" t="s">
        <v>83</v>
      </c>
      <c r="G2" s="39" t="s">
        <v>84</v>
      </c>
      <c r="H2" s="39" t="s">
        <v>85</v>
      </c>
      <c r="I2" s="39" t="s">
        <v>86</v>
      </c>
      <c r="J2" s="39" t="s">
        <v>83</v>
      </c>
      <c r="K2" s="39" t="s">
        <v>84</v>
      </c>
      <c r="L2" s="39" t="s">
        <v>85</v>
      </c>
      <c r="M2" s="39" t="s">
        <v>86</v>
      </c>
      <c r="N2" s="39" t="s">
        <v>83</v>
      </c>
      <c r="O2" s="39" t="s">
        <v>84</v>
      </c>
      <c r="P2" s="39" t="s">
        <v>85</v>
      </c>
      <c r="Q2" s="39" t="s">
        <v>86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82.915537413569538</v>
      </c>
      <c r="C4" s="39">
        <v>93.362737770237132</v>
      </c>
      <c r="D4" s="39">
        <v>107.1734287450233</v>
      </c>
      <c r="E4" s="39">
        <v>121.43356249843509</v>
      </c>
      <c r="F4" s="39">
        <v>80.522070251315199</v>
      </c>
      <c r="G4" s="39">
        <v>90.931514394321738</v>
      </c>
      <c r="H4" s="39">
        <v>104.859557468961</v>
      </c>
      <c r="I4" s="39">
        <v>118.9543162028244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80.807725806845752</v>
      </c>
      <c r="C5" s="39">
        <v>94.25931591766097</v>
      </c>
      <c r="D5" s="39">
        <v>113.70737046419821</v>
      </c>
      <c r="E5" s="39">
        <v>135.86166625965899</v>
      </c>
      <c r="F5" s="39">
        <v>76.305425810532299</v>
      </c>
      <c r="G5" s="39">
        <v>89.720437331191164</v>
      </c>
      <c r="H5" s="39">
        <v>108.61999854487939</v>
      </c>
      <c r="I5" s="39">
        <v>130.14680066810541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80.272917282092877</v>
      </c>
      <c r="C6" s="39">
        <v>96.747771364327519</v>
      </c>
      <c r="D6" s="39">
        <v>120.6775405282177</v>
      </c>
      <c r="E6" s="39">
        <v>149.26200344396861</v>
      </c>
      <c r="F6" s="39">
        <v>74.594770517853277</v>
      </c>
      <c r="G6" s="39">
        <v>90.092707128526428</v>
      </c>
      <c r="H6" s="39">
        <v>112.8065842151325</v>
      </c>
      <c r="I6" s="39">
        <v>140.078759206147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78.896065560823942</v>
      </c>
      <c r="C7" s="39">
        <v>99.11337995894533</v>
      </c>
      <c r="D7" s="39">
        <v>128.70157619408269</v>
      </c>
      <c r="E7" s="39">
        <v>165.17972521191399</v>
      </c>
      <c r="F7" s="39">
        <v>71.641432147210239</v>
      </c>
      <c r="G7" s="39">
        <v>90.351747621533804</v>
      </c>
      <c r="H7" s="39">
        <v>117.71242839972589</v>
      </c>
      <c r="I7" s="39">
        <v>151.6495577083563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78.585249734709549</v>
      </c>
      <c r="C8" s="39">
        <v>102.1899553162274</v>
      </c>
      <c r="D8" s="39">
        <v>137.29896720021591</v>
      </c>
      <c r="E8" s="39">
        <v>182.22257686677571</v>
      </c>
      <c r="F8" s="39">
        <v>69.884224791311794</v>
      </c>
      <c r="G8" s="39">
        <v>91.137927561239593</v>
      </c>
      <c r="H8" s="39">
        <v>122.8372087796663</v>
      </c>
      <c r="I8" s="39">
        <v>163.976989256629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78.261801514921359</v>
      </c>
      <c r="C9" s="39">
        <v>105.51489362064839</v>
      </c>
      <c r="D9" s="39">
        <v>146.2630870358405</v>
      </c>
      <c r="E9" s="39">
        <v>199.5683268853706</v>
      </c>
      <c r="F9" s="39">
        <v>68.468862385100408</v>
      </c>
      <c r="G9" s="39">
        <v>92.036662983601445</v>
      </c>
      <c r="H9" s="39">
        <v>128.2774387023122</v>
      </c>
      <c r="I9" s="39">
        <v>175.8851806695794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77.624645839690629</v>
      </c>
      <c r="C10" s="39">
        <v>108.0561488630653</v>
      </c>
      <c r="D10" s="39">
        <v>155.14661794477081</v>
      </c>
      <c r="E10" s="39">
        <v>218.33823510232389</v>
      </c>
      <c r="F10" s="39">
        <v>66.348426908689589</v>
      </c>
      <c r="G10" s="39">
        <v>92.225290501521584</v>
      </c>
      <c r="H10" s="39">
        <v>133.36218894551979</v>
      </c>
      <c r="I10" s="39">
        <v>188.43461735950521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77.671299493623408</v>
      </c>
      <c r="C11" s="39">
        <v>110.6957346359128</v>
      </c>
      <c r="D11" s="39">
        <v>164.70499142078589</v>
      </c>
      <c r="E11" s="39">
        <v>238.60543916330309</v>
      </c>
      <c r="F11" s="39">
        <v>64.894642975680966</v>
      </c>
      <c r="G11" s="39">
        <v>92.826678694610095</v>
      </c>
      <c r="H11" s="39">
        <v>138.70397046590529</v>
      </c>
      <c r="I11" s="39">
        <v>201.4382065019912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76.269306354985986</v>
      </c>
      <c r="C12" s="39">
        <v>112.9299222736298</v>
      </c>
      <c r="D12" s="39">
        <v>174.2440995680999</v>
      </c>
      <c r="E12" s="39">
        <v>258.54584002131281</v>
      </c>
      <c r="F12" s="39">
        <v>62.733492974413473</v>
      </c>
      <c r="G12" s="39">
        <v>92.6814436614643</v>
      </c>
      <c r="H12" s="39">
        <v>143.79165481709751</v>
      </c>
      <c r="I12" s="39">
        <v>214.37394487993711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76.13884398963738</v>
      </c>
      <c r="C13" s="39">
        <v>115.8538950314677</v>
      </c>
      <c r="D13" s="39">
        <v>183.21075298374319</v>
      </c>
      <c r="E13" s="39">
        <v>279.70984471571512</v>
      </c>
      <c r="F13" s="39">
        <v>61.521157339871607</v>
      </c>
      <c r="G13" s="39">
        <v>93.332497151050802</v>
      </c>
      <c r="H13" s="39">
        <v>148.3718781676011</v>
      </c>
      <c r="I13" s="39">
        <v>228.1445503376107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77.249497243796213</v>
      </c>
      <c r="C14" s="39">
        <v>118.28491415076481</v>
      </c>
      <c r="D14" s="39">
        <v>193.50828579590839</v>
      </c>
      <c r="E14" s="39">
        <v>302.41128067122662</v>
      </c>
      <c r="F14" s="39">
        <v>61.783486562654133</v>
      </c>
      <c r="G14" s="39">
        <v>93.724796546830717</v>
      </c>
      <c r="H14" s="39">
        <v>153.4672227899263</v>
      </c>
      <c r="I14" s="39">
        <v>241.89638032055811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77.420549812291341</v>
      </c>
      <c r="C15" s="39">
        <v>121.5313784560431</v>
      </c>
      <c r="D15" s="39">
        <v>203.40636152590551</v>
      </c>
      <c r="E15" s="39">
        <v>328.34305890423173</v>
      </c>
      <c r="F15" s="39">
        <v>60.282295999396098</v>
      </c>
      <c r="G15" s="39">
        <v>94.307041153495618</v>
      </c>
      <c r="H15" s="39">
        <v>158.12111658026399</v>
      </c>
      <c r="I15" s="39">
        <v>257.49911543893307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77.578811688746256</v>
      </c>
      <c r="C16" s="39">
        <v>124.76752021738589</v>
      </c>
      <c r="D16" s="39">
        <v>214.79115982965271</v>
      </c>
      <c r="E16" s="39">
        <v>354.41304598633718</v>
      </c>
      <c r="F16" s="39">
        <v>59.2986804709018</v>
      </c>
      <c r="G16" s="39">
        <v>95.12064448055969</v>
      </c>
      <c r="H16" s="39">
        <v>163.4309236637994</v>
      </c>
      <c r="I16" s="39">
        <v>270.58267849228031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78.505896442054137</v>
      </c>
      <c r="C17" s="39">
        <v>129.19669873219661</v>
      </c>
      <c r="D17" s="39">
        <v>226.84663866361899</v>
      </c>
      <c r="E17" s="39">
        <v>381.25799164348791</v>
      </c>
      <c r="F17" s="39">
        <v>58.648105659641708</v>
      </c>
      <c r="G17" s="39">
        <v>96.690181415514033</v>
      </c>
      <c r="H17" s="39">
        <v>169.3122579739472</v>
      </c>
      <c r="I17" s="39">
        <v>285.99561410307348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78.739728855392258</v>
      </c>
      <c r="C18" s="39">
        <v>133.07678286118821</v>
      </c>
      <c r="D18" s="39">
        <v>238.5536112935367</v>
      </c>
      <c r="E18" s="39">
        <v>411.42198674179019</v>
      </c>
      <c r="F18" s="39">
        <v>58.512530469601849</v>
      </c>
      <c r="G18" s="39">
        <v>97.437430040633501</v>
      </c>
      <c r="H18" s="39">
        <v>174.49200768982001</v>
      </c>
      <c r="I18" s="39">
        <v>302.96083823988778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78.634946451880367</v>
      </c>
      <c r="C19" s="39">
        <v>137.33123984416599</v>
      </c>
      <c r="D19" s="39">
        <v>250.96632277462919</v>
      </c>
      <c r="E19" s="39">
        <v>445.05710787183989</v>
      </c>
      <c r="F19" s="39">
        <v>56.687780441977402</v>
      </c>
      <c r="G19" s="39">
        <v>98.36264818534454</v>
      </c>
      <c r="H19" s="39">
        <v>180.49420462132611</v>
      </c>
      <c r="I19" s="39">
        <v>321.62150108604772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79.276419053651395</v>
      </c>
      <c r="C20" s="39">
        <v>140.93022234272169</v>
      </c>
      <c r="D20" s="39">
        <v>264.09493271869621</v>
      </c>
      <c r="E20" s="39">
        <v>479.48536553841762</v>
      </c>
      <c r="F20" s="39">
        <v>56.456385309951713</v>
      </c>
      <c r="G20" s="39">
        <v>99.016281807324575</v>
      </c>
      <c r="H20" s="39">
        <v>186.55743272066849</v>
      </c>
      <c r="I20" s="39">
        <v>339.29344024339417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82.301127059751693</v>
      </c>
      <c r="C21" s="39">
        <v>145.07391243297289</v>
      </c>
      <c r="D21" s="39">
        <v>278.93560746201427</v>
      </c>
      <c r="E21" s="39">
        <v>518.96012173544193</v>
      </c>
      <c r="F21" s="39">
        <v>56.841470193423042</v>
      </c>
      <c r="G21" s="39">
        <v>100.20750272077041</v>
      </c>
      <c r="H21" s="39">
        <v>192.61384359416081</v>
      </c>
      <c r="I21" s="39">
        <v>358.04270600213079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82.40433066657441</v>
      </c>
      <c r="C22" s="39">
        <v>149.1556237974963</v>
      </c>
      <c r="D22" s="39">
        <v>294.04168856549683</v>
      </c>
      <c r="E22" s="39">
        <v>557.10053765942371</v>
      </c>
      <c r="F22" s="39">
        <v>56.534143660282972</v>
      </c>
      <c r="G22" s="39">
        <v>101.0245076271098</v>
      </c>
      <c r="H22" s="39">
        <v>199.36143500159659</v>
      </c>
      <c r="I22" s="39">
        <v>378.5410974436241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84.208085727370616</v>
      </c>
      <c r="C23" s="39">
        <v>154.4134961355374</v>
      </c>
      <c r="D23" s="39">
        <v>309.37677361616107</v>
      </c>
      <c r="E23" s="39">
        <v>595.87329069813802</v>
      </c>
      <c r="F23" s="39">
        <v>56.885510384779877</v>
      </c>
      <c r="G23" s="39">
        <v>102.3732571981496</v>
      </c>
      <c r="H23" s="39">
        <v>205.64225603015859</v>
      </c>
      <c r="I23" s="39">
        <v>397.56312226108639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79</v>
      </c>
      <c r="C1" s="39" t="s">
        <v>79</v>
      </c>
      <c r="D1" s="39" t="s">
        <v>79</v>
      </c>
      <c r="E1" s="39" t="s">
        <v>79</v>
      </c>
      <c r="F1" s="39" t="s">
        <v>80</v>
      </c>
      <c r="G1" s="39" t="s">
        <v>80</v>
      </c>
      <c r="H1" s="39" t="s">
        <v>80</v>
      </c>
      <c r="I1" s="39" t="s">
        <v>80</v>
      </c>
      <c r="J1" s="39" t="s">
        <v>81</v>
      </c>
      <c r="K1" s="39" t="s">
        <v>81</v>
      </c>
      <c r="L1" s="39" t="s">
        <v>81</v>
      </c>
      <c r="M1" s="39" t="s">
        <v>81</v>
      </c>
      <c r="N1" s="39" t="s">
        <v>82</v>
      </c>
      <c r="O1" s="39" t="s">
        <v>82</v>
      </c>
      <c r="P1" s="39" t="s">
        <v>82</v>
      </c>
      <c r="Q1" s="39" t="s">
        <v>82</v>
      </c>
    </row>
    <row r="2" spans="1:17">
      <c r="A2" s="39"/>
      <c r="B2" s="39" t="s">
        <v>83</v>
      </c>
      <c r="C2" s="39" t="s">
        <v>84</v>
      </c>
      <c r="D2" s="39" t="s">
        <v>85</v>
      </c>
      <c r="E2" s="39" t="s">
        <v>86</v>
      </c>
      <c r="F2" s="39" t="s">
        <v>83</v>
      </c>
      <c r="G2" s="39" t="s">
        <v>84</v>
      </c>
      <c r="H2" s="39" t="s">
        <v>85</v>
      </c>
      <c r="I2" s="39" t="s">
        <v>86</v>
      </c>
      <c r="J2" s="39" t="s">
        <v>83</v>
      </c>
      <c r="K2" s="39" t="s">
        <v>84</v>
      </c>
      <c r="L2" s="39" t="s">
        <v>85</v>
      </c>
      <c r="M2" s="39" t="s">
        <v>86</v>
      </c>
      <c r="N2" s="39" t="s">
        <v>83</v>
      </c>
      <c r="O2" s="39" t="s">
        <v>84</v>
      </c>
      <c r="P2" s="39" t="s">
        <v>85</v>
      </c>
      <c r="Q2" s="39" t="s">
        <v>86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86.345964117102312</v>
      </c>
      <c r="C4" s="39">
        <v>95.816856409572495</v>
      </c>
      <c r="D4" s="39">
        <v>107.81708963326</v>
      </c>
      <c r="E4" s="39">
        <v>118.88689342681739</v>
      </c>
      <c r="F4" s="39">
        <v>83.485214978678158</v>
      </c>
      <c r="G4" s="39">
        <v>93.437690440197912</v>
      </c>
      <c r="H4" s="39">
        <v>105.46690324814961</v>
      </c>
      <c r="I4" s="39">
        <v>116.4335802288624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86.348363629621772</v>
      </c>
      <c r="C5" s="39">
        <v>98.054125070162371</v>
      </c>
      <c r="D5" s="39">
        <v>114.68404477606251</v>
      </c>
      <c r="E5" s="39">
        <v>132.0462686335556</v>
      </c>
      <c r="F5" s="39">
        <v>81.604935010808092</v>
      </c>
      <c r="G5" s="39">
        <v>93.21373182129652</v>
      </c>
      <c r="H5" s="39">
        <v>109.57674625592151</v>
      </c>
      <c r="I5" s="39">
        <v>126.5665438153045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87.226863174283892</v>
      </c>
      <c r="C6" s="39">
        <v>101.8975816481902</v>
      </c>
      <c r="D6" s="39">
        <v>121.97018936839341</v>
      </c>
      <c r="E6" s="39">
        <v>144.89398438101671</v>
      </c>
      <c r="F6" s="39">
        <v>80.690831273788177</v>
      </c>
      <c r="G6" s="39">
        <v>94.883062203073493</v>
      </c>
      <c r="H6" s="39">
        <v>113.94754294760401</v>
      </c>
      <c r="I6" s="39">
        <v>136.0496611991251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87.427424701007865</v>
      </c>
      <c r="C7" s="39">
        <v>105.2750062242888</v>
      </c>
      <c r="D7" s="39">
        <v>130.37229136105969</v>
      </c>
      <c r="E7" s="39">
        <v>159.61616101369421</v>
      </c>
      <c r="F7" s="39">
        <v>78.982044537135295</v>
      </c>
      <c r="G7" s="39">
        <v>95.820615489596221</v>
      </c>
      <c r="H7" s="39">
        <v>119.2779424349993</v>
      </c>
      <c r="I7" s="39">
        <v>146.6296500241709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88.154955404980853</v>
      </c>
      <c r="C8" s="39">
        <v>109.5926090101356</v>
      </c>
      <c r="D8" s="39">
        <v>139.63041184909389</v>
      </c>
      <c r="E8" s="39">
        <v>175.35187767263369</v>
      </c>
      <c r="F8" s="39">
        <v>78.351826608674486</v>
      </c>
      <c r="G8" s="39">
        <v>97.607107676687249</v>
      </c>
      <c r="H8" s="39">
        <v>125.0703628713827</v>
      </c>
      <c r="I8" s="39">
        <v>157.86260448174599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89.593838089825766</v>
      </c>
      <c r="C9" s="39">
        <v>114.0181437082483</v>
      </c>
      <c r="D9" s="39">
        <v>149.14695127778481</v>
      </c>
      <c r="E9" s="39">
        <v>191.4275774658727</v>
      </c>
      <c r="F9" s="39">
        <v>78.121172972695305</v>
      </c>
      <c r="G9" s="39">
        <v>99.313699636906918</v>
      </c>
      <c r="H9" s="39">
        <v>130.8845825839214</v>
      </c>
      <c r="I9" s="39">
        <v>168.97666426105431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88.862717594755608</v>
      </c>
      <c r="C10" s="39">
        <v>117.33429525540259</v>
      </c>
      <c r="D10" s="39">
        <v>158.76532465102181</v>
      </c>
      <c r="E10" s="39">
        <v>209.3200587182738</v>
      </c>
      <c r="F10" s="39">
        <v>75.629817454808787</v>
      </c>
      <c r="G10" s="39">
        <v>100.26795404504421</v>
      </c>
      <c r="H10" s="39">
        <v>136.4521140947796</v>
      </c>
      <c r="I10" s="39">
        <v>180.72194192685691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89.334640807674688</v>
      </c>
      <c r="C11" s="39">
        <v>121.3375332052496</v>
      </c>
      <c r="D11" s="39">
        <v>168.659072517759</v>
      </c>
      <c r="E11" s="39">
        <v>227.4823975369066</v>
      </c>
      <c r="F11" s="39">
        <v>75.709819850253965</v>
      </c>
      <c r="G11" s="39">
        <v>101.68396568729931</v>
      </c>
      <c r="H11" s="39">
        <v>141.86711314486789</v>
      </c>
      <c r="I11" s="39">
        <v>192.76030704678729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89.082112627096066</v>
      </c>
      <c r="C12" s="39">
        <v>124.4009525777126</v>
      </c>
      <c r="D12" s="39">
        <v>178.94482261948329</v>
      </c>
      <c r="E12" s="39">
        <v>247.19208524773799</v>
      </c>
      <c r="F12" s="39">
        <v>73.277383475178809</v>
      </c>
      <c r="G12" s="39">
        <v>102.2896706109107</v>
      </c>
      <c r="H12" s="39">
        <v>147.62052496059391</v>
      </c>
      <c r="I12" s="39">
        <v>205.31149407092801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90.248388005400429</v>
      </c>
      <c r="C13" s="39">
        <v>128.51170856096709</v>
      </c>
      <c r="D13" s="39">
        <v>189.2573042257047</v>
      </c>
      <c r="E13" s="39">
        <v>267.2271156584456</v>
      </c>
      <c r="F13" s="39">
        <v>72.61019800452749</v>
      </c>
      <c r="G13" s="39">
        <v>103.69026614255949</v>
      </c>
      <c r="H13" s="39">
        <v>152.88784068618989</v>
      </c>
      <c r="I13" s="39">
        <v>217.9649120826862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91.832997714684694</v>
      </c>
      <c r="C14" s="39">
        <v>132.36006755170891</v>
      </c>
      <c r="D14" s="39">
        <v>200.2845200698757</v>
      </c>
      <c r="E14" s="39">
        <v>288.81126269337972</v>
      </c>
      <c r="F14" s="39">
        <v>72.693902532957722</v>
      </c>
      <c r="G14" s="39">
        <v>104.75859567186821</v>
      </c>
      <c r="H14" s="39">
        <v>158.46187788118399</v>
      </c>
      <c r="I14" s="39">
        <v>230.45704057060391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93.527434984782147</v>
      </c>
      <c r="C15" s="39">
        <v>136.61067937175949</v>
      </c>
      <c r="D15" s="39">
        <v>211.19326216171939</v>
      </c>
      <c r="E15" s="39">
        <v>313.1676806050699</v>
      </c>
      <c r="F15" s="39">
        <v>72.117934564518407</v>
      </c>
      <c r="G15" s="39">
        <v>106.05648134495679</v>
      </c>
      <c r="H15" s="39">
        <v>163.91368466125249</v>
      </c>
      <c r="I15" s="39">
        <v>244.53248097955941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93.99130058417326</v>
      </c>
      <c r="C16" s="39">
        <v>140.90179538970199</v>
      </c>
      <c r="D16" s="39">
        <v>223.036528913354</v>
      </c>
      <c r="E16" s="39">
        <v>337.59252883682132</v>
      </c>
      <c r="F16" s="39">
        <v>71.517805390620353</v>
      </c>
      <c r="G16" s="39">
        <v>107.3257691812158</v>
      </c>
      <c r="H16" s="39">
        <v>169.8019382997683</v>
      </c>
      <c r="I16" s="39">
        <v>258.47594927883182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95.82893988677769</v>
      </c>
      <c r="C17" s="39">
        <v>146.64910152065099</v>
      </c>
      <c r="D17" s="39">
        <v>235.94604963203079</v>
      </c>
      <c r="E17" s="39">
        <v>364.55554135624038</v>
      </c>
      <c r="F17" s="39">
        <v>71.000241883624824</v>
      </c>
      <c r="G17" s="39">
        <v>109.24492092108009</v>
      </c>
      <c r="H17" s="39">
        <v>176.24403769577609</v>
      </c>
      <c r="I17" s="39">
        <v>274.53475461196808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97.021364423281923</v>
      </c>
      <c r="C18" s="39">
        <v>150.94914805981321</v>
      </c>
      <c r="D18" s="39">
        <v>249.135712557472</v>
      </c>
      <c r="E18" s="39">
        <v>393.43468800730409</v>
      </c>
      <c r="F18" s="39">
        <v>71.465109882133959</v>
      </c>
      <c r="G18" s="39">
        <v>110.88651892430271</v>
      </c>
      <c r="H18" s="39">
        <v>182.54013273593179</v>
      </c>
      <c r="I18" s="39">
        <v>289.46121667154267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98.466150843313173</v>
      </c>
      <c r="C19" s="39">
        <v>156.7867172851619</v>
      </c>
      <c r="D19" s="39">
        <v>262.85850970781007</v>
      </c>
      <c r="E19" s="39">
        <v>423.77787981126949</v>
      </c>
      <c r="F19" s="39">
        <v>71.350818039816829</v>
      </c>
      <c r="G19" s="39">
        <v>112.6543920905856</v>
      </c>
      <c r="H19" s="39">
        <v>188.92025252675401</v>
      </c>
      <c r="I19" s="39">
        <v>305.64528429395432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100.95410752782919</v>
      </c>
      <c r="C20" s="39">
        <v>162.45654088625261</v>
      </c>
      <c r="D20" s="39">
        <v>276.51243037666251</v>
      </c>
      <c r="E20" s="39">
        <v>456.78506565579698</v>
      </c>
      <c r="F20" s="39">
        <v>71.353438364174522</v>
      </c>
      <c r="G20" s="39">
        <v>114.11977929254491</v>
      </c>
      <c r="H20" s="39">
        <v>194.7568410602762</v>
      </c>
      <c r="I20" s="39">
        <v>322.92154992759993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103.45148621167939</v>
      </c>
      <c r="C21" s="39">
        <v>168.23484427276591</v>
      </c>
      <c r="D21" s="39">
        <v>293.19502399485111</v>
      </c>
      <c r="E21" s="39">
        <v>493.14999818832001</v>
      </c>
      <c r="F21" s="39">
        <v>71.340653844133257</v>
      </c>
      <c r="G21" s="39">
        <v>116.0564694795283</v>
      </c>
      <c r="H21" s="39">
        <v>203.0049992558717</v>
      </c>
      <c r="I21" s="39">
        <v>340.41977507779211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106.2712814586003</v>
      </c>
      <c r="C22" s="39">
        <v>174.44758939798231</v>
      </c>
      <c r="D22" s="39">
        <v>310.3022272637495</v>
      </c>
      <c r="E22" s="39">
        <v>527.80178248691959</v>
      </c>
      <c r="F22" s="39">
        <v>72.46764102021524</v>
      </c>
      <c r="G22" s="39">
        <v>117.9865932425829</v>
      </c>
      <c r="H22" s="39">
        <v>209.88875434486619</v>
      </c>
      <c r="I22" s="39">
        <v>358.26404366912902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108.3995167203644</v>
      </c>
      <c r="C23" s="39">
        <v>181.49307290718721</v>
      </c>
      <c r="D23" s="39">
        <v>326.0744959955893</v>
      </c>
      <c r="E23" s="39">
        <v>567.57828905865836</v>
      </c>
      <c r="F23" s="39">
        <v>73.335623488932811</v>
      </c>
      <c r="G23" s="39">
        <v>119.91688400045069</v>
      </c>
      <c r="H23" s="39">
        <v>217.24468973642641</v>
      </c>
      <c r="I23" s="39">
        <v>377.64975251894089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79</v>
      </c>
      <c r="C1" s="39" t="s">
        <v>79</v>
      </c>
      <c r="D1" s="39" t="s">
        <v>79</v>
      </c>
      <c r="E1" s="39" t="s">
        <v>79</v>
      </c>
      <c r="F1" s="39" t="s">
        <v>80</v>
      </c>
      <c r="G1" s="39" t="s">
        <v>80</v>
      </c>
      <c r="H1" s="39" t="s">
        <v>80</v>
      </c>
      <c r="I1" s="39" t="s">
        <v>80</v>
      </c>
      <c r="J1" s="39" t="s">
        <v>81</v>
      </c>
      <c r="K1" s="39" t="s">
        <v>81</v>
      </c>
      <c r="L1" s="39" t="s">
        <v>81</v>
      </c>
      <c r="M1" s="39" t="s">
        <v>81</v>
      </c>
      <c r="N1" s="39" t="s">
        <v>82</v>
      </c>
      <c r="O1" s="39" t="s">
        <v>82</v>
      </c>
      <c r="P1" s="39" t="s">
        <v>82</v>
      </c>
      <c r="Q1" s="39" t="s">
        <v>82</v>
      </c>
    </row>
    <row r="2" spans="1:17">
      <c r="A2" s="39"/>
      <c r="B2" s="39" t="s">
        <v>83</v>
      </c>
      <c r="C2" s="39" t="s">
        <v>84</v>
      </c>
      <c r="D2" s="39" t="s">
        <v>85</v>
      </c>
      <c r="E2" s="39" t="s">
        <v>86</v>
      </c>
      <c r="F2" s="39" t="s">
        <v>83</v>
      </c>
      <c r="G2" s="39" t="s">
        <v>84</v>
      </c>
      <c r="H2" s="39" t="s">
        <v>85</v>
      </c>
      <c r="I2" s="39" t="s">
        <v>86</v>
      </c>
      <c r="J2" s="39" t="s">
        <v>83</v>
      </c>
      <c r="K2" s="39" t="s">
        <v>84</v>
      </c>
      <c r="L2" s="39" t="s">
        <v>85</v>
      </c>
      <c r="M2" s="39" t="s">
        <v>86</v>
      </c>
      <c r="N2" s="39" t="s">
        <v>83</v>
      </c>
      <c r="O2" s="39" t="s">
        <v>84</v>
      </c>
      <c r="P2" s="39" t="s">
        <v>85</v>
      </c>
      <c r="Q2" s="39" t="s">
        <v>86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87.712923580903151</v>
      </c>
      <c r="C4" s="39">
        <v>97.266513555746869</v>
      </c>
      <c r="D4" s="39">
        <v>108.3672592039986</v>
      </c>
      <c r="E4" s="39">
        <v>117.5990578929276</v>
      </c>
      <c r="F4" s="39">
        <v>84.81760690449596</v>
      </c>
      <c r="G4" s="39">
        <v>94.789155471075034</v>
      </c>
      <c r="H4" s="39">
        <v>105.9941563807695</v>
      </c>
      <c r="I4" s="39">
        <v>115.22301810526641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89.171726769568807</v>
      </c>
      <c r="C5" s="39">
        <v>100.0810042625515</v>
      </c>
      <c r="D5" s="39">
        <v>115.4625199098338</v>
      </c>
      <c r="E5" s="39">
        <v>130.49039433260211</v>
      </c>
      <c r="F5" s="39">
        <v>84.26189001190339</v>
      </c>
      <c r="G5" s="39">
        <v>95.082583682438525</v>
      </c>
      <c r="H5" s="39">
        <v>110.3660589973385</v>
      </c>
      <c r="I5" s="39">
        <v>125.09450069970281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91.04016521292246</v>
      </c>
      <c r="C6" s="39">
        <v>104.6636117550002</v>
      </c>
      <c r="D6" s="39">
        <v>122.88830520563501</v>
      </c>
      <c r="E6" s="39">
        <v>143.12011476298079</v>
      </c>
      <c r="F6" s="39">
        <v>83.787667963888708</v>
      </c>
      <c r="G6" s="39">
        <v>97.345818630588525</v>
      </c>
      <c r="H6" s="39">
        <v>114.97393807371741</v>
      </c>
      <c r="I6" s="39">
        <v>134.22618320836051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91.90347657350577</v>
      </c>
      <c r="C7" s="39">
        <v>108.7477615454512</v>
      </c>
      <c r="D7" s="39">
        <v>131.79041631281621</v>
      </c>
      <c r="E7" s="39">
        <v>157.21927554432571</v>
      </c>
      <c r="F7" s="39">
        <v>82.900201572779835</v>
      </c>
      <c r="G7" s="39">
        <v>98.767645037542295</v>
      </c>
      <c r="H7" s="39">
        <v>120.54715044681269</v>
      </c>
      <c r="I7" s="39">
        <v>144.64071035702869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93.836526122626879</v>
      </c>
      <c r="C8" s="39">
        <v>113.7722911363566</v>
      </c>
      <c r="D8" s="39">
        <v>141.3703338772396</v>
      </c>
      <c r="E8" s="39">
        <v>172.8400284379729</v>
      </c>
      <c r="F8" s="39">
        <v>83.098693963388229</v>
      </c>
      <c r="G8" s="39">
        <v>101.210770613763</v>
      </c>
      <c r="H8" s="39">
        <v>126.69278985335571</v>
      </c>
      <c r="I8" s="39">
        <v>155.67034484395711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95.918688383516383</v>
      </c>
      <c r="C9" s="39">
        <v>118.8469877633904</v>
      </c>
      <c r="D9" s="39">
        <v>151.28250039896599</v>
      </c>
      <c r="E9" s="39">
        <v>188.6402381496948</v>
      </c>
      <c r="F9" s="39">
        <v>83.174536780907246</v>
      </c>
      <c r="G9" s="39">
        <v>103.36180080906389</v>
      </c>
      <c r="H9" s="39">
        <v>132.64745898386269</v>
      </c>
      <c r="I9" s="39">
        <v>166.3803529505777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95.886823379913793</v>
      </c>
      <c r="C10" s="39">
        <v>123.23235010823559</v>
      </c>
      <c r="D10" s="39">
        <v>161.29888783125071</v>
      </c>
      <c r="E10" s="39">
        <v>205.4339089575578</v>
      </c>
      <c r="F10" s="39">
        <v>81.612245363207009</v>
      </c>
      <c r="G10" s="39">
        <v>105.0887044117769</v>
      </c>
      <c r="H10" s="39">
        <v>138.63223734894731</v>
      </c>
      <c r="I10" s="39">
        <v>177.5300867947077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97.534806207117029</v>
      </c>
      <c r="C11" s="39">
        <v>127.966059480224</v>
      </c>
      <c r="D11" s="39">
        <v>171.3919325152693</v>
      </c>
      <c r="E11" s="39">
        <v>223.14526243025469</v>
      </c>
      <c r="F11" s="39">
        <v>82.029163668923246</v>
      </c>
      <c r="G11" s="39">
        <v>107.0532415561252</v>
      </c>
      <c r="H11" s="39">
        <v>144.20318837658559</v>
      </c>
      <c r="I11" s="39">
        <v>189.29462774771929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97.943928062076026</v>
      </c>
      <c r="C12" s="39">
        <v>131.71169450735161</v>
      </c>
      <c r="D12" s="39">
        <v>182.143522140653</v>
      </c>
      <c r="E12" s="39">
        <v>242.5735094082853</v>
      </c>
      <c r="F12" s="39">
        <v>80.434012240555219</v>
      </c>
      <c r="G12" s="39">
        <v>107.91794894272429</v>
      </c>
      <c r="H12" s="39">
        <v>150.1153063445648</v>
      </c>
      <c r="I12" s="39">
        <v>201.66135591611041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99.755179134313479</v>
      </c>
      <c r="C13" s="39">
        <v>136.87054593661739</v>
      </c>
      <c r="D13" s="39">
        <v>192.68977690508231</v>
      </c>
      <c r="E13" s="39">
        <v>261.81868520566292</v>
      </c>
      <c r="F13" s="39">
        <v>80.368349269539067</v>
      </c>
      <c r="G13" s="39">
        <v>110.07732518802</v>
      </c>
      <c r="H13" s="39">
        <v>155.62150029023039</v>
      </c>
      <c r="I13" s="39">
        <v>213.62233098809341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101.5032912130973</v>
      </c>
      <c r="C14" s="39">
        <v>141.66321759268021</v>
      </c>
      <c r="D14" s="39">
        <v>204.38291661324891</v>
      </c>
      <c r="E14" s="39">
        <v>283.44262369137113</v>
      </c>
      <c r="F14" s="39">
        <v>80.443263200164566</v>
      </c>
      <c r="G14" s="39">
        <v>111.79540380341859</v>
      </c>
      <c r="H14" s="39">
        <v>161.90238777705881</v>
      </c>
      <c r="I14" s="39">
        <v>225.893699666613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103.80877837199721</v>
      </c>
      <c r="C15" s="39">
        <v>146.5272353266775</v>
      </c>
      <c r="D15" s="39">
        <v>215.74719429793171</v>
      </c>
      <c r="E15" s="39">
        <v>305.83590335003578</v>
      </c>
      <c r="F15" s="39">
        <v>80.276942952256235</v>
      </c>
      <c r="G15" s="39">
        <v>113.4088741648106</v>
      </c>
      <c r="H15" s="39">
        <v>167.7066768768174</v>
      </c>
      <c r="I15" s="39">
        <v>239.8406519966282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105.6184376095665</v>
      </c>
      <c r="C16" s="39">
        <v>151.76860463460321</v>
      </c>
      <c r="D16" s="39">
        <v>228.6611579429763</v>
      </c>
      <c r="E16" s="39">
        <v>330.59907451612418</v>
      </c>
      <c r="F16" s="39">
        <v>80.129826624586585</v>
      </c>
      <c r="G16" s="39">
        <v>115.48964031497989</v>
      </c>
      <c r="H16" s="39">
        <v>174.14464140236271</v>
      </c>
      <c r="I16" s="39">
        <v>253.08772162439209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107.8043703539757</v>
      </c>
      <c r="C17" s="39">
        <v>157.90703499658531</v>
      </c>
      <c r="D17" s="39">
        <v>241.54193677049369</v>
      </c>
      <c r="E17" s="39">
        <v>357.77944265725398</v>
      </c>
      <c r="F17" s="39">
        <v>80.501893950153331</v>
      </c>
      <c r="G17" s="39">
        <v>117.3471565673851</v>
      </c>
      <c r="H17" s="39">
        <v>180.864176535985</v>
      </c>
      <c r="I17" s="39">
        <v>268.93683429713877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109.73386884775481</v>
      </c>
      <c r="C18" s="39">
        <v>164.00143591209411</v>
      </c>
      <c r="D18" s="39">
        <v>254.94805756715041</v>
      </c>
      <c r="E18" s="39">
        <v>386.00419528927841</v>
      </c>
      <c r="F18" s="39">
        <v>80.452920946851904</v>
      </c>
      <c r="G18" s="39">
        <v>119.9142967608981</v>
      </c>
      <c r="H18" s="39">
        <v>187.0873756939412</v>
      </c>
      <c r="I18" s="39">
        <v>283.62856582994272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113.1110519043069</v>
      </c>
      <c r="C19" s="39">
        <v>169.9102235061529</v>
      </c>
      <c r="D19" s="39">
        <v>269.93265910050968</v>
      </c>
      <c r="E19" s="39">
        <v>414.93234413448408</v>
      </c>
      <c r="F19" s="39">
        <v>81.570163640654457</v>
      </c>
      <c r="G19" s="39">
        <v>122.0451683977281</v>
      </c>
      <c r="H19" s="39">
        <v>193.91340663327659</v>
      </c>
      <c r="I19" s="39">
        <v>299.44629816971832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116.5526244977638</v>
      </c>
      <c r="C20" s="39">
        <v>176.92452196131211</v>
      </c>
      <c r="D20" s="39">
        <v>284.63688745606999</v>
      </c>
      <c r="E20" s="39">
        <v>447.1481868548239</v>
      </c>
      <c r="F20" s="39">
        <v>82.010469560656389</v>
      </c>
      <c r="G20" s="39">
        <v>124.6142922166401</v>
      </c>
      <c r="H20" s="39">
        <v>201.0114951857876</v>
      </c>
      <c r="I20" s="39">
        <v>316.25409474480659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119.0987175442939</v>
      </c>
      <c r="C21" s="39">
        <v>183.77790359012519</v>
      </c>
      <c r="D21" s="39">
        <v>302.31849142114697</v>
      </c>
      <c r="E21" s="39">
        <v>481.50600316572502</v>
      </c>
      <c r="F21" s="39">
        <v>82.934513149636174</v>
      </c>
      <c r="G21" s="39">
        <v>126.4800147446138</v>
      </c>
      <c r="H21" s="39">
        <v>209.08095939885769</v>
      </c>
      <c r="I21" s="39">
        <v>333.1069828377515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123.4590819883624</v>
      </c>
      <c r="C22" s="39">
        <v>190.6765208063712</v>
      </c>
      <c r="D22" s="39">
        <v>319.42380748349422</v>
      </c>
      <c r="E22" s="39">
        <v>516.51526005387575</v>
      </c>
      <c r="F22" s="39">
        <v>84.450117379331033</v>
      </c>
      <c r="G22" s="39">
        <v>128.56961623119719</v>
      </c>
      <c r="H22" s="39">
        <v>216.84530699297699</v>
      </c>
      <c r="I22" s="39">
        <v>349.51780087574463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125.69706160242841</v>
      </c>
      <c r="C23" s="39">
        <v>198.79438901831841</v>
      </c>
      <c r="D23" s="39">
        <v>337.75161271426242</v>
      </c>
      <c r="E23" s="39">
        <v>553.95943338593975</v>
      </c>
      <c r="F23" s="39">
        <v>85.234593119075726</v>
      </c>
      <c r="G23" s="39">
        <v>132.24417106009881</v>
      </c>
      <c r="H23" s="39">
        <v>224.70118317465301</v>
      </c>
      <c r="I23" s="39">
        <v>368.62964434831179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portfolios</vt:lpstr>
      <vt:lpstr>risk_dashboard</vt:lpstr>
      <vt:lpstr>assumptions</vt:lpstr>
      <vt:lpstr>ws_Current_Portfolio</vt:lpstr>
      <vt:lpstr>ws_Stage_1</vt:lpstr>
      <vt:lpstr>ws_Stage_2</vt:lpstr>
      <vt:lpstr>ws_Stage_3</vt:lpstr>
      <vt:lpstr>ws_Stage_4</vt:lpstr>
      <vt:lpstr>ws_Stage_5</vt:lpstr>
      <vt:lpstr>ws_Diversified_Portfolio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2025-07-02T12:36:08Z</dcterms:created>
  <dcterms:modified xsi:type="dcterms:W3CDTF">2025-07-02T14:27:52Z</dcterms:modified>
</cp:coreProperties>
</file>