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1. Portfolio Analysis/"/>
    </mc:Choice>
  </mc:AlternateContent>
  <xr:revisionPtr revIDLastSave="0" documentId="13_ncr:1_{F469C6C1-D1F0-284B-8ECD-3F07464E8F37}" xr6:coauthVersionLast="47" xr6:coauthVersionMax="47" xr10:uidLastSave="{00000000-0000-0000-0000-000000000000}"/>
  <bookViews>
    <workbookView xWindow="0" yWindow="500" windowWidth="33600" windowHeight="19040" activeTab="8" xr2:uid="{00000000-000D-0000-FFFF-FFFF00000000}"/>
  </bookViews>
  <sheets>
    <sheet name="portfolios" sheetId="1" r:id="rId1"/>
    <sheet name="Risk Decomposition" sheetId="6" r:id="rId2"/>
    <sheet name="Currency Hedging" sheetId="7" r:id="rId3"/>
    <sheet name="Risk Premias" sheetId="8" r:id="rId4"/>
    <sheet name="risk_dashboard" sheetId="2" r:id="rId5"/>
    <sheet name="assumptions" sheetId="3" r:id="rId6"/>
    <sheet name="ws_Reference" sheetId="4" r:id="rId7"/>
    <sheet name="ws_Strategic_Asset_Allocation" sheetId="5" r:id="rId8"/>
    <sheet name="Sheet1" sheetId="9" r:id="rId9"/>
    <sheet name="Sheet2" sheetId="10" r:id="rId10"/>
  </sheets>
  <definedNames>
    <definedName name="_xlnm._FilterDatabase" localSheetId="3" hidden="1">'Risk Premias'!$A$2:$C$8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0" l="1"/>
  <c r="D24" i="10"/>
  <c r="E24" i="10"/>
  <c r="F24" i="10"/>
  <c r="G24" i="10"/>
  <c r="H24" i="10"/>
  <c r="I24" i="10"/>
  <c r="J24" i="10"/>
  <c r="K24" i="10"/>
  <c r="L24" i="10"/>
  <c r="B24" i="10"/>
  <c r="D1" i="10"/>
  <c r="E1" i="10"/>
  <c r="F1" i="10" s="1"/>
  <c r="G1" i="10" s="1"/>
  <c r="H1" i="10" s="1"/>
  <c r="I1" i="10" s="1"/>
  <c r="J1" i="10" s="1"/>
  <c r="K1" i="10" s="1"/>
  <c r="L1" i="10" s="1"/>
  <c r="C1" i="10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4" i="5"/>
  <c r="C2" i="8"/>
  <c r="B4" i="6"/>
</calcChain>
</file>

<file path=xl/sharedStrings.xml><?xml version="1.0" encoding="utf-8"?>
<sst xmlns="http://schemas.openxmlformats.org/spreadsheetml/2006/main" count="272" uniqueCount="151">
  <si>
    <t>Reference</t>
  </si>
  <si>
    <t>Strategic Asset Allocation</t>
  </si>
  <si>
    <t>Investment Grade Fixed Income</t>
  </si>
  <si>
    <t xml:space="preserve">  US Dollar Debt</t>
  </si>
  <si>
    <t>Other Fixed Income</t>
  </si>
  <si>
    <t xml:space="preserve">  US High Yield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</si>
  <si>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</si>
  <si>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</si>
  <si>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</si>
  <si>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</si>
  <si>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</si>
  <si>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</si>
  <si>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</si>
  <si>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</si>
  <si>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</si>
  <si>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</si>
  <si>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</si>
  <si>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</si>
  <si>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</si>
  <si>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</si>
  <si>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</si>
  <si>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</si>
  <si>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</si>
  <si>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</si>
  <si>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</si>
  <si>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</si>
  <si>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</si>
  <si>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</si>
  <si>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</si>
  <si>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</si>
  <si>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</si>
  <si>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</si>
  <si>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</si>
  <si>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</si>
  <si>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</si>
  <si>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</si>
  <si>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</si>
  <si>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</si>
  <si>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</si>
  <si>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</si>
  <si>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</si>
  <si>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</si>
  <si>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</si>
  <si>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</si>
  <si>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</si>
  <si>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</si>
  <si>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</si>
  <si>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</si>
  <si>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</si>
  <si>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</si>
  <si>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</si>
  <si>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</si>
  <si>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</si>
  <si>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</si>
  <si>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</si>
  <si>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</si>
  <si>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</si>
  <si>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</si>
  <si>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</si>
  <si>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</si>
  <si>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</si>
  <si>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Dollar Short Duration Debt</t>
  </si>
  <si>
    <t xml:space="preserve">    US Corporate Bonds</t>
  </si>
  <si>
    <t xml:space="preserve">    US High Yield</t>
  </si>
  <si>
    <t xml:space="preserve">    EM External Debt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</si>
  <si>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</si>
  <si>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</si>
  <si>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</si>
  <si>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</si>
  <si>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</si>
  <si>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</si>
  <si>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</si>
  <si>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</si>
  <si>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</si>
  <si>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</si>
  <si>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</si>
  <si>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</si>
  <si>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</si>
  <si>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</si>
  <si>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</si>
  <si>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</si>
  <si>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</si>
  <si>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</si>
  <si>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</si>
  <si>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</si>
  <si>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</si>
  <si>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</si>
  <si>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</si>
  <si>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</si>
  <si>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</si>
  <si>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</si>
  <si>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</si>
  <si>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</si>
  <si>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 xml:space="preserve">  Oil Embargo (Jan</t>
  </si>
  <si>
    <t>US Dollar Debt</t>
  </si>
  <si>
    <t>US Dollar Short Duration Debt</t>
  </si>
  <si>
    <t>US Corporate Bonds</t>
  </si>
  <si>
    <t>US High Yield</t>
  </si>
  <si>
    <t>EM External Debt</t>
  </si>
  <si>
    <t>Global Equities (ACWI)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</si>
  <si>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</si>
  <si>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</si>
  <si>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</si>
  <si>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</si>
  <si>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</si>
  <si>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</si>
  <si>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</si>
  <si>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</si>
  <si>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Global REITs</t>
  </si>
  <si>
    <t>Infrastructure Equity</t>
  </si>
  <si>
    <t>Event Driven</t>
  </si>
  <si>
    <t>Equity Long/Short</t>
  </si>
  <si>
    <t>Tactical Trading</t>
  </si>
  <si>
    <t>Buyout</t>
  </si>
  <si>
    <t>Growth</t>
  </si>
  <si>
    <t>Venture</t>
  </si>
  <si>
    <t>Private Credit</t>
  </si>
  <si>
    <t>Core Real Estate</t>
  </si>
  <si>
    <t>Infrastructure</t>
  </si>
  <si>
    <t>US Equity</t>
  </si>
  <si>
    <t>EUR</t>
  </si>
  <si>
    <t>GBP</t>
  </si>
  <si>
    <t>JPY</t>
  </si>
  <si>
    <t>EM</t>
  </si>
  <si>
    <t>Scenario</t>
  </si>
  <si>
    <t>Total</t>
  </si>
  <si>
    <t>Equity</t>
  </si>
  <si>
    <t>Term</t>
  </si>
  <si>
    <t>Leverage</t>
  </si>
  <si>
    <t>Liquidity</t>
  </si>
  <si>
    <t>Carry</t>
  </si>
  <si>
    <t>Emerging Market</t>
  </si>
  <si>
    <t>Momentum</t>
  </si>
  <si>
    <t>Size</t>
  </si>
  <si>
    <t>Value</t>
  </si>
  <si>
    <t>Commodities</t>
  </si>
  <si>
    <t>quintile</t>
  </si>
  <si>
    <t>I</t>
  </si>
  <si>
    <t>V</t>
  </si>
  <si>
    <t>SAA_1.0%</t>
  </si>
  <si>
    <t>SAA_1.5%</t>
  </si>
  <si>
    <t>SAA_1.9999999999999998%</t>
  </si>
  <si>
    <t>SAA_2.5%</t>
  </si>
  <si>
    <t>SAA_3.0%</t>
  </si>
  <si>
    <t>SAA_3.4999999999999996%</t>
  </si>
  <si>
    <t>SAA_3.9999999999999996%</t>
  </si>
  <si>
    <t>SAA_4.5%</t>
  </si>
  <si>
    <t>SAA_5.0%</t>
  </si>
  <si>
    <t>SAA_5.499999999999999%</t>
  </si>
  <si>
    <t>SAA_6.0%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</si>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</sst>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>
    <font>
      <sz val="11"/>
      <color theme="1"/>
      <name val="Calibri"/>
      <family val="2"/>
      <scheme val="minor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2" fillId="2" borderId="3" xfId="0" applyFont="1" applyFill="1" applyBorder="1"/>
    <xf numFmtId="164" fontId="2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center"/>
    </xf>
    <xf numFmtId="164" fontId="5" fillId="2" borderId="3" xfId="0" applyNumberFormat="1" applyFont="1" applyFill="1" applyBorder="1" applyAlignment="1">
      <alignment horizontal="left"/>
    </xf>
    <xf numFmtId="2" fontId="2" fillId="2" borderId="3" xfId="0" applyNumberFormat="1" applyFont="1" applyFill="1" applyBorder="1" applyAlignment="1">
      <alignment horizontal="center"/>
    </xf>
    <xf numFmtId="9" fontId="2" fillId="2" borderId="3" xfId="0" applyNumberFormat="1" applyFont="1" applyFill="1" applyBorder="1" applyAlignment="1">
      <alignment horizontal="center"/>
    </xf>
    <xf numFmtId="17" fontId="2" fillId="2" borderId="3" xfId="0" applyNumberFormat="1" applyFont="1" applyFill="1" applyBorder="1" applyAlignment="1">
      <alignment horizontal="center"/>
    </xf>
    <xf numFmtId="0" fontId="1" fillId="2" borderId="2" xfId="0" applyFont="1" applyFill="1" applyBorder="1"/>
    <xf numFmtId="164" fontId="3" fillId="2" borderId="2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center"/>
    </xf>
    <xf numFmtId="9" fontId="1" fillId="2" borderId="2" xfId="0" applyNumberFormat="1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 indent="4"/>
    </xf>
    <xf numFmtId="0" fontId="6" fillId="3" borderId="1" xfId="0" applyFont="1" applyFill="1" applyBorder="1" applyAlignment="1">
      <alignment horizontal="left" vertical="center"/>
    </xf>
    <xf numFmtId="165" fontId="6" fillId="3" borderId="1" xfId="0" applyNumberFormat="1" applyFont="1" applyFill="1" applyBorder="1" applyAlignment="1">
      <alignment horizontal="right" vertical="center" indent="4"/>
    </xf>
    <xf numFmtId="0" fontId="6" fillId="3" borderId="6" xfId="0" applyFont="1" applyFill="1" applyBorder="1"/>
    <xf numFmtId="164" fontId="6" fillId="3" borderId="6" xfId="0" applyNumberFormat="1" applyFont="1" applyFill="1" applyBorder="1" applyAlignment="1">
      <alignment horizontal="right" indent="4"/>
    </xf>
    <xf numFmtId="0" fontId="7" fillId="3" borderId="1" xfId="0" applyFont="1" applyFill="1" applyBorder="1"/>
    <xf numFmtId="164" fontId="8" fillId="5" borderId="1" xfId="0" applyNumberFormat="1" applyFont="1" applyFill="1" applyBorder="1" applyAlignment="1">
      <alignment vertical="center"/>
    </xf>
    <xf numFmtId="164" fontId="8" fillId="5" borderId="1" xfId="0" applyNumberFormat="1" applyFont="1" applyFill="1" applyBorder="1" applyAlignment="1">
      <alignment horizontal="right" vertical="center" indent="4"/>
    </xf>
    <xf numFmtId="2" fontId="8" fillId="5" borderId="1" xfId="0" applyNumberFormat="1" applyFont="1" applyFill="1" applyBorder="1" applyAlignment="1">
      <alignment horizontal="right" vertical="center" indent="4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10" fillId="2" borderId="1" xfId="0" applyFont="1" applyFill="1" applyBorder="1"/>
    <xf numFmtId="164" fontId="10" fillId="2" borderId="1" xfId="0" applyNumberFormat="1" applyFont="1" applyFill="1" applyBorder="1" applyAlignment="1">
      <alignment horizontal="center"/>
    </xf>
    <xf numFmtId="0" fontId="10" fillId="2" borderId="8" xfId="0" applyFont="1" applyFill="1" applyBorder="1"/>
    <xf numFmtId="0" fontId="11" fillId="2" borderId="7" xfId="0" applyFont="1" applyFill="1" applyBorder="1"/>
    <xf numFmtId="0" fontId="10" fillId="2" borderId="7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indent="1"/>
    </xf>
    <xf numFmtId="0" fontId="0" fillId="0" borderId="0" xfId="0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0" fillId="7" borderId="0" xfId="0" applyFill="1"/>
    <xf numFmtId="164" fontId="0" fillId="0" borderId="0" xfId="1" applyNumberFormat="1" applyFont="1"/>
    <xf numFmtId="9" fontId="0" fillId="7" borderId="0" xfId="1" applyFont="1" applyFill="1" applyAlignment="1">
      <alignment horizontal="center"/>
    </xf>
    <xf numFmtId="164" fontId="0" fillId="7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10" fontId="0" fillId="7" borderId="0" xfId="1" applyNumberFormat="1" applyFont="1" applyFill="1"/>
    <xf numFmtId="10" fontId="0" fillId="0" borderId="0" xfId="1" applyNumberFormat="1" applyFont="1" applyAlignment="1">
      <alignment horizontal="center"/>
    </xf>
    <xf numFmtId="164" fontId="0" fillId="7" borderId="0" xfId="0" applyNumberFormat="1" applyFill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0" fontId="0" fillId="0" borderId="0" xfId="0"/>
    <xf numFmtId="164" fontId="10" fillId="2" borderId="8" xfId="0" applyNumberFormat="1" applyFont="1" applyFill="1" applyBorder="1" applyAlignment="1">
      <alignment horizontal="center"/>
    </xf>
    <xf numFmtId="0" fontId="0" fillId="0" borderId="9" xfId="0" applyBorder="1"/>
    <xf numFmtId="2" fontId="10" fillId="2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0" fillId="0" borderId="4" xfId="0" applyBorder="1"/>
    <xf numFmtId="0" fontId="1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501228346456691"/>
          <c:y val="4.1509433962264149E-2"/>
          <c:w val="0.66847433070866147"/>
          <c:h val="0.870949933145149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Decomposition'!$A$2:$A$23</c:f>
              <c:strCache>
                <c:ptCount val="19"/>
                <c:pt idx="0">
                  <c:v>US Dollar Debt</c:v>
                </c:pt>
                <c:pt idx="1">
                  <c:v>US High Yield</c:v>
                </c:pt>
                <c:pt idx="2">
                  <c:v>US Equity</c:v>
                </c:pt>
                <c:pt idx="3">
                  <c:v>Europe ex-UK Equity</c:v>
                </c:pt>
                <c:pt idx="4">
                  <c:v>UK Equity</c:v>
                </c:pt>
                <c:pt idx="5">
                  <c:v>Japanese Equity</c:v>
                </c:pt>
                <c:pt idx="6">
                  <c:v>Asia-Pacific Equity</c:v>
                </c:pt>
                <c:pt idx="7">
                  <c:v>Emerging Market Equity</c:v>
                </c:pt>
                <c:pt idx="8">
                  <c:v>Global REITs</c:v>
                </c:pt>
                <c:pt idx="9">
                  <c:v>Infrastructure Equity</c:v>
                </c:pt>
                <c:pt idx="10">
                  <c:v>Event Driven</c:v>
                </c:pt>
                <c:pt idx="11">
                  <c:v>Equity Long/Short</c:v>
                </c:pt>
                <c:pt idx="12">
                  <c:v>Tactical Trading</c:v>
                </c:pt>
                <c:pt idx="13">
                  <c:v>Buyout</c:v>
                </c:pt>
                <c:pt idx="14">
                  <c:v>Growth</c:v>
                </c:pt>
                <c:pt idx="15">
                  <c:v>Venture</c:v>
                </c:pt>
                <c:pt idx="16">
                  <c:v>Private Credit</c:v>
                </c:pt>
                <c:pt idx="17">
                  <c:v>Core Real Estate</c:v>
                </c:pt>
                <c:pt idx="18">
                  <c:v>Infrastructure</c:v>
                </c:pt>
              </c:strCache>
            </c:strRef>
          </c:cat>
          <c:val>
            <c:numRef>
              <c:f>'Risk Decomposition'!$B$2:$B$23</c:f>
              <c:numCache>
                <c:formatCode>0%</c:formatCode>
                <c:ptCount val="19"/>
                <c:pt idx="0">
                  <c:v>8.6024742893045791E-3</c:v>
                </c:pt>
                <c:pt idx="1">
                  <c:v>3.2801500345226997E-2</c:v>
                </c:pt>
                <c:pt idx="2">
                  <c:v>0.4582721463401897</c:v>
                </c:pt>
                <c:pt idx="3">
                  <c:v>7.3157780722153398E-2</c:v>
                </c:pt>
                <c:pt idx="4">
                  <c:v>1.87236840825202E-2</c:v>
                </c:pt>
                <c:pt idx="5">
                  <c:v>2.97933991652987E-2</c:v>
                </c:pt>
                <c:pt idx="6">
                  <c:v>1.54976214370223E-2</c:v>
                </c:pt>
                <c:pt idx="7">
                  <c:v>1.97275781635846E-2</c:v>
                </c:pt>
                <c:pt idx="8">
                  <c:v>1.01151456589024E-2</c:v>
                </c:pt>
                <c:pt idx="9">
                  <c:v>1.17981976649371E-2</c:v>
                </c:pt>
                <c:pt idx="10">
                  <c:v>5.1275847854916597E-3</c:v>
                </c:pt>
                <c:pt idx="11">
                  <c:v>1.5793800933559501E-2</c:v>
                </c:pt>
                <c:pt idx="12">
                  <c:v>3.4977493858902998E-3</c:v>
                </c:pt>
                <c:pt idx="13">
                  <c:v>0.15256482789336701</c:v>
                </c:pt>
                <c:pt idx="14">
                  <c:v>5.3093620137906E-2</c:v>
                </c:pt>
                <c:pt idx="15">
                  <c:v>1.5460685206523699E-2</c:v>
                </c:pt>
                <c:pt idx="16">
                  <c:v>3.23569923114434E-2</c:v>
                </c:pt>
                <c:pt idx="17">
                  <c:v>2.0805473063830501E-2</c:v>
                </c:pt>
                <c:pt idx="18">
                  <c:v>2.28097384128455E-2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3-604E-9E23-0F8C64E21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241575423"/>
        <c:axId val="241577183"/>
      </c:barChart>
      <c:catAx>
        <c:axId val="241575423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77183"/>
        <c:crosses val="autoZero"/>
        <c:auto val="1"/>
        <c:lblAlgn val="ctr"/>
        <c:lblOffset val="100"/>
        <c:noMultiLvlLbl val="0"/>
      </c:catAx>
      <c:valAx>
        <c:axId val="24157718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7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Decomposition'!$A$41:$A$45</c:f>
              <c:strCache>
                <c:ptCount val="5"/>
                <c:pt idx="0">
                  <c:v>EUR</c:v>
                </c:pt>
                <c:pt idx="1">
                  <c:v>GBP</c:v>
                </c:pt>
                <c:pt idx="2">
                  <c:v>JPY</c:v>
                </c:pt>
                <c:pt idx="3">
                  <c:v>Asia-Pacific Equity</c:v>
                </c:pt>
                <c:pt idx="4">
                  <c:v>EM</c:v>
                </c:pt>
              </c:strCache>
            </c:strRef>
          </c:cat>
          <c:val>
            <c:numRef>
              <c:f>'Risk Decomposition'!$B$41:$B$45</c:f>
              <c:numCache>
                <c:formatCode>0.0%</c:formatCode>
                <c:ptCount val="5"/>
                <c:pt idx="0">
                  <c:v>1.9086594707416901E-2</c:v>
                </c:pt>
                <c:pt idx="1">
                  <c:v>6.6725975927464697E-3</c:v>
                </c:pt>
                <c:pt idx="2">
                  <c:v>3.5395217114644602E-3</c:v>
                </c:pt>
                <c:pt idx="3">
                  <c:v>8.3038021272114002E-3</c:v>
                </c:pt>
                <c:pt idx="4">
                  <c:v>5.8650377463103599E-3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0-244E-8927-BAB34FA0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2838607"/>
        <c:axId val="463133311"/>
      </c:barChart>
      <c:catAx>
        <c:axId val="36283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33311"/>
        <c:crosses val="autoZero"/>
        <c:auto val="1"/>
        <c:lblAlgn val="ctr"/>
        <c:lblOffset val="100"/>
        <c:noMultiLvlLbl val="0"/>
      </c:catAx>
      <c:valAx>
        <c:axId val="46313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83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501228346456691"/>
          <c:y val="4.1509433962264149E-2"/>
          <c:w val="0.66847433070866147"/>
          <c:h val="0.870949933145149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'Risk Decomposition'!$A$41:$A$45</c:f>
              <c:strCache>
                <c:ptCount val="5"/>
                <c:pt idx="0">
                  <c:v>EUR</c:v>
                </c:pt>
                <c:pt idx="1">
                  <c:v>GBP</c:v>
                </c:pt>
                <c:pt idx="2">
                  <c:v>JPY</c:v>
                </c:pt>
                <c:pt idx="3">
                  <c:v>Asia-Pacific Equity</c:v>
                </c:pt>
                <c:pt idx="4">
                  <c:v>EM</c:v>
                </c:pt>
              </c:strCache>
            </c:strRef>
          </c:cat>
          <c:val>
            <c:numRef>
              <c:f>'Risk Decomposition'!$B$41:$B$45</c:f>
              <c:numCache>
                <c:formatCode>0.0%</c:formatCode>
                <c:ptCount val="5"/>
                <c:pt idx="0">
                  <c:v>1.9086594707416901E-2</c:v>
                </c:pt>
                <c:pt idx="1">
                  <c:v>6.6725975927464697E-3</c:v>
                </c:pt>
                <c:pt idx="2">
                  <c:v>3.5395217114644602E-3</c:v>
                </c:pt>
                <c:pt idx="3">
                  <c:v>8.3038021272114002E-3</c:v>
                </c:pt>
                <c:pt idx="4">
                  <c:v>5.8650377463103599E-3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B-2D49-ADD7-7782DEB6F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241575423"/>
        <c:axId val="241577183"/>
      </c:barChart>
      <c:catAx>
        <c:axId val="241575423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77183"/>
        <c:crosses val="autoZero"/>
        <c:auto val="1"/>
        <c:lblAlgn val="ctr"/>
        <c:lblOffset val="100"/>
        <c:noMultiLvlLbl val="0"/>
      </c:catAx>
      <c:valAx>
        <c:axId val="241577183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7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344231841796694E-2"/>
          <c:y val="5.011389521640091E-2"/>
          <c:w val="0.92331153631640661"/>
          <c:h val="0.7940853406991551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'Currency Hedging'!$B$3:$B$6</c:f>
              <c:numCache>
                <c:formatCode>0%</c:formatCode>
                <c:ptCount val="4"/>
                <c:pt idx="0">
                  <c:v>0</c:v>
                </c:pt>
                <c:pt idx="1">
                  <c:v>0.5</c:v>
                </c:pt>
                <c:pt idx="2">
                  <c:v>0.7</c:v>
                </c:pt>
                <c:pt idx="3">
                  <c:v>1</c:v>
                </c:pt>
              </c:numCache>
            </c:numRef>
          </c:cat>
          <c:val>
            <c:numRef>
              <c:f>'Currency Hedging'!$C$3:$C$6</c:f>
              <c:numCache>
                <c:formatCode>0.0%</c:formatCode>
                <c:ptCount val="4"/>
                <c:pt idx="0">
                  <c:v>7.61400749455894E-2</c:v>
                </c:pt>
                <c:pt idx="1">
                  <c:v>7.5265245665851105E-2</c:v>
                </c:pt>
                <c:pt idx="2">
                  <c:v>7.4936639097747296E-2</c:v>
                </c:pt>
                <c:pt idx="3">
                  <c:v>7.4466879106657904E-2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5-7441-A571-7AFCA3350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3"/>
        <c:overlap val="-27"/>
        <c:axId val="1996417584"/>
        <c:axId val="1997040144"/>
      </c:barChart>
      <c:catAx>
        <c:axId val="199641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Portfolio Currency</a:t>
                </a:r>
                <a:r>
                  <a:rPr lang="en-GB" baseline="0">
                    <a:solidFill>
                      <a:schemeClr val="tx1"/>
                    </a:solidFill>
                  </a:rPr>
                  <a:t> Hegding Level</a:t>
                </a:r>
                <a:endParaRPr lang="en-GB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040144"/>
        <c:crosses val="autoZero"/>
        <c:auto val="1"/>
        <c:lblAlgn val="ctr"/>
        <c:lblOffset val="100"/>
        <c:noMultiLvlLbl val="0"/>
      </c:catAx>
      <c:valAx>
        <c:axId val="199704014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9964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A8-A74E-84E7-4EB97EBC8113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BA8-A74E-84E7-4EB97EBC8113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A8-A74E-84E7-4EB97EBC8113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A8-A74E-84E7-4EB97EBC811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A8-A74E-84E7-4EB97EBC811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'Risk Premias'!$B$2:$B$8</c:f>
              <c:strCache>
                <c:ptCount val="7"/>
                <c:pt idx="0">
                  <c:v>Total</c:v>
                </c:pt>
                <c:pt idx="1">
                  <c:v>Emerging Market</c:v>
                </c:pt>
                <c:pt idx="2">
                  <c:v>Carry</c:v>
                </c:pt>
                <c:pt idx="3">
                  <c:v>Liquidity</c:v>
                </c:pt>
                <c:pt idx="4">
                  <c:v>Leverage</c:v>
                </c:pt>
                <c:pt idx="5">
                  <c:v>Term</c:v>
                </c:pt>
                <c:pt idx="6">
                  <c:v>Equity</c:v>
                </c:pt>
              </c:strCache>
            </c:strRef>
          </c:cat>
          <c:val>
            <c:numRef>
              <c:f>'Risk Premias'!$C$2:$C$8</c:f>
              <c:numCache>
                <c:formatCode>0.0%</c:formatCode>
                <c:ptCount val="7"/>
                <c:pt idx="0">
                  <c:v>3.9323104932666136E-2</c:v>
                </c:pt>
                <c:pt idx="1">
                  <c:v>7.0898094817600603E-4</c:v>
                </c:pt>
                <c:pt idx="2">
                  <c:v>-7.31425731588811E-5</c:v>
                </c:pt>
                <c:pt idx="3">
                  <c:v>5.2595580514326603E-3</c:v>
                </c:pt>
                <c:pt idx="4">
                  <c:v>3.2283957050202399E-3</c:v>
                </c:pt>
                <c:pt idx="5">
                  <c:v>5.9454343476038098E-3</c:v>
                </c:pt>
                <c:pt idx="6">
                  <c:v>2.4253878453592299E-2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8-A74E-84E7-4EB97EBC8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overlap val="-2"/>
        <c:axId val="1996777520"/>
        <c:axId val="1997081584"/>
      </c:barChart>
      <c:catAx>
        <c:axId val="1996777520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081584"/>
        <c:crosses val="autoZero"/>
        <c:auto val="1"/>
        <c:lblAlgn val="ctr"/>
        <c:lblOffset val="100"/>
        <c:noMultiLvlLbl val="0"/>
      </c:catAx>
      <c:valAx>
        <c:axId val="1997081584"/>
        <c:scaling>
          <c:orientation val="minMax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99677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0" i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46-554A-A393-A15A98C9E6CD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46-554A-A393-A15A98C9E6CD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46-554A-A393-A15A98C9E6CD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46-554A-A393-A15A98C9E6CD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546-554A-A393-A15A98C9E6CD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'Risk Premias'!$B$32:$B$41</c:f>
              <c:strCache>
                <c:ptCount val="10"/>
                <c:pt idx="0">
                  <c:v>Commodities</c:v>
                </c:pt>
                <c:pt idx="1">
                  <c:v>Value</c:v>
                </c:pt>
                <c:pt idx="2">
                  <c:v>Size</c:v>
                </c:pt>
                <c:pt idx="3">
                  <c:v>Momentum</c:v>
                </c:pt>
                <c:pt idx="4">
                  <c:v>Emerging Market</c:v>
                </c:pt>
                <c:pt idx="5">
                  <c:v>Carry</c:v>
                </c:pt>
                <c:pt idx="6">
                  <c:v>Liquidity</c:v>
                </c:pt>
                <c:pt idx="7">
                  <c:v>Leverage</c:v>
                </c:pt>
                <c:pt idx="8">
                  <c:v>Term</c:v>
                </c:pt>
                <c:pt idx="9">
                  <c:v>Equity</c:v>
                </c:pt>
              </c:strCache>
            </c:strRef>
          </c:cat>
          <c:val>
            <c:numRef>
              <c:f>'Risk Premias'!$C$32:$C$41</c:f>
              <c:numCache>
                <c:formatCode>0.00%</c:formatCode>
                <c:ptCount val="10"/>
                <c:pt idx="0">
                  <c:v>4.7471589022936803E-3</c:v>
                </c:pt>
                <c:pt idx="1">
                  <c:v>-1.8207881955470001E-3</c:v>
                </c:pt>
                <c:pt idx="2">
                  <c:v>2.33677370351318E-2</c:v>
                </c:pt>
                <c:pt idx="3">
                  <c:v>8.3822687238124197E-3</c:v>
                </c:pt>
                <c:pt idx="4">
                  <c:v>3.4695735122553702E-3</c:v>
                </c:pt>
                <c:pt idx="5">
                  <c:v>7.3740406688289203E-3</c:v>
                </c:pt>
                <c:pt idx="6">
                  <c:v>3.71489102775132E-2</c:v>
                </c:pt>
                <c:pt idx="7">
                  <c:v>8.8779764457821205E-3</c:v>
                </c:pt>
                <c:pt idx="8">
                  <c:v>1.43061710110607E-2</c:v>
                </c:pt>
                <c:pt idx="9">
                  <c:v>0.85138064675577596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46-554A-A393-A15A98C9E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8"/>
        <c:overlap val="-2"/>
        <c:axId val="1996777520"/>
        <c:axId val="1997081584"/>
      </c:barChart>
      <c:catAx>
        <c:axId val="1996777520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7081584"/>
        <c:crosses val="autoZero"/>
        <c:auto val="1"/>
        <c:lblAlgn val="ctr"/>
        <c:lblOffset val="100"/>
        <c:noMultiLvlLbl val="0"/>
      </c:catAx>
      <c:valAx>
        <c:axId val="1997081584"/>
        <c:scaling>
          <c:orientation val="minMax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99677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50" b="0" i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ws_Reference!$J$2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D-EB44-951F-A6AD604E873A}"/>
            </c:ext>
          </c:extLst>
        </c:ser>
        <c:ser>
          <c:idx val="1"/>
          <c:order val="1"/>
          <c:tx>
            <c:strRef>
              <c:f>ws_Reference!$K$2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AD-EB44-951F-A6AD604E873A}"/>
            </c:ext>
          </c:extLst>
        </c:ser>
        <c:ser>
          <c:idx val="2"/>
          <c:order val="2"/>
          <c:tx>
            <c:strRef>
              <c:f>ws_Reference!$L$2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D-EB44-951F-A6AD604E873A}"/>
            </c:ext>
          </c:extLst>
        </c:ser>
        <c:ser>
          <c:idx val="3"/>
          <c:order val="3"/>
          <c:tx>
            <c:strRef>
              <c:f>ws_Reference!$M$2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AD-EB44-951F-A6AD604E8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ws_Reference!$B$2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88.2174050769856</c:v>
                </c:pt>
                <c:pt idx="2">
                  <c:v>89.118238358816328</c:v>
                </c:pt>
                <c:pt idx="3">
                  <c:v>90.296735382107997</c:v>
                </c:pt>
                <c:pt idx="4">
                  <c:v>90.454865977112149</c:v>
                </c:pt>
                <c:pt idx="5">
                  <c:v>91.7029342929264</c:v>
                </c:pt>
                <c:pt idx="6">
                  <c:v>92.84035577732547</c:v>
                </c:pt>
                <c:pt idx="7">
                  <c:v>92.500511116430772</c:v>
                </c:pt>
                <c:pt idx="8">
                  <c:v>92.948268404197108</c:v>
                </c:pt>
                <c:pt idx="9">
                  <c:v>93.386123052371261</c:v>
                </c:pt>
                <c:pt idx="10">
                  <c:v>94.074150064176933</c:v>
                </c:pt>
                <c:pt idx="11">
                  <c:v>95.60169978087842</c:v>
                </c:pt>
                <c:pt idx="12">
                  <c:v>95.881325755652469</c:v>
                </c:pt>
                <c:pt idx="13">
                  <c:v>97.453374561399102</c:v>
                </c:pt>
                <c:pt idx="14">
                  <c:v>98.060629723144018</c:v>
                </c:pt>
                <c:pt idx="15">
                  <c:v>99.802218760851588</c:v>
                </c:pt>
                <c:pt idx="16">
                  <c:v>102.7664232968866</c:v>
                </c:pt>
                <c:pt idx="17">
                  <c:v>104.4641670546396</c:v>
                </c:pt>
                <c:pt idx="18">
                  <c:v>107.0214218098895</c:v>
                </c:pt>
                <c:pt idx="19">
                  <c:v>109.3562189603401</c:v>
                </c:pt>
                <c:pt idx="20">
                  <c:v>111.54017478248301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1-E747-94DF-1B84F4CD9A45}"/>
            </c:ext>
          </c:extLst>
        </c:ser>
        <c:ser>
          <c:idx val="1"/>
          <c:order val="1"/>
          <c:tx>
            <c:strRef>
              <c:f>ws_Reference!$C$2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96.643229829447094</c:v>
                </c:pt>
                <c:pt idx="2">
                  <c:v>99.042741456065443</c:v>
                </c:pt>
                <c:pt idx="3">
                  <c:v>102.71005713397081</c:v>
                </c:pt>
                <c:pt idx="4">
                  <c:v>106.13635375689741</c:v>
                </c:pt>
                <c:pt idx="5">
                  <c:v>110.3027104280785</c:v>
                </c:pt>
                <c:pt idx="6">
                  <c:v>114.4846233445558</c:v>
                </c:pt>
                <c:pt idx="7">
                  <c:v>117.9424017972182</c:v>
                </c:pt>
                <c:pt idx="8">
                  <c:v>121.2862367428235</c:v>
                </c:pt>
                <c:pt idx="9">
                  <c:v>124.6702642108003</c:v>
                </c:pt>
                <c:pt idx="10">
                  <c:v>128.429164098754</c:v>
                </c:pt>
                <c:pt idx="11">
                  <c:v>132.21919485533309</c:v>
                </c:pt>
                <c:pt idx="12">
                  <c:v>135.84859540113769</c:v>
                </c:pt>
                <c:pt idx="13">
                  <c:v>139.57859768609879</c:v>
                </c:pt>
                <c:pt idx="14">
                  <c:v>144.84471911833509</c:v>
                </c:pt>
                <c:pt idx="15">
                  <c:v>149.1586794943758</c:v>
                </c:pt>
                <c:pt idx="16">
                  <c:v>154.17279395903481</c:v>
                </c:pt>
                <c:pt idx="17">
                  <c:v>159.52322263202791</c:v>
                </c:pt>
                <c:pt idx="18">
                  <c:v>165.06167887872101</c:v>
                </c:pt>
                <c:pt idx="19">
                  <c:v>170.11962707516449</c:v>
                </c:pt>
                <c:pt idx="20">
                  <c:v>176.31985076003551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1-E747-94DF-1B84F4CD9A45}"/>
            </c:ext>
          </c:extLst>
        </c:ser>
        <c:ser>
          <c:idx val="2"/>
          <c:order val="2"/>
          <c:tx>
            <c:strRef>
              <c:f>ws_Reference!$D$2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107.2964246392673</c:v>
                </c:pt>
                <c:pt idx="2">
                  <c:v>113.7138018902814</c:v>
                </c:pt>
                <c:pt idx="3">
                  <c:v>120.26903593377649</c:v>
                </c:pt>
                <c:pt idx="4">
                  <c:v>127.9854010950353</c:v>
                </c:pt>
                <c:pt idx="5">
                  <c:v>136.3763430569168</c:v>
                </c:pt>
                <c:pt idx="6">
                  <c:v>144.99552644687711</c:v>
                </c:pt>
                <c:pt idx="7">
                  <c:v>153.97465830705951</c:v>
                </c:pt>
                <c:pt idx="8">
                  <c:v>162.42977116175831</c:v>
                </c:pt>
                <c:pt idx="9">
                  <c:v>171.63207254495529</c:v>
                </c:pt>
                <c:pt idx="10">
                  <c:v>180.52228230756191</c:v>
                </c:pt>
                <c:pt idx="11">
                  <c:v>190.33769459995139</c:v>
                </c:pt>
                <c:pt idx="12">
                  <c:v>200.03641835794909</c:v>
                </c:pt>
                <c:pt idx="13">
                  <c:v>210.30699708041709</c:v>
                </c:pt>
                <c:pt idx="14">
                  <c:v>221.33505062412209</c:v>
                </c:pt>
                <c:pt idx="15">
                  <c:v>232.53450843709851</c:v>
                </c:pt>
                <c:pt idx="16">
                  <c:v>244.89506125768489</c:v>
                </c:pt>
                <c:pt idx="17">
                  <c:v>257.31929415272668</c:v>
                </c:pt>
                <c:pt idx="18">
                  <c:v>270.40073261624838</c:v>
                </c:pt>
                <c:pt idx="19">
                  <c:v>284.41271952023618</c:v>
                </c:pt>
                <c:pt idx="20">
                  <c:v>298.96127257995357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1-E747-94DF-1B84F4CD9A45}"/>
            </c:ext>
          </c:extLst>
        </c:ser>
        <c:ser>
          <c:idx val="3"/>
          <c:order val="3"/>
          <c:tx>
            <c:strRef>
              <c:f>ws_Reference!$E$2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116.68188018607491</c:v>
                </c:pt>
                <c:pt idx="2">
                  <c:v>128.2969269465986</c:v>
                </c:pt>
                <c:pt idx="3">
                  <c:v>139.57686569222281</c:v>
                </c:pt>
                <c:pt idx="4">
                  <c:v>152.61243605969449</c:v>
                </c:pt>
                <c:pt idx="5">
                  <c:v>166.73553878383319</c:v>
                </c:pt>
                <c:pt idx="6">
                  <c:v>180.781561115089</c:v>
                </c:pt>
                <c:pt idx="7">
                  <c:v>195.94827233980519</c:v>
                </c:pt>
                <c:pt idx="8">
                  <c:v>211.86323826890089</c:v>
                </c:pt>
                <c:pt idx="9">
                  <c:v>227.52902550619831</c:v>
                </c:pt>
                <c:pt idx="10">
                  <c:v>245.41104784531481</c:v>
                </c:pt>
                <c:pt idx="11">
                  <c:v>264.23009689094511</c:v>
                </c:pt>
                <c:pt idx="12">
                  <c:v>284.23676018092408</c:v>
                </c:pt>
                <c:pt idx="13">
                  <c:v>306.13945710920348</c:v>
                </c:pt>
                <c:pt idx="14">
                  <c:v>329.98553034777711</c:v>
                </c:pt>
                <c:pt idx="15">
                  <c:v>352.49302483495859</c:v>
                </c:pt>
                <c:pt idx="16">
                  <c:v>378.66287041779231</c:v>
                </c:pt>
                <c:pt idx="17">
                  <c:v>405.29930439318491</c:v>
                </c:pt>
                <c:pt idx="18">
                  <c:v>434.27986758089202</c:v>
                </c:pt>
                <c:pt idx="19">
                  <c:v>464.83341279575939</c:v>
                </c:pt>
                <c:pt idx="20">
                  <c:v>495.60217889344011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1-E747-94DF-1B84F4CD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ws_Reference!$F$2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85.297094479562233</c:v>
                </c:pt>
                <c:pt idx="2">
                  <c:v>84.250509446063276</c:v>
                </c:pt>
                <c:pt idx="3">
                  <c:v>83.236741104549338</c:v>
                </c:pt>
                <c:pt idx="4">
                  <c:v>81.988513803383015</c:v>
                </c:pt>
                <c:pt idx="5">
                  <c:v>81.321928429427658</c:v>
                </c:pt>
                <c:pt idx="6">
                  <c:v>80.824223942398831</c:v>
                </c:pt>
                <c:pt idx="7">
                  <c:v>79.194730109391983</c:v>
                </c:pt>
                <c:pt idx="8">
                  <c:v>78.714076840192405</c:v>
                </c:pt>
                <c:pt idx="9">
                  <c:v>77.493828136012752</c:v>
                </c:pt>
                <c:pt idx="10">
                  <c:v>76.723238420033596</c:v>
                </c:pt>
                <c:pt idx="11">
                  <c:v>75.881143440209939</c:v>
                </c:pt>
                <c:pt idx="12">
                  <c:v>75.261919805583773</c:v>
                </c:pt>
                <c:pt idx="13">
                  <c:v>74.166327003473725</c:v>
                </c:pt>
                <c:pt idx="14">
                  <c:v>73.601116108779848</c:v>
                </c:pt>
                <c:pt idx="15">
                  <c:v>73.499384899029366</c:v>
                </c:pt>
                <c:pt idx="16">
                  <c:v>73.983149050934344</c:v>
                </c:pt>
                <c:pt idx="17">
                  <c:v>73.583287714227794</c:v>
                </c:pt>
                <c:pt idx="18">
                  <c:v>74.437790166800696</c:v>
                </c:pt>
                <c:pt idx="19">
                  <c:v>75.143063739944935</c:v>
                </c:pt>
                <c:pt idx="20">
                  <c:v>75.070758831041687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B-9E41-8AA6-152372C83534}"/>
            </c:ext>
          </c:extLst>
        </c:ser>
        <c:ser>
          <c:idx val="1"/>
          <c:order val="1"/>
          <c:tx>
            <c:strRef>
              <c:f>ws_Reference!$G$2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94.267873677385452</c:v>
                </c:pt>
                <c:pt idx="2">
                  <c:v>94.173901289540055</c:v>
                </c:pt>
                <c:pt idx="3">
                  <c:v>95.58795265688002</c:v>
                </c:pt>
                <c:pt idx="4">
                  <c:v>96.719226127511462</c:v>
                </c:pt>
                <c:pt idx="5">
                  <c:v>98.126897562908738</c:v>
                </c:pt>
                <c:pt idx="6">
                  <c:v>99.735599005587716</c:v>
                </c:pt>
                <c:pt idx="7">
                  <c:v>100.6528690481136</c:v>
                </c:pt>
                <c:pt idx="8">
                  <c:v>101.52530904027201</c:v>
                </c:pt>
                <c:pt idx="9">
                  <c:v>102.4317546701417</c:v>
                </c:pt>
                <c:pt idx="10">
                  <c:v>103.41849125974311</c:v>
                </c:pt>
                <c:pt idx="11">
                  <c:v>104.3149115674546</c:v>
                </c:pt>
                <c:pt idx="12">
                  <c:v>105.38207940625171</c:v>
                </c:pt>
                <c:pt idx="13">
                  <c:v>106.4444385762403</c:v>
                </c:pt>
                <c:pt idx="14">
                  <c:v>107.851389299069</c:v>
                </c:pt>
                <c:pt idx="15">
                  <c:v>109.0781601963884</c:v>
                </c:pt>
                <c:pt idx="16">
                  <c:v>110.383001914741</c:v>
                </c:pt>
                <c:pt idx="17">
                  <c:v>112.1028856417912</c:v>
                </c:pt>
                <c:pt idx="18">
                  <c:v>113.64785768543859</c:v>
                </c:pt>
                <c:pt idx="19">
                  <c:v>115.658547342688</c:v>
                </c:pt>
                <c:pt idx="20">
                  <c:v>116.7599415104544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7B-9E41-8AA6-152372C83534}"/>
            </c:ext>
          </c:extLst>
        </c:ser>
        <c:ser>
          <c:idx val="2"/>
          <c:order val="2"/>
          <c:tx>
            <c:strRef>
              <c:f>ws_Reference!$H$2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104.929981215805</c:v>
                </c:pt>
                <c:pt idx="2">
                  <c:v>108.69801749537601</c:v>
                </c:pt>
                <c:pt idx="3">
                  <c:v>112.4116556239141</c:v>
                </c:pt>
                <c:pt idx="4">
                  <c:v>117.14477210658509</c:v>
                </c:pt>
                <c:pt idx="5">
                  <c:v>122.1426877990329</c:v>
                </c:pt>
                <c:pt idx="6">
                  <c:v>127.115391079899</c:v>
                </c:pt>
                <c:pt idx="7">
                  <c:v>132.23901382041171</c:v>
                </c:pt>
                <c:pt idx="8">
                  <c:v>136.8573458275408</c:v>
                </c:pt>
                <c:pt idx="9">
                  <c:v>141.7012145123025</c:v>
                </c:pt>
                <c:pt idx="10">
                  <c:v>146.24302050835789</c:v>
                </c:pt>
                <c:pt idx="11">
                  <c:v>150.82933807775871</c:v>
                </c:pt>
                <c:pt idx="12">
                  <c:v>155.60001256273159</c:v>
                </c:pt>
                <c:pt idx="13">
                  <c:v>160.38058416042591</c:v>
                </c:pt>
                <c:pt idx="14">
                  <c:v>165.52678209303389</c:v>
                </c:pt>
                <c:pt idx="15">
                  <c:v>170.54153137641879</c:v>
                </c:pt>
                <c:pt idx="16">
                  <c:v>176.11889293233611</c:v>
                </c:pt>
                <c:pt idx="17">
                  <c:v>181.15978445275809</c:v>
                </c:pt>
                <c:pt idx="18">
                  <c:v>186.74485165298</c:v>
                </c:pt>
                <c:pt idx="19">
                  <c:v>192.75174088113459</c:v>
                </c:pt>
                <c:pt idx="20">
                  <c:v>198.7284557121782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7B-9E41-8AA6-152372C83534}"/>
            </c:ext>
          </c:extLst>
        </c:ser>
        <c:ser>
          <c:idx val="3"/>
          <c:order val="3"/>
          <c:tx>
            <c:strRef>
              <c:f>ws_Reference!$I$2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114.36868313017609</c:v>
                </c:pt>
                <c:pt idx="2">
                  <c:v>123.00062365971461</c:v>
                </c:pt>
                <c:pt idx="3">
                  <c:v>131.03864171126421</c:v>
                </c:pt>
                <c:pt idx="4">
                  <c:v>140.37333710062589</c:v>
                </c:pt>
                <c:pt idx="5">
                  <c:v>149.9351335895081</c:v>
                </c:pt>
                <c:pt idx="6">
                  <c:v>159.35968061677499</c:v>
                </c:pt>
                <c:pt idx="7">
                  <c:v>169.10810964811699</c:v>
                </c:pt>
                <c:pt idx="8">
                  <c:v>179.20167639125569</c:v>
                </c:pt>
                <c:pt idx="9">
                  <c:v>189.29525115681989</c:v>
                </c:pt>
                <c:pt idx="10">
                  <c:v>199.41629288335119</c:v>
                </c:pt>
                <c:pt idx="11">
                  <c:v>211.17047413570131</c:v>
                </c:pt>
                <c:pt idx="12">
                  <c:v>222.05210028540839</c:v>
                </c:pt>
                <c:pt idx="13">
                  <c:v>234.43361752813959</c:v>
                </c:pt>
                <c:pt idx="14">
                  <c:v>247.002092847444</c:v>
                </c:pt>
                <c:pt idx="15">
                  <c:v>258.75352640032008</c:v>
                </c:pt>
                <c:pt idx="16">
                  <c:v>271.99658381601029</c:v>
                </c:pt>
                <c:pt idx="17">
                  <c:v>285.88987493820071</c:v>
                </c:pt>
                <c:pt idx="18">
                  <c:v>298.81605172653451</c:v>
                </c:pt>
                <c:pt idx="19">
                  <c:v>313.74701905117058</c:v>
                </c:pt>
                <c:pt idx="20">
                  <c:v>328.3623095890959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7B-9E41-8AA6-152372C83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ws_Reference!$N$2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4-7E48-B1F6-C9B9CC466777}"/>
            </c:ext>
          </c:extLst>
        </c:ser>
        <c:ser>
          <c:idx val="1"/>
          <c:order val="1"/>
          <c:tx>
            <c:strRef>
              <c:f>ws_Reference!$O$2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4-7E48-B1F6-C9B9CC466777}"/>
            </c:ext>
          </c:extLst>
        </c:ser>
        <c:ser>
          <c:idx val="2"/>
          <c:order val="2"/>
          <c:tx>
            <c:strRef>
              <c:f>ws_Reference!$P$2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D4-7E48-B1F6-C9B9CC466777}"/>
            </c:ext>
          </c:extLst>
        </c:ser>
        <c:ser>
          <c:idx val="3"/>
          <c:order val="3"/>
          <c:tx>
            <c:strRef>
              <c:f>ws_Reference!$Q$2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ws_Reference!$A$3:$A$23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ws_Reference!$Q$3:$Q$23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D4-7E48-B1F6-C9B9CC466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ws_Strategic_Asset_Allocation!$K$2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A-944F-B747-DAF89432791F}"/>
            </c:ext>
          </c:extLst>
        </c:ser>
        <c:ser>
          <c:idx val="1"/>
          <c:order val="1"/>
          <c:tx>
            <c:strRef>
              <c:f>ws_Strategic_Asset_Allocation!$L$2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A-944F-B747-DAF89432791F}"/>
            </c:ext>
          </c:extLst>
        </c:ser>
        <c:ser>
          <c:idx val="2"/>
          <c:order val="2"/>
          <c:tx>
            <c:strRef>
              <c:f>ws_Strategic_Asset_Allocation!$M$2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A-944F-B747-DAF89432791F}"/>
            </c:ext>
          </c:extLst>
        </c:ser>
        <c:ser>
          <c:idx val="3"/>
          <c:order val="3"/>
          <c:tx>
            <c:strRef>
              <c:f>ws_Strategic_Asset_Allocation!$N$2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8A-944F-B747-DAF894327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ws_Strategic_Asset_Allocation!$B$2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89.11357616559873</c:v>
                </c:pt>
                <c:pt idx="2">
                  <c:v>91.60162953348572</c:v>
                </c:pt>
                <c:pt idx="3">
                  <c:v>93.815829158247922</c:v>
                </c:pt>
                <c:pt idx="4">
                  <c:v>94.79355662644069</c:v>
                </c:pt>
                <c:pt idx="5">
                  <c:v>96.786940383185495</c:v>
                </c:pt>
                <c:pt idx="6">
                  <c:v>99.596967260218321</c:v>
                </c:pt>
                <c:pt idx="7">
                  <c:v>100.39224283924069</c:v>
                </c:pt>
                <c:pt idx="8">
                  <c:v>102.0470254834844</c:v>
                </c:pt>
                <c:pt idx="9">
                  <c:v>102.1158985111246</c:v>
                </c:pt>
                <c:pt idx="10">
                  <c:v>104.08395598869581</c:v>
                </c:pt>
                <c:pt idx="11">
                  <c:v>107.0044382754448</c:v>
                </c:pt>
                <c:pt idx="12">
                  <c:v>108.8131712443323</c:v>
                </c:pt>
                <c:pt idx="13">
                  <c:v>111.6787628594856</c:v>
                </c:pt>
                <c:pt idx="14">
                  <c:v>114.1648306006793</c:v>
                </c:pt>
                <c:pt idx="15">
                  <c:v>116.94846470249441</c:v>
                </c:pt>
                <c:pt idx="16">
                  <c:v>120.6895388076103</c:v>
                </c:pt>
                <c:pt idx="17">
                  <c:v>124.5827568264387</c:v>
                </c:pt>
                <c:pt idx="18">
                  <c:v>130.08039162075499</c:v>
                </c:pt>
                <c:pt idx="19">
                  <c:v>135.07466130722719</c:v>
                </c:pt>
                <c:pt idx="20">
                  <c:v>138.38754880809691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8-574A-A0B5-40986D0370DD}"/>
            </c:ext>
          </c:extLst>
        </c:ser>
        <c:ser>
          <c:idx val="1"/>
          <c:order val="1"/>
          <c:tx>
            <c:strRef>
              <c:f>ws_Strategic_Asset_Allocation!$C$2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98.377106810551254</c:v>
                </c:pt>
                <c:pt idx="2">
                  <c:v>101.8607356065238</c:v>
                </c:pt>
                <c:pt idx="3">
                  <c:v>107.4832677914452</c:v>
                </c:pt>
                <c:pt idx="4">
                  <c:v>112.2630908977339</c:v>
                </c:pt>
                <c:pt idx="5">
                  <c:v>117.8643420081454</c:v>
                </c:pt>
                <c:pt idx="6">
                  <c:v>124.1799184920722</c:v>
                </c:pt>
                <c:pt idx="7">
                  <c:v>128.6287755349901</c:v>
                </c:pt>
                <c:pt idx="8">
                  <c:v>134.10051095898541</c:v>
                </c:pt>
                <c:pt idx="9">
                  <c:v>138.9213988405281</c:v>
                </c:pt>
                <c:pt idx="10">
                  <c:v>144.71403399354139</c:v>
                </c:pt>
                <c:pt idx="11">
                  <c:v>150.14126855313401</c:v>
                </c:pt>
                <c:pt idx="12">
                  <c:v>156.35042246148811</c:v>
                </c:pt>
                <c:pt idx="13">
                  <c:v>162.3720167266743</c:v>
                </c:pt>
                <c:pt idx="14">
                  <c:v>169.87041053254299</c:v>
                </c:pt>
                <c:pt idx="15">
                  <c:v>176.44797315684929</c:v>
                </c:pt>
                <c:pt idx="16">
                  <c:v>184.5582878586122</c:v>
                </c:pt>
                <c:pt idx="17">
                  <c:v>192.04470625572819</c:v>
                </c:pt>
                <c:pt idx="18">
                  <c:v>200.11230718843879</c:v>
                </c:pt>
                <c:pt idx="19">
                  <c:v>209.18238170025961</c:v>
                </c:pt>
                <c:pt idx="20">
                  <c:v>219.44408933557989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8-574A-A0B5-40986D0370DD}"/>
            </c:ext>
          </c:extLst>
        </c:ser>
        <c:ser>
          <c:idx val="2"/>
          <c:order val="2"/>
          <c:tx>
            <c:strRef>
              <c:f>ws_Strategic_Asset_Allocation!$D$2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108.59586455235851</c:v>
                </c:pt>
                <c:pt idx="2">
                  <c:v>117.14981335783359</c:v>
                </c:pt>
                <c:pt idx="3">
                  <c:v>125.36579844410799</c:v>
                </c:pt>
                <c:pt idx="4">
                  <c:v>134.91119833162739</c:v>
                </c:pt>
                <c:pt idx="5">
                  <c:v>145.53600021109381</c:v>
                </c:pt>
                <c:pt idx="6">
                  <c:v>156.4400157783241</c:v>
                </c:pt>
                <c:pt idx="7">
                  <c:v>167.6614924555582</c:v>
                </c:pt>
                <c:pt idx="8">
                  <c:v>179.25308156343809</c:v>
                </c:pt>
                <c:pt idx="9">
                  <c:v>190.96096500480641</c:v>
                </c:pt>
                <c:pt idx="10">
                  <c:v>203.34764359664979</c:v>
                </c:pt>
                <c:pt idx="11">
                  <c:v>216.0159713047079</c:v>
                </c:pt>
                <c:pt idx="12">
                  <c:v>229.3666317573612</c:v>
                </c:pt>
                <c:pt idx="13">
                  <c:v>243.8584651128759</c:v>
                </c:pt>
                <c:pt idx="14">
                  <c:v>259.51652380798532</c:v>
                </c:pt>
                <c:pt idx="15">
                  <c:v>275.57435981139378</c:v>
                </c:pt>
                <c:pt idx="16">
                  <c:v>292.86879908284271</c:v>
                </c:pt>
                <c:pt idx="17">
                  <c:v>310.44299751964542</c:v>
                </c:pt>
                <c:pt idx="18">
                  <c:v>330.63599007274888</c:v>
                </c:pt>
                <c:pt idx="19">
                  <c:v>351.34384128399489</c:v>
                </c:pt>
                <c:pt idx="20">
                  <c:v>373.17103675181261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8-574A-A0B5-40986D0370DD}"/>
            </c:ext>
          </c:extLst>
        </c:ser>
        <c:ser>
          <c:idx val="3"/>
          <c:order val="3"/>
          <c:tx>
            <c:strRef>
              <c:f>ws_Strategic_Asset_Allocation!$E$2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118.3350197366818</c:v>
                </c:pt>
                <c:pt idx="2">
                  <c:v>131.0753382616993</c:v>
                </c:pt>
                <c:pt idx="3">
                  <c:v>144.254048051712</c:v>
                </c:pt>
                <c:pt idx="4">
                  <c:v>159.54073836732519</c:v>
                </c:pt>
                <c:pt idx="5">
                  <c:v>176.23558047964991</c:v>
                </c:pt>
                <c:pt idx="6">
                  <c:v>193.44167042286151</c:v>
                </c:pt>
                <c:pt idx="7">
                  <c:v>212.1082464211369</c:v>
                </c:pt>
                <c:pt idx="8">
                  <c:v>232.20702757592409</c:v>
                </c:pt>
                <c:pt idx="9">
                  <c:v>253.28245819085791</c:v>
                </c:pt>
                <c:pt idx="10">
                  <c:v>276.25314088452672</c:v>
                </c:pt>
                <c:pt idx="11">
                  <c:v>299.92736851466429</c:v>
                </c:pt>
                <c:pt idx="12">
                  <c:v>326.72795378761089</c:v>
                </c:pt>
                <c:pt idx="13">
                  <c:v>353.93469583325208</c:v>
                </c:pt>
                <c:pt idx="14">
                  <c:v>385.32973347398939</c:v>
                </c:pt>
                <c:pt idx="15">
                  <c:v>415.47706928552731</c:v>
                </c:pt>
                <c:pt idx="16">
                  <c:v>449.87075797114511</c:v>
                </c:pt>
                <c:pt idx="17">
                  <c:v>487.7088127375024</c:v>
                </c:pt>
                <c:pt idx="18">
                  <c:v>527.08095101682204</c:v>
                </c:pt>
                <c:pt idx="19">
                  <c:v>567.21766387124046</c:v>
                </c:pt>
                <c:pt idx="20">
                  <c:v>615.12421059398446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B8-574A-A0B5-40986D0370DD}"/>
            </c:ext>
          </c:extLst>
        </c:ser>
        <c:ser>
          <c:idx val="4"/>
          <c:order val="4"/>
          <c:tx>
            <c:strRef>
              <c:f>ws_Strategic_Asset_Allocation!$F$2</c:f>
              <c:strCache>
                <c:ptCount val="1"/>
              </c:strCache>
            </c:strRef>
          </c:tx>
          <c:spPr>
            <a:ln w="12700">
              <a:solidFill>
                <a:schemeClr val="dk1">
                  <a:shade val="95000"/>
                  <a:satMod val="10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ws_Strategic_Asset_Allocation!$F$3:$F$23</c:f>
              <c:numCache>
                <c:formatCode>General</c:formatCode>
                <c:ptCount val="21"/>
                <c:pt idx="0">
                  <c:v>100</c:v>
                </c:pt>
                <c:pt idx="1">
                  <c:v>107.2964246392673</c:v>
                </c:pt>
                <c:pt idx="2">
                  <c:v>113.7138018902814</c:v>
                </c:pt>
                <c:pt idx="3">
                  <c:v>120.26903593377649</c:v>
                </c:pt>
                <c:pt idx="4">
                  <c:v>127.9854010950353</c:v>
                </c:pt>
                <c:pt idx="5">
                  <c:v>136.3763430569168</c:v>
                </c:pt>
                <c:pt idx="6">
                  <c:v>144.99552644687711</c:v>
                </c:pt>
                <c:pt idx="7">
                  <c:v>153.97465830705951</c:v>
                </c:pt>
                <c:pt idx="8">
                  <c:v>162.42977116175831</c:v>
                </c:pt>
                <c:pt idx="9">
                  <c:v>171.63207254495529</c:v>
                </c:pt>
                <c:pt idx="10">
                  <c:v>180.52228230756191</c:v>
                </c:pt>
                <c:pt idx="11">
                  <c:v>190.33769459995139</c:v>
                </c:pt>
                <c:pt idx="12">
                  <c:v>200.03641835794909</c:v>
                </c:pt>
                <c:pt idx="13">
                  <c:v>210.30699708041709</c:v>
                </c:pt>
                <c:pt idx="14">
                  <c:v>221.33505062412209</c:v>
                </c:pt>
                <c:pt idx="15">
                  <c:v>232.53450843709851</c:v>
                </c:pt>
                <c:pt idx="16">
                  <c:v>244.89506125768489</c:v>
                </c:pt>
                <c:pt idx="17">
                  <c:v>257.31929415272668</c:v>
                </c:pt>
                <c:pt idx="18">
                  <c:v>270.40073261624838</c:v>
                </c:pt>
                <c:pt idx="19">
                  <c:v>284.41271952023618</c:v>
                </c:pt>
                <c:pt idx="20">
                  <c:v>298.96127257995357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F-184F-B708-5454A99FB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egendEntry>
        <c:idx val="4"/>
        <c:delete val="1"/>
      </c:legendEntry>
      <c:layout>
        <c:manualLayout>
          <c:xMode val="edge"/>
          <c:yMode val="edge"/>
          <c:x val="0.25"/>
          <c:y val="1.4066060120915477E-2"/>
          <c:w val="0.82742314814814821"/>
          <c:h val="7.4882625745152268E-2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ws_Strategic_Asset_Allocation!$G$2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ws_Strategic_Asset_Allocation!$G$3:$G$23</c:f>
              <c:numCache>
                <c:formatCode>General</c:formatCode>
                <c:ptCount val="21"/>
                <c:pt idx="0">
                  <c:v>100</c:v>
                </c:pt>
                <c:pt idx="1">
                  <c:v>86.199928300671218</c:v>
                </c:pt>
                <c:pt idx="2">
                  <c:v>86.20680152608611</c:v>
                </c:pt>
                <c:pt idx="3">
                  <c:v>86.446520857601499</c:v>
                </c:pt>
                <c:pt idx="4">
                  <c:v>85.736940704015609</c:v>
                </c:pt>
                <c:pt idx="5">
                  <c:v>86.419320287193457</c:v>
                </c:pt>
                <c:pt idx="6">
                  <c:v>86.838052593085365</c:v>
                </c:pt>
                <c:pt idx="7">
                  <c:v>85.804362199012644</c:v>
                </c:pt>
                <c:pt idx="8">
                  <c:v>85.26462863398001</c:v>
                </c:pt>
                <c:pt idx="9">
                  <c:v>84.896638799359323</c:v>
                </c:pt>
                <c:pt idx="10">
                  <c:v>84.707749286710708</c:v>
                </c:pt>
                <c:pt idx="11">
                  <c:v>84.935365327199293</c:v>
                </c:pt>
                <c:pt idx="12">
                  <c:v>84.618985082718822</c:v>
                </c:pt>
                <c:pt idx="13">
                  <c:v>84.825514546757091</c:v>
                </c:pt>
                <c:pt idx="14">
                  <c:v>85.070955183865024</c:v>
                </c:pt>
                <c:pt idx="15">
                  <c:v>86.846250729050439</c:v>
                </c:pt>
                <c:pt idx="16">
                  <c:v>87.164253921780244</c:v>
                </c:pt>
                <c:pt idx="17">
                  <c:v>87.874132363680758</c:v>
                </c:pt>
                <c:pt idx="18">
                  <c:v>89.671552977294581</c:v>
                </c:pt>
                <c:pt idx="19">
                  <c:v>91.438484873676927</c:v>
                </c:pt>
                <c:pt idx="20">
                  <c:v>91.979398092075201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C-0146-A7C3-022F9B4DC473}"/>
            </c:ext>
          </c:extLst>
        </c:ser>
        <c:ser>
          <c:idx val="1"/>
          <c:order val="1"/>
          <c:tx>
            <c:strRef>
              <c:f>ws_Strategic_Asset_Allocation!$H$2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ws_Strategic_Asset_Allocation!$H$3:$H$23</c:f>
              <c:numCache>
                <c:formatCode>General</c:formatCode>
                <c:ptCount val="21"/>
                <c:pt idx="0">
                  <c:v>100</c:v>
                </c:pt>
                <c:pt idx="1">
                  <c:v>96.025109266668593</c:v>
                </c:pt>
                <c:pt idx="2">
                  <c:v>96.769271421251077</c:v>
                </c:pt>
                <c:pt idx="3">
                  <c:v>99.843707989572749</c:v>
                </c:pt>
                <c:pt idx="4">
                  <c:v>101.9397950441226</c:v>
                </c:pt>
                <c:pt idx="5">
                  <c:v>104.6242139174859</c:v>
                </c:pt>
                <c:pt idx="6">
                  <c:v>107.9016900425737</c:v>
                </c:pt>
                <c:pt idx="7">
                  <c:v>109.8433177288475</c:v>
                </c:pt>
                <c:pt idx="8">
                  <c:v>112.01729651983661</c:v>
                </c:pt>
                <c:pt idx="9">
                  <c:v>113.5667604246467</c:v>
                </c:pt>
                <c:pt idx="10">
                  <c:v>116.55528107616971</c:v>
                </c:pt>
                <c:pt idx="11">
                  <c:v>118.49140031074791</c:v>
                </c:pt>
                <c:pt idx="12">
                  <c:v>120.8820961845316</c:v>
                </c:pt>
                <c:pt idx="13">
                  <c:v>123.1467323168834</c:v>
                </c:pt>
                <c:pt idx="14">
                  <c:v>125.98873052858551</c:v>
                </c:pt>
                <c:pt idx="15">
                  <c:v>128.91190169244391</c:v>
                </c:pt>
                <c:pt idx="16">
                  <c:v>131.7642617468658</c:v>
                </c:pt>
                <c:pt idx="17">
                  <c:v>135.1522037917531</c:v>
                </c:pt>
                <c:pt idx="18">
                  <c:v>137.95375726805099</c:v>
                </c:pt>
                <c:pt idx="19">
                  <c:v>141.47412861059871</c:v>
                </c:pt>
                <c:pt idx="20">
                  <c:v>145.27532937154001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C-0146-A7C3-022F9B4DC473}"/>
            </c:ext>
          </c:extLst>
        </c:ser>
        <c:ser>
          <c:idx val="2"/>
          <c:order val="2"/>
          <c:tx>
            <c:strRef>
              <c:f>ws_Strategic_Asset_Allocation!$I$2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ws_Strategic_Asset_Allocation!$I$3:$I$23</c:f>
              <c:numCache>
                <c:formatCode>General</c:formatCode>
                <c:ptCount val="21"/>
                <c:pt idx="0">
                  <c:v>100</c:v>
                </c:pt>
                <c:pt idx="1">
                  <c:v>106.0346722942104</c:v>
                </c:pt>
                <c:pt idx="2">
                  <c:v>111.9888316414094</c:v>
                </c:pt>
                <c:pt idx="3">
                  <c:v>117.2358617618344</c:v>
                </c:pt>
                <c:pt idx="4">
                  <c:v>123.4395671707759</c:v>
                </c:pt>
                <c:pt idx="5">
                  <c:v>130.36687299605171</c:v>
                </c:pt>
                <c:pt idx="6">
                  <c:v>137.1937256062067</c:v>
                </c:pt>
                <c:pt idx="7">
                  <c:v>144.10517035076029</c:v>
                </c:pt>
                <c:pt idx="8">
                  <c:v>150.85035571862809</c:v>
                </c:pt>
                <c:pt idx="9">
                  <c:v>157.55937013820221</c:v>
                </c:pt>
                <c:pt idx="10">
                  <c:v>164.1434855530446</c:v>
                </c:pt>
                <c:pt idx="11">
                  <c:v>170.8342778118849</c:v>
                </c:pt>
                <c:pt idx="12">
                  <c:v>178.00567566909641</c:v>
                </c:pt>
                <c:pt idx="13">
                  <c:v>185.88812465122271</c:v>
                </c:pt>
                <c:pt idx="14">
                  <c:v>193.87034382584591</c:v>
                </c:pt>
                <c:pt idx="15">
                  <c:v>201.58663130376101</c:v>
                </c:pt>
                <c:pt idx="16">
                  <c:v>210.35713989546201</c:v>
                </c:pt>
                <c:pt idx="17">
                  <c:v>218.4823522899438</c:v>
                </c:pt>
                <c:pt idx="18">
                  <c:v>228.46940617308579</c:v>
                </c:pt>
                <c:pt idx="19">
                  <c:v>238.24404871927049</c:v>
                </c:pt>
                <c:pt idx="20">
                  <c:v>248.6415473815328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5C-0146-A7C3-022F9B4DC473}"/>
            </c:ext>
          </c:extLst>
        </c:ser>
        <c:ser>
          <c:idx val="3"/>
          <c:order val="3"/>
          <c:tx>
            <c:strRef>
              <c:f>ws_Strategic_Asset_Allocation!$J$2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ws_Strategic_Asset_Allocation!$J$3:$J$23</c:f>
              <c:numCache>
                <c:formatCode>General</c:formatCode>
                <c:ptCount val="21"/>
                <c:pt idx="0">
                  <c:v>100</c:v>
                </c:pt>
                <c:pt idx="1">
                  <c:v>116.05242689832809</c:v>
                </c:pt>
                <c:pt idx="2">
                  <c:v>125.81676220075811</c:v>
                </c:pt>
                <c:pt idx="3">
                  <c:v>135.5564213348874</c:v>
                </c:pt>
                <c:pt idx="4">
                  <c:v>146.90807605801481</c:v>
                </c:pt>
                <c:pt idx="5">
                  <c:v>158.7511553776996</c:v>
                </c:pt>
                <c:pt idx="6">
                  <c:v>170.94378978035019</c:v>
                </c:pt>
                <c:pt idx="7">
                  <c:v>183.59257029505639</c:v>
                </c:pt>
                <c:pt idx="8">
                  <c:v>196.9295129158304</c:v>
                </c:pt>
                <c:pt idx="9">
                  <c:v>210.94027133020509</c:v>
                </c:pt>
                <c:pt idx="10">
                  <c:v>225.55395712579869</c:v>
                </c:pt>
                <c:pt idx="11">
                  <c:v>239.89453580951999</c:v>
                </c:pt>
                <c:pt idx="12">
                  <c:v>255.9956863498571</c:v>
                </c:pt>
                <c:pt idx="13">
                  <c:v>272.13098879578217</c:v>
                </c:pt>
                <c:pt idx="14">
                  <c:v>289.62754865250241</c:v>
                </c:pt>
                <c:pt idx="15">
                  <c:v>305.32245077243249</c:v>
                </c:pt>
                <c:pt idx="16">
                  <c:v>324.27940695941578</c:v>
                </c:pt>
                <c:pt idx="17">
                  <c:v>344.80123519403429</c:v>
                </c:pt>
                <c:pt idx="18">
                  <c:v>366.11676965732607</c:v>
                </c:pt>
                <c:pt idx="19">
                  <c:v>385.30166419938348</c:v>
                </c:pt>
                <c:pt idx="20">
                  <c:v>408.39101784474531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5C-0146-A7C3-022F9B4DC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ws_Strategic_Asset_Allocation!$O$2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F-314E-A4A5-010BF666E501}"/>
            </c:ext>
          </c:extLst>
        </c:ser>
        <c:ser>
          <c:idx val="1"/>
          <c:order val="1"/>
          <c:tx>
            <c:strRef>
              <c:f>ws_Strategic_Asset_Allocation!$P$2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F-314E-A4A5-010BF666E501}"/>
            </c:ext>
          </c:extLst>
        </c:ser>
        <c:ser>
          <c:idx val="2"/>
          <c:order val="2"/>
          <c:tx>
            <c:strRef>
              <c:f>ws_Strategic_Asset_Allocation!$Q$2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FF-314E-A4A5-010BF666E501}"/>
            </c:ext>
          </c:extLst>
        </c:ser>
        <c:ser>
          <c:idx val="3"/>
          <c:order val="3"/>
          <c:tx>
            <c:strRef>
              <c:f>ws_Strategic_Asset_Allocation!$R$2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ws_Strategic_Asset_Allocation!$R$3:$R$23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FF-314E-A4A5-010BF666E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Sheet1!$C$2:$C$6</c:f>
              <c:numCache>
                <c:formatCode>0.00%</c:formatCode>
                <c:ptCount val="5"/>
                <c:pt idx="0">
                  <c:v>0.110773577218248</c:v>
                </c:pt>
                <c:pt idx="1">
                  <c:v>0.110182258707823</c:v>
                </c:pt>
                <c:pt idx="2">
                  <c:v>9.2534243769205105E-2</c:v>
                </c:pt>
                <c:pt idx="3">
                  <c:v>7.7144923837934101E-2</c:v>
                </c:pt>
                <c:pt idx="4">
                  <c:v>2.69296484689278E-2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2-084D-BB9C-0EA3F14A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737024"/>
        <c:axId val="1440136928"/>
      </c:barChart>
      <c:catAx>
        <c:axId val="179973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136928"/>
        <c:crosses val="autoZero"/>
        <c:auto val="1"/>
        <c:lblAlgn val="ctr"/>
        <c:lblOffset val="100"/>
        <c:noMultiLvlLbl val="0"/>
      </c:catAx>
      <c:valAx>
        <c:axId val="144013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7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624481311769292E-2"/>
          <c:y val="8.1866191560268878E-2"/>
          <c:w val="0.9097857247726272"/>
          <c:h val="0.7700591651303069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Sheet2!$B$4:$L$4</c:f>
            </c:numRef>
          </c:val>
          <c:smooth val="0"/>
          <c:extLst>
            <c:ext xmlns:c16="http://schemas.microsoft.com/office/drawing/2014/chart" uri="{C3380CC4-5D6E-409C-BE32-E72D297353CC}">
              <c16:uniqueId val="{00000000-90B5-8345-878E-370DCF3C599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Sheet2!$B$5:$L$5</c:f>
            </c:numRef>
          </c:val>
          <c:smooth val="0"/>
          <c:extLst>
            <c:ext xmlns:c16="http://schemas.microsoft.com/office/drawing/2014/chart" uri="{C3380CC4-5D6E-409C-BE32-E72D297353CC}">
              <c16:uniqueId val="{00000001-90B5-8345-878E-370DCF3C599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Sheet2!$B$6:$L$6</c:f>
            </c:numRef>
          </c:val>
          <c:smooth val="0"/>
          <c:extLst>
            <c:ext xmlns:c16="http://schemas.microsoft.com/office/drawing/2014/chart" uri="{C3380CC4-5D6E-409C-BE32-E72D297353CC}">
              <c16:uniqueId val="{00000002-90B5-8345-878E-370DCF3C599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Sheet2!$B$7:$L$7</c:f>
            </c:numRef>
          </c:val>
          <c:smooth val="0"/>
          <c:extLst>
            <c:ext xmlns:c16="http://schemas.microsoft.com/office/drawing/2014/chart" uri="{C3380CC4-5D6E-409C-BE32-E72D297353CC}">
              <c16:uniqueId val="{00000003-90B5-8345-878E-370DCF3C599F}"/>
            </c:ext>
          </c:extLst>
        </c:ser>
        <c:ser>
          <c:idx val="4"/>
          <c:order val="4"/>
          <c:tx>
            <c:v>Over 5 Years</c:v>
          </c:tx>
          <c:spPr>
            <a:ln w="28575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Sheet2!$B$8:$L$8</c:f>
              <c:numCache>
                <c:formatCode>0%</c:formatCode>
                <c:ptCount val="11"/>
                <c:pt idx="0">
                  <c:v>0.89715</c:v>
                </c:pt>
                <c:pt idx="1">
                  <c:v>0.87119999999999997</c:v>
                </c:pt>
                <c:pt idx="2">
                  <c:v>0.84065000000000001</c:v>
                </c:pt>
                <c:pt idx="3">
                  <c:v>0.80395000000000005</c:v>
                </c:pt>
                <c:pt idx="4">
                  <c:v>0.76329999999999998</c:v>
                </c:pt>
                <c:pt idx="5">
                  <c:v>0.72004999999999997</c:v>
                </c:pt>
                <c:pt idx="6">
                  <c:v>0.67290000000000005</c:v>
                </c:pt>
                <c:pt idx="7">
                  <c:v>0.61814999999999998</c:v>
                </c:pt>
                <c:pt idx="8">
                  <c:v>0.56084999999999996</c:v>
                </c:pt>
                <c:pt idx="9">
                  <c:v>0.50544999999999995</c:v>
                </c:pt>
                <c:pt idx="10">
                  <c:v>0.4451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B5-8345-878E-370DCF3C599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Sheet2!$B$9:$L$9</c:f>
            </c:numRef>
          </c:val>
          <c:smooth val="0"/>
          <c:extLst>
            <c:ext xmlns:c16="http://schemas.microsoft.com/office/drawing/2014/chart" uri="{C3380CC4-5D6E-409C-BE32-E72D297353CC}">
              <c16:uniqueId val="{00000005-90B5-8345-878E-370DCF3C599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Sheet2!$B$10:$L$10</c:f>
            </c:numRef>
          </c:val>
          <c:smooth val="0"/>
          <c:extLst>
            <c:ext xmlns:c16="http://schemas.microsoft.com/office/drawing/2014/chart" uri="{C3380CC4-5D6E-409C-BE32-E72D297353CC}">
              <c16:uniqueId val="{00000006-90B5-8345-878E-370DCF3C599F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Sheet2!$B$11:$L$11</c:f>
            </c:numRef>
          </c:val>
          <c:smooth val="0"/>
          <c:extLst>
            <c:ext xmlns:c16="http://schemas.microsoft.com/office/drawing/2014/chart" uri="{C3380CC4-5D6E-409C-BE32-E72D297353CC}">
              <c16:uniqueId val="{00000007-90B5-8345-878E-370DCF3C599F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Sheet2!$B$12:$L$12</c:f>
            </c:numRef>
          </c:val>
          <c:smooth val="0"/>
          <c:extLst>
            <c:ext xmlns:c16="http://schemas.microsoft.com/office/drawing/2014/chart" uri="{C3380CC4-5D6E-409C-BE32-E72D297353CC}">
              <c16:uniqueId val="{00000008-90B5-8345-878E-370DCF3C599F}"/>
            </c:ext>
          </c:extLst>
        </c:ser>
        <c:ser>
          <c:idx val="9"/>
          <c:order val="9"/>
          <c:tx>
            <c:v>Over 10 Years</c:v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Sheet2!$B$13:$L$13</c:f>
              <c:numCache>
                <c:formatCode>0%</c:formatCode>
                <c:ptCount val="11"/>
                <c:pt idx="0">
                  <c:v>0.93115000000000003</c:v>
                </c:pt>
                <c:pt idx="1">
                  <c:v>0.90690000000000004</c:v>
                </c:pt>
                <c:pt idx="2">
                  <c:v>0.87309999999999999</c:v>
                </c:pt>
                <c:pt idx="3">
                  <c:v>0.83379999999999999</c:v>
                </c:pt>
                <c:pt idx="4">
                  <c:v>0.78664999999999996</c:v>
                </c:pt>
                <c:pt idx="5">
                  <c:v>0.73399999999999999</c:v>
                </c:pt>
                <c:pt idx="6">
                  <c:v>0.67225000000000001</c:v>
                </c:pt>
                <c:pt idx="7">
                  <c:v>0.60235000000000005</c:v>
                </c:pt>
                <c:pt idx="8">
                  <c:v>0.53005000000000002</c:v>
                </c:pt>
                <c:pt idx="9">
                  <c:v>0.45765</c:v>
                </c:pt>
                <c:pt idx="10">
                  <c:v>0.38114999999999999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B5-8345-878E-370DCF3C599F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Sheet2!$B$14:$L$14</c:f>
            </c:numRef>
          </c:val>
          <c:smooth val="0"/>
          <c:extLst>
            <c:ext xmlns:c16="http://schemas.microsoft.com/office/drawing/2014/chart" uri="{C3380CC4-5D6E-409C-BE32-E72D297353CC}">
              <c16:uniqueId val="{0000000A-90B5-8345-878E-370DCF3C599F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Sheet2!$B$15:$L$15</c:f>
            </c:numRef>
          </c:val>
          <c:smooth val="0"/>
          <c:extLst>
            <c:ext xmlns:c16="http://schemas.microsoft.com/office/drawing/2014/chart" uri="{C3380CC4-5D6E-409C-BE32-E72D297353CC}">
              <c16:uniqueId val="{0000000B-90B5-8345-878E-370DCF3C599F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Sheet2!$B$16:$L$16</c:f>
            </c:numRef>
          </c:val>
          <c:smooth val="0"/>
          <c:extLst>
            <c:ext xmlns:c16="http://schemas.microsoft.com/office/drawing/2014/chart" uri="{C3380CC4-5D6E-409C-BE32-E72D297353CC}">
              <c16:uniqueId val="{0000000C-90B5-8345-878E-370DCF3C599F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Sheet2!$B$17:$L$17</c:f>
            </c:numRef>
          </c:val>
          <c:smooth val="0"/>
          <c:extLst>
            <c:ext xmlns:c16="http://schemas.microsoft.com/office/drawing/2014/chart" uri="{C3380CC4-5D6E-409C-BE32-E72D297353CC}">
              <c16:uniqueId val="{0000000D-90B5-8345-878E-370DCF3C599F}"/>
            </c:ext>
          </c:extLst>
        </c:ser>
        <c:ser>
          <c:idx val="14"/>
          <c:order val="14"/>
          <c:tx>
            <c:v>Over 15 Years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Sheet2!$B$18:$L$18</c:f>
              <c:numCache>
                <c:formatCode>0%</c:formatCode>
                <c:ptCount val="11"/>
                <c:pt idx="0">
                  <c:v>0.94489999999999996</c:v>
                </c:pt>
                <c:pt idx="1">
                  <c:v>0.91930000000000001</c:v>
                </c:pt>
                <c:pt idx="2">
                  <c:v>0.88639999999999997</c:v>
                </c:pt>
                <c:pt idx="3">
                  <c:v>0.84330000000000005</c:v>
                </c:pt>
                <c:pt idx="4">
                  <c:v>0.78985000000000005</c:v>
                </c:pt>
                <c:pt idx="5">
                  <c:v>0.72499999999999998</c:v>
                </c:pt>
                <c:pt idx="6">
                  <c:v>0.65359999999999996</c:v>
                </c:pt>
                <c:pt idx="7">
                  <c:v>0.57694999999999996</c:v>
                </c:pt>
                <c:pt idx="8">
                  <c:v>0.48845</c:v>
                </c:pt>
                <c:pt idx="9">
                  <c:v>0.40200000000000002</c:v>
                </c:pt>
                <c:pt idx="10">
                  <c:v>0.32450000000000001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B5-8345-878E-370DCF3C599F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Sheet2!$B$19:$L$19</c:f>
            </c:numRef>
          </c:val>
          <c:smooth val="0"/>
          <c:extLst>
            <c:ext xmlns:c16="http://schemas.microsoft.com/office/drawing/2014/chart" uri="{C3380CC4-5D6E-409C-BE32-E72D297353CC}">
              <c16:uniqueId val="{0000000F-90B5-8345-878E-370DCF3C599F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Sheet2!$B$20:$L$20</c:f>
            </c:numRef>
          </c:val>
          <c:smooth val="0"/>
          <c:extLst>
            <c:ext xmlns:c16="http://schemas.microsoft.com/office/drawing/2014/chart" uri="{C3380CC4-5D6E-409C-BE32-E72D297353CC}">
              <c16:uniqueId val="{00000010-90B5-8345-878E-370DCF3C599F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Sheet2!$B$21:$L$21</c:f>
            </c:numRef>
          </c:val>
          <c:smooth val="0"/>
          <c:extLst>
            <c:ext xmlns:c16="http://schemas.microsoft.com/office/drawing/2014/chart" uri="{C3380CC4-5D6E-409C-BE32-E72D297353CC}">
              <c16:uniqueId val="{00000011-90B5-8345-878E-370DCF3C599F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Sheet2!$B$22:$L$22</c:f>
            </c:numRef>
          </c:val>
          <c:smooth val="0"/>
          <c:extLst>
            <c:ext xmlns:c16="http://schemas.microsoft.com/office/drawing/2014/chart" uri="{C3380CC4-5D6E-409C-BE32-E72D297353CC}">
              <c16:uniqueId val="{00000012-90B5-8345-878E-370DCF3C599F}"/>
            </c:ext>
          </c:extLst>
        </c:ser>
        <c:ser>
          <c:idx val="19"/>
          <c:order val="19"/>
          <c:tx>
            <c:v>Over 20 Years</c:v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Sheet2!$B$1:$L$1</c:f>
              <c:numCache>
                <c:formatCode>0.0%</c:formatCode>
                <c:ptCount val="11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3.0000000000000002E-2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4.9999999999999996E-2</c:v>
                </c:pt>
                <c:pt idx="9">
                  <c:v>5.4999999999999993E-2</c:v>
                </c:pt>
                <c:pt idx="10">
                  <c:v>5.9999999999999991E-2</c:v>
                </c:pt>
              </c:numCache>
            </c:numRef>
          </c:cat>
          <c:val>
            <c:numRef>
              <c:f>Sheet2!$B$23:$L$23</c:f>
              <c:numCache>
                <c:formatCode>0%</c:formatCode>
                <c:ptCount val="11"/>
                <c:pt idx="0">
                  <c:v>0.95694999999999997</c:v>
                </c:pt>
                <c:pt idx="1">
                  <c:v>0.93169999999999997</c:v>
                </c:pt>
                <c:pt idx="2">
                  <c:v>0.89949999999999997</c:v>
                </c:pt>
                <c:pt idx="3">
                  <c:v>0.85399999999999998</c:v>
                </c:pt>
                <c:pt idx="4">
                  <c:v>0.79774999999999996</c:v>
                </c:pt>
                <c:pt idx="5">
                  <c:v>0.72529999999999994</c:v>
                </c:pt>
                <c:pt idx="6">
                  <c:v>0.64480000000000004</c:v>
                </c:pt>
                <c:pt idx="7">
                  <c:v>0.55700000000000005</c:v>
                </c:pt>
                <c:pt idx="8">
                  <c:v>0.46465000000000001</c:v>
                </c:pt>
                <c:pt idx="9">
                  <c:v>0.373</c:v>
                </c:pt>
                <c:pt idx="10">
                  <c:v>0.28820000000000001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0B5-8345-878E-370DCF3C5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759248"/>
        <c:axId val="1776207024"/>
      </c:lineChart>
      <c:catAx>
        <c:axId val="156175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Assumed Yearly Spend</a:t>
                </a:r>
                <a:r>
                  <a:rPr lang="en-GB" baseline="0"/>
                  <a:t> (% of Initial Portfolio Value, Adjusted for Inflation)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207024"/>
        <c:crosses val="autoZero"/>
        <c:auto val="1"/>
        <c:lblAlgn val="ctr"/>
        <c:lblOffset val="100"/>
        <c:noMultiLvlLbl val="0"/>
      </c:catAx>
      <c:valAx>
        <c:axId val="17762070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175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1</xdr:row>
      <xdr:rowOff>154214</xdr:rowOff>
    </xdr:from>
    <xdr:to>
      <xdr:col>8</xdr:col>
      <xdr:colOff>18143</xdr:colOff>
      <xdr:row>25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8B335-84BD-19F5-3C3B-2FFA69D00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471714</xdr:colOff>
      <xdr:row>30</xdr:row>
      <xdr:rowOff>179614</xdr:rowOff>
    </xdr:from>
    <xdr:to>
      <xdr:col>10</xdr:col>
      <xdr:colOff>90714</xdr:colOff>
      <xdr:row>45</xdr:row>
      <xdr:rowOff>65314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B1F986-2E67-5F2C-A768-931B8C577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807357</xdr:colOff>
      <xdr:row>1</xdr:row>
      <xdr:rowOff>163286</xdr:rowOff>
    </xdr:from>
    <xdr:to>
      <xdr:col>13</xdr:col>
      <xdr:colOff>762000</xdr:colOff>
      <xdr:row>24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BF2552-DA96-5A44-9E94-D86247C86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190501</xdr:colOff>
      <xdr:row>5</xdr:row>
      <xdr:rowOff>133350</xdr:rowOff>
    </xdr:from>
    <xdr:to>
      <xdr:col>9</xdr:col>
      <xdr:colOff>531813</xdr:colOff>
      <xdr:row>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B274B-F430-D553-8FEB-31F4119C3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736601</xdr:colOff>
      <xdr:row>1</xdr:row>
      <xdr:rowOff>120650</xdr:rowOff>
    </xdr:from>
    <xdr:to>
      <xdr:col>8</xdr:col>
      <xdr:colOff>635001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9802A8-594D-AEE9-98F2-701F26783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156308</xdr:colOff>
      <xdr:row>24</xdr:row>
      <xdr:rowOff>146538</xdr:rowOff>
    </xdr:from>
    <xdr:to>
      <xdr:col>10</xdr:col>
      <xdr:colOff>54708</xdr:colOff>
      <xdr:row>45</xdr:row>
      <xdr:rowOff>51288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95BF73-C10A-664E-8C63-150ADD6B8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491067</xdr:colOff>
      <xdr:row>25</xdr:row>
      <xdr:rowOff>105834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25</xdr:col>
      <xdr:colOff>114300</xdr:colOff>
      <xdr:row>26</xdr:row>
      <xdr:rowOff>101600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43657</xdr:colOff>
      <xdr:row>8</xdr:row>
      <xdr:rowOff>9524</xdr:rowOff>
    </xdr:from>
    <xdr:to>
      <xdr:col>7</xdr:col>
      <xdr:colOff>47625</xdr:colOff>
      <xdr:row>22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AE6FC-945E-48CF-D783-E1B04F32B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654050</xdr:colOff>
      <xdr:row>12</xdr:row>
      <xdr:rowOff>65617</xdr:rowOff>
    </xdr:from>
    <xdr:to>
      <xdr:col>20</xdr:col>
      <xdr:colOff>520700</xdr:colOff>
      <xdr:row>42</xdr:row>
      <xdr:rowOff>8467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15D3C2-5CA1-C2CB-08BA-53429653B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selection activeCell="D12" sqref="D12:D18"/>
    </sheetView>
  </sheetViews>
  <sheetFormatPr baseColWidth="10" defaultColWidth="8.83203125" defaultRowHeight="15"/>
  <cols>
    <col min="1" max="1" width="2.83203125" customWidth="1"/>
    <col min="2" max="2" width="40" customWidth="1"/>
    <col min="3" max="4" width="18" customWidth="1"/>
  </cols>
  <sheetData>
    <row r="1" spans="1:5">
      <c r="A1" s="52"/>
      <c r="B1" s="52"/>
      <c r="C1" s="52"/>
      <c r="D1" s="52"/>
    </row>
    <row r="2" spans="1:5" ht="43" customHeight="1">
      <c r="A2" s="52"/>
      <c r="B2" s="30"/>
      <c r="C2" s="31" t="s">
        <v>0</v>
      </c>
      <c r="D2" s="51" t="s">
        <v>1</v>
      </c>
      <c r="E2" s="52"/>
    </row>
    <row r="3" spans="1:5" ht="17" customHeight="1">
      <c r="A3" s="52"/>
      <c r="B3" s="32" t="s">
        <v>2</v>
      </c>
      <c r="C3" s="33">
        <v>0.5</v>
      </c>
      <c r="D3" s="33">
        <v>0.36</v>
      </c>
      <c r="E3" s="52"/>
    </row>
    <row r="4" spans="1:5" ht="17" customHeight="1">
      <c r="A4" s="52"/>
      <c r="B4" s="34" t="s">
        <v>3</v>
      </c>
      <c r="C4" s="35">
        <v>50</v>
      </c>
      <c r="D4" s="35">
        <v>36</v>
      </c>
      <c r="E4" s="52"/>
    </row>
    <row r="5" spans="1:5" ht="17" customHeight="1">
      <c r="A5" s="52"/>
      <c r="B5" s="32" t="s">
        <v>4</v>
      </c>
      <c r="C5" s="33">
        <v>0</v>
      </c>
      <c r="D5" s="33">
        <v>4.4999999999999998E-2</v>
      </c>
      <c r="E5" s="52"/>
    </row>
    <row r="6" spans="1:5" ht="17" customHeight="1">
      <c r="A6" s="52"/>
      <c r="B6" s="34" t="s">
        <v>5</v>
      </c>
      <c r="C6" s="35">
        <v>0</v>
      </c>
      <c r="D6" s="35">
        <v>4.5</v>
      </c>
      <c r="E6" s="52"/>
    </row>
    <row r="7" spans="1:5" ht="17" customHeight="1">
      <c r="A7" s="52"/>
      <c r="B7" s="32" t="s">
        <v>6</v>
      </c>
      <c r="C7" s="33">
        <v>0.5</v>
      </c>
      <c r="D7" s="33">
        <v>0.35499999999999998</v>
      </c>
      <c r="E7" s="52"/>
    </row>
    <row r="8" spans="1:5" ht="17" customHeight="1">
      <c r="A8" s="52"/>
      <c r="B8" s="34" t="s">
        <v>7</v>
      </c>
      <c r="C8" s="35">
        <v>50</v>
      </c>
      <c r="D8" s="35">
        <v>0</v>
      </c>
      <c r="E8" s="52"/>
    </row>
    <row r="9" spans="1:5" ht="17" customHeight="1">
      <c r="A9" s="52"/>
      <c r="B9" s="34" t="s">
        <v>8</v>
      </c>
      <c r="C9" s="35">
        <v>0</v>
      </c>
      <c r="D9" s="35">
        <v>10</v>
      </c>
      <c r="E9" s="52"/>
    </row>
    <row r="10" spans="1:5" ht="17" customHeight="1">
      <c r="A10" s="52"/>
      <c r="B10" s="34" t="s">
        <v>9</v>
      </c>
      <c r="C10" s="35">
        <v>0</v>
      </c>
      <c r="D10" s="35">
        <v>11.2</v>
      </c>
      <c r="E10" s="52"/>
    </row>
    <row r="11" spans="1:5" ht="17" customHeight="1">
      <c r="A11" s="52"/>
      <c r="B11" s="34" t="s">
        <v>10</v>
      </c>
      <c r="C11" s="35">
        <v>0</v>
      </c>
      <c r="D11" s="35">
        <v>3.5</v>
      </c>
      <c r="E11" s="52"/>
    </row>
    <row r="12" spans="1:5" ht="17" customHeight="1">
      <c r="A12" s="52"/>
      <c r="B12" s="34" t="s">
        <v>11</v>
      </c>
      <c r="C12" s="35">
        <v>0</v>
      </c>
      <c r="D12" s="35">
        <v>4</v>
      </c>
      <c r="E12" s="52"/>
    </row>
    <row r="13" spans="1:5" ht="17" customHeight="1">
      <c r="A13" s="52"/>
      <c r="B13" s="34" t="s">
        <v>12</v>
      </c>
      <c r="C13" s="35">
        <v>0</v>
      </c>
      <c r="D13" s="35">
        <v>1.2</v>
      </c>
      <c r="E13" s="52"/>
    </row>
    <row r="14" spans="1:5" ht="17" customHeight="1">
      <c r="A14" s="52"/>
      <c r="B14" s="34" t="s">
        <v>13</v>
      </c>
      <c r="C14" s="35">
        <v>0</v>
      </c>
      <c r="D14" s="35">
        <v>1.8</v>
      </c>
      <c r="E14" s="52"/>
    </row>
    <row r="15" spans="1:5" ht="17" customHeight="1">
      <c r="A15" s="52"/>
      <c r="B15" s="34" t="s">
        <v>14</v>
      </c>
      <c r="C15" s="35">
        <v>0</v>
      </c>
      <c r="D15" s="35">
        <v>0.90000000000000013</v>
      </c>
      <c r="E15" s="52"/>
    </row>
    <row r="16" spans="1:5" ht="17" customHeight="1">
      <c r="A16" s="52"/>
      <c r="B16" s="34" t="s">
        <v>15</v>
      </c>
      <c r="C16" s="35">
        <v>0</v>
      </c>
      <c r="D16" s="35">
        <v>0.90000000000000013</v>
      </c>
      <c r="E16" s="52"/>
    </row>
    <row r="17" spans="1:5" ht="17" customHeight="1">
      <c r="A17" s="52"/>
      <c r="B17" s="34" t="s">
        <v>16</v>
      </c>
      <c r="C17" s="35">
        <v>0</v>
      </c>
      <c r="D17" s="35">
        <v>1</v>
      </c>
      <c r="E17" s="52"/>
    </row>
    <row r="18" spans="1:5" ht="17" customHeight="1">
      <c r="A18" s="52"/>
      <c r="B18" s="34" t="s">
        <v>17</v>
      </c>
      <c r="C18" s="35">
        <v>0</v>
      </c>
      <c r="D18" s="35">
        <v>1</v>
      </c>
      <c r="E18" s="52"/>
    </row>
    <row r="19" spans="1:5" ht="17" customHeight="1">
      <c r="A19" s="52"/>
      <c r="B19" s="32" t="s">
        <v>18</v>
      </c>
      <c r="C19" s="33">
        <v>0</v>
      </c>
      <c r="D19" s="33">
        <v>4.5000000000000012E-2</v>
      </c>
      <c r="E19" s="52"/>
    </row>
    <row r="20" spans="1:5" ht="17" customHeight="1">
      <c r="A20" s="52"/>
      <c r="B20" s="34" t="s">
        <v>19</v>
      </c>
      <c r="C20" s="35">
        <v>0</v>
      </c>
      <c r="D20" s="35">
        <v>0.90000000000000013</v>
      </c>
      <c r="E20" s="52"/>
    </row>
    <row r="21" spans="1:5" ht="17" customHeight="1">
      <c r="A21" s="52"/>
      <c r="B21" s="34" t="s">
        <v>20</v>
      </c>
      <c r="C21" s="35">
        <v>0</v>
      </c>
      <c r="D21" s="35">
        <v>1.8</v>
      </c>
      <c r="E21" s="52"/>
    </row>
    <row r="22" spans="1:5" ht="17" customHeight="1">
      <c r="A22" s="52"/>
      <c r="B22" s="34" t="s">
        <v>21</v>
      </c>
      <c r="C22" s="35">
        <v>0</v>
      </c>
      <c r="D22" s="35">
        <v>1.8</v>
      </c>
      <c r="E22" s="52"/>
    </row>
    <row r="23" spans="1:5" ht="17" customHeight="1">
      <c r="A23" s="52"/>
      <c r="B23" s="32" t="s">
        <v>22</v>
      </c>
      <c r="C23" s="33">
        <v>0</v>
      </c>
      <c r="D23" s="33">
        <v>0.12</v>
      </c>
      <c r="E23" s="52"/>
    </row>
    <row r="24" spans="1:5" ht="17" customHeight="1">
      <c r="A24" s="52"/>
      <c r="B24" s="34" t="s">
        <v>23</v>
      </c>
      <c r="C24" s="35">
        <v>0</v>
      </c>
      <c r="D24" s="35">
        <v>8.4</v>
      </c>
      <c r="E24" s="52"/>
    </row>
    <row r="25" spans="1:5" ht="17" customHeight="1">
      <c r="A25" s="52"/>
      <c r="B25" s="34" t="s">
        <v>24</v>
      </c>
      <c r="C25" s="35">
        <v>0</v>
      </c>
      <c r="D25" s="35">
        <v>2.8</v>
      </c>
      <c r="E25" s="52"/>
    </row>
    <row r="26" spans="1:5" ht="17" customHeight="1">
      <c r="A26" s="52"/>
      <c r="B26" s="34" t="s">
        <v>25</v>
      </c>
      <c r="C26" s="35">
        <v>0</v>
      </c>
      <c r="D26" s="35">
        <v>0.8</v>
      </c>
      <c r="E26" s="52"/>
    </row>
    <row r="27" spans="1:5" ht="17" customHeight="1">
      <c r="A27" s="52"/>
      <c r="B27" s="32" t="s">
        <v>26</v>
      </c>
      <c r="C27" s="33">
        <v>0</v>
      </c>
      <c r="D27" s="33">
        <v>7.5000000000000011E-2</v>
      </c>
      <c r="E27" s="52"/>
    </row>
    <row r="28" spans="1:5" ht="17" customHeight="1">
      <c r="A28" s="52"/>
      <c r="B28" s="34" t="s">
        <v>27</v>
      </c>
      <c r="C28" s="35">
        <v>0</v>
      </c>
      <c r="D28" s="35">
        <v>3.5</v>
      </c>
      <c r="E28" s="52"/>
    </row>
    <row r="29" spans="1:5" ht="17" customHeight="1">
      <c r="A29" s="52"/>
      <c r="B29" s="34" t="s">
        <v>28</v>
      </c>
      <c r="C29" s="35">
        <v>0</v>
      </c>
      <c r="D29" s="35">
        <v>2</v>
      </c>
      <c r="E29" s="52"/>
    </row>
    <row r="30" spans="1:5" ht="17" customHeight="1">
      <c r="A30" s="52"/>
      <c r="B30" s="34" t="s">
        <v>29</v>
      </c>
      <c r="C30" s="35">
        <v>0</v>
      </c>
      <c r="D30" s="35">
        <v>2</v>
      </c>
      <c r="E30" s="52"/>
    </row>
    <row r="31" spans="1:5" ht="23" customHeight="1">
      <c r="A31" s="52"/>
      <c r="B31" s="36" t="s">
        <v>30</v>
      </c>
      <c r="C31" s="37">
        <v>1</v>
      </c>
      <c r="D31" s="37">
        <v>1</v>
      </c>
      <c r="E31" s="52"/>
    </row>
    <row r="32" spans="1:5" ht="3" customHeight="1">
      <c r="A32" s="52"/>
      <c r="B32" s="38"/>
      <c r="C32" s="38"/>
      <c r="D32" s="38"/>
      <c r="E32" s="52"/>
    </row>
    <row r="33" spans="1:5" ht="23" customHeight="1">
      <c r="A33" s="52"/>
      <c r="B33" s="39" t="s">
        <v>31</v>
      </c>
      <c r="C33" s="40">
        <v>5.3832602562404443E-2</v>
      </c>
      <c r="D33" s="40">
        <v>6.4431104932666197E-2</v>
      </c>
      <c r="E33" s="52"/>
    </row>
    <row r="34" spans="1:5" ht="23" customHeight="1">
      <c r="A34" s="52"/>
      <c r="B34" s="39" t="s">
        <v>32</v>
      </c>
      <c r="C34" s="41">
        <v>0.39013325979698232</v>
      </c>
      <c r="D34" s="41">
        <v>0.52364381017028427</v>
      </c>
      <c r="E34" s="52"/>
    </row>
    <row r="35" spans="1:5" ht="3" customHeight="1">
      <c r="A35" s="52"/>
      <c r="B35" s="38"/>
      <c r="C35" s="38"/>
      <c r="D35" s="38"/>
      <c r="E35" s="52"/>
    </row>
    <row r="36" spans="1:5" ht="23" customHeight="1">
      <c r="A36" s="52"/>
      <c r="B36" s="39" t="s">
        <v>33</v>
      </c>
      <c r="C36" s="40">
        <v>7.3904497600149111E-2</v>
      </c>
      <c r="D36" s="40">
        <v>7.5095139422881152E-2</v>
      </c>
      <c r="E36" s="52"/>
    </row>
    <row r="37" spans="1:5">
      <c r="A37" s="52"/>
      <c r="B37" s="52"/>
      <c r="C37" s="52"/>
      <c r="D37" s="52"/>
      <c r="E37" s="52"/>
    </row>
    <row r="38" spans="1:5">
      <c r="A38" s="52"/>
      <c r="B38" s="52"/>
      <c r="C38" s="52"/>
      <c r="D38" s="52"/>
      <c r="E38" s="52"/>
    </row>
    <row r="39" spans="1:5">
      <c r="A39" s="52"/>
      <c r="B39" s="52"/>
      <c r="C39" s="52"/>
      <c r="D39" s="52"/>
      <c r="E39" s="5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B375A-1BBD-3942-A9A9-E5A4DDCCCBA0}">
  <dimension ref="A1:N56"/>
  <sheetViews>
    <sheetView zoomScale="140" zoomScaleNormal="140" workbookViewId="0">
      <selection activeCell="N10" sqref="N10"/>
    </sheetView>
  </sheetViews>
  <sheetFormatPr baseColWidth="10" defaultRowHeight="15"/>
  <cols>
    <col min="1" max="1" width="24.1640625" bestFit="1" customWidth="1"/>
  </cols>
  <sheetData>
    <row r="1" spans="1:14">
      <c r="A1" s="52"/>
      <c r="B1" s="52">
        <v>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>
      <c r="A2" s="52" t="s">
        <v>94</v>
      </c>
      <c r="B2" s="54">
        <v>8.6024742893045791E-3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>
      <c r="A3" s="52" t="s">
        <v>97</v>
      </c>
      <c r="B3" s="54">
        <v>3.2801500345226997E-2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>
      <c r="A4" s="52" t="s">
        <v>119</v>
      </c>
      <c r="B4" s="54">
        <f>SUM(B5:B7)</f>
        <v>0.4582721463401897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idden="1">
      <c r="A5" s="52" t="s">
        <v>100</v>
      </c>
      <c r="B5" s="54">
        <v>0.19740877689904199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4" hidden="1">
      <c r="A6" s="52" t="s">
        <v>101</v>
      </c>
      <c r="B6" s="54">
        <v>0.18908471834031801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4" hidden="1">
      <c r="A7" s="52" t="s">
        <v>102</v>
      </c>
      <c r="B7" s="54">
        <v>7.1778651100829705E-2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</row>
    <row r="8" spans="1:14">
      <c r="A8" s="52" t="s">
        <v>103</v>
      </c>
      <c r="B8" s="54">
        <v>7.3157780722153398E-2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1:14">
      <c r="A9" s="52" t="s">
        <v>104</v>
      </c>
      <c r="B9" s="54">
        <v>1.87236840825202E-2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14">
      <c r="A10" s="52" t="s">
        <v>105</v>
      </c>
      <c r="B10" s="54">
        <v>2.97933991652987E-2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1:14">
      <c r="A11" s="52" t="s">
        <v>106</v>
      </c>
      <c r="B11" s="54">
        <v>1.54976214370223E-2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</row>
    <row r="12" spans="1:14">
      <c r="A12" s="52" t="s">
        <v>107</v>
      </c>
      <c r="B12" s="54">
        <v>1.97275781635846E-2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 spans="1:14">
      <c r="A13" s="52" t="s">
        <v>108</v>
      </c>
      <c r="B13" s="54">
        <v>1.01151456589024E-2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</row>
    <row r="14" spans="1:14">
      <c r="A14" s="52" t="s">
        <v>109</v>
      </c>
      <c r="B14" s="54">
        <v>1.17981976649371E-2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</row>
    <row r="15" spans="1:14">
      <c r="A15" s="52" t="s">
        <v>110</v>
      </c>
      <c r="B15" s="54">
        <v>5.1275847854916597E-3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</row>
    <row r="16" spans="1:14">
      <c r="A16" s="52" t="s">
        <v>111</v>
      </c>
      <c r="B16" s="54">
        <v>1.5793800933559501E-2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</row>
    <row r="17" spans="1:14">
      <c r="A17" s="52" t="s">
        <v>112</v>
      </c>
      <c r="B17" s="54">
        <v>3.4977493858902998E-3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</row>
    <row r="18" spans="1:14">
      <c r="A18" s="52" t="s">
        <v>113</v>
      </c>
      <c r="B18" s="54">
        <v>0.15256482789336701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</row>
    <row r="19" spans="1:14">
      <c r="A19" s="52" t="s">
        <v>114</v>
      </c>
      <c r="B19" s="54">
        <v>5.3093620137906E-2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</row>
    <row r="20" spans="1:14">
      <c r="A20" s="52" t="s">
        <v>115</v>
      </c>
      <c r="B20" s="54">
        <v>1.5460685206523699E-2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</row>
    <row r="21" spans="1:14">
      <c r="A21" s="52" t="s">
        <v>116</v>
      </c>
      <c r="B21" s="54">
        <v>3.23569923114434E-2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</row>
    <row r="22" spans="1:14">
      <c r="A22" s="52" t="s">
        <v>117</v>
      </c>
      <c r="B22" s="54">
        <v>2.0805473063830501E-2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</row>
    <row r="23" spans="1:14">
      <c r="A23" s="52" t="s">
        <v>118</v>
      </c>
      <c r="B23" s="54">
        <v>2.28097384128455E-2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 spans="1:1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</row>
    <row r="25" spans="1:14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</row>
    <row r="26" spans="1:14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</row>
    <row r="27" spans="1:14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</row>
    <row r="31" spans="1:14">
      <c r="B31">
        <v>0</v>
      </c>
    </row>
    <row r="32" spans="1:14">
      <c r="A32" t="s">
        <v>94</v>
      </c>
      <c r="B32">
        <v>0</v>
      </c>
    </row>
    <row r="33" spans="1:2">
      <c r="A33" t="s">
        <v>95</v>
      </c>
      <c r="B33">
        <v>0</v>
      </c>
    </row>
    <row r="34" spans="1:2">
      <c r="A34" t="s">
        <v>96</v>
      </c>
      <c r="B34">
        <v>0</v>
      </c>
    </row>
    <row r="35" spans="1:2">
      <c r="A35" t="s">
        <v>97</v>
      </c>
      <c r="B35">
        <v>0</v>
      </c>
    </row>
    <row r="36" spans="1:2">
      <c r="A36" t="s">
        <v>98</v>
      </c>
      <c r="B36">
        <v>0</v>
      </c>
    </row>
    <row r="37" spans="1:2">
      <c r="A37" t="s">
        <v>99</v>
      </c>
      <c r="B37">
        <v>0</v>
      </c>
    </row>
    <row r="38" spans="1:2">
      <c r="A38" t="s">
        <v>100</v>
      </c>
      <c r="B38">
        <v>0</v>
      </c>
    </row>
    <row r="39" spans="1:2">
      <c r="A39" t="s">
        <v>101</v>
      </c>
      <c r="B39">
        <v>0</v>
      </c>
    </row>
    <row r="40" spans="1:2">
      <c r="A40" t="s">
        <v>102</v>
      </c>
      <c r="B40">
        <v>0</v>
      </c>
    </row>
    <row r="41" spans="1:2">
      <c r="A41" t="s">
        <v>120</v>
      </c>
      <c r="B41" s="53">
        <v>1.9086594707416901E-2</v>
      </c>
    </row>
    <row r="42" spans="1:2">
      <c r="A42" t="s">
        <v>121</v>
      </c>
      <c r="B42" s="53">
        <v>6.6725975927464697E-3</v>
      </c>
    </row>
    <row r="43" spans="1:2">
      <c r="A43" t="s">
        <v>122</v>
      </c>
      <c r="B43" s="53">
        <v>3.5395217114644602E-3</v>
      </c>
    </row>
    <row r="44" spans="1:2">
      <c r="A44" t="s">
        <v>106</v>
      </c>
      <c r="B44" s="53">
        <v>8.3038021272114002E-3</v>
      </c>
    </row>
    <row r="45" spans="1:2">
      <c r="A45" t="s">
        <v>123</v>
      </c>
      <c r="B45" s="53">
        <v>5.8650377463103599E-3</v>
      </c>
    </row>
    <row r="46" spans="1:2">
      <c r="A46" t="s">
        <v>108</v>
      </c>
      <c r="B46">
        <v>0</v>
      </c>
    </row>
    <row r="47" spans="1:2">
      <c r="A47" t="s">
        <v>109</v>
      </c>
      <c r="B47">
        <v>0</v>
      </c>
    </row>
    <row r="48" spans="1:2">
      <c r="A48" t="s">
        <v>110</v>
      </c>
      <c r="B48">
        <v>0</v>
      </c>
    </row>
    <row r="49" spans="1:2">
      <c r="A49" t="s">
        <v>111</v>
      </c>
      <c r="B49">
        <v>0</v>
      </c>
    </row>
    <row r="50" spans="1:2">
      <c r="A50" t="s">
        <v>112</v>
      </c>
      <c r="B50">
        <v>0</v>
      </c>
    </row>
    <row r="51" spans="1:2">
      <c r="A51" t="s">
        <v>113</v>
      </c>
      <c r="B51">
        <v>0</v>
      </c>
    </row>
    <row r="52" spans="1:2">
      <c r="A52" t="s">
        <v>114</v>
      </c>
      <c r="B52">
        <v>0</v>
      </c>
    </row>
    <row r="53" spans="1:2">
      <c r="A53" t="s">
        <v>115</v>
      </c>
      <c r="B53">
        <v>0</v>
      </c>
    </row>
    <row r="54" spans="1:2">
      <c r="A54" t="s">
        <v>116</v>
      </c>
      <c r="B54">
        <v>0</v>
      </c>
    </row>
    <row r="55" spans="1:2">
      <c r="A55" t="s">
        <v>117</v>
      </c>
      <c r="B55">
        <v>0</v>
      </c>
    </row>
    <row r="56" spans="1:2">
      <c r="A56" t="s">
        <v>118</v>
      </c>
      <c r="B5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87BC-FD43-814A-9101-60BB6AE857FB}">
  <dimension ref="A1:N25"/>
  <sheetViews>
    <sheetView zoomScale="160" zoomScaleNormal="160" workbookViewId="0">
      <selection activeCell="D16" sqref="D16"/>
    </sheetView>
  </sheetViews>
  <sheetFormatPr baseColWidth="10" defaultRowHeight="15"/>
  <cols>
    <col min="2" max="3" width="10.83203125" style="56"/>
  </cols>
  <sheetData>
    <row r="1" spans="1:14">
      <c r="A1" s="52"/>
      <c r="B1" s="57"/>
      <c r="C1" s="57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>
      <c r="A2" s="52"/>
      <c r="B2" s="57" t="s">
        <v>124</v>
      </c>
      <c r="C2" s="57" t="s">
        <v>33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>
      <c r="A3" s="52"/>
      <c r="B3" s="58">
        <v>0</v>
      </c>
      <c r="C3" s="55">
        <v>7.61400749455894E-2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>
      <c r="A4" s="52"/>
      <c r="B4" s="58">
        <v>0.5</v>
      </c>
      <c r="C4" s="55">
        <v>7.5265245665851105E-2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>
      <c r="A5" s="52"/>
      <c r="B5" s="58">
        <v>0.7</v>
      </c>
      <c r="C5" s="55">
        <v>7.4936639097747296E-2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4">
      <c r="A6" s="52"/>
      <c r="B6" s="58">
        <v>1</v>
      </c>
      <c r="C6" s="55">
        <v>7.4466879106657904E-2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4">
      <c r="A7" s="52"/>
      <c r="B7" s="57"/>
      <c r="C7" s="57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</row>
    <row r="8" spans="1:14">
      <c r="A8" s="52"/>
      <c r="B8" s="57"/>
      <c r="C8" s="57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1:14">
      <c r="A9" s="52"/>
      <c r="B9" s="57"/>
      <c r="C9" s="57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14">
      <c r="A10" s="52"/>
      <c r="B10" s="57"/>
      <c r="C10" s="57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1:14">
      <c r="A11" s="52"/>
      <c r="B11" s="57"/>
      <c r="C11" s="57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</row>
    <row r="12" spans="1:14">
      <c r="A12" s="52"/>
      <c r="B12" s="57"/>
      <c r="C12" s="57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 spans="1:14">
      <c r="A13" s="52"/>
      <c r="B13" s="57"/>
      <c r="C13" s="57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</row>
    <row r="14" spans="1:14">
      <c r="A14" s="52"/>
      <c r="B14" s="57"/>
      <c r="C14" s="57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</row>
    <row r="15" spans="1:14">
      <c r="A15" s="52"/>
      <c r="B15" s="57"/>
      <c r="C15" s="57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</row>
    <row r="16" spans="1:14">
      <c r="A16" s="52"/>
      <c r="B16" s="57"/>
      <c r="C16" s="57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</row>
    <row r="17" spans="1:14">
      <c r="A17" s="52"/>
      <c r="B17" s="57"/>
      <c r="C17" s="57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</row>
    <row r="18" spans="1:14">
      <c r="A18" s="52"/>
      <c r="B18" s="57"/>
      <c r="C18" s="57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</row>
    <row r="19" spans="1:14">
      <c r="A19" s="52"/>
      <c r="B19" s="57"/>
      <c r="C19" s="57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</row>
    <row r="20" spans="1:14">
      <c r="A20" s="52"/>
      <c r="B20" s="57"/>
      <c r="C20" s="57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</row>
    <row r="21" spans="1:14">
      <c r="A21" s="52"/>
      <c r="B21" s="57"/>
      <c r="C21" s="57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</row>
    <row r="22" spans="1:14">
      <c r="A22" s="52"/>
      <c r="B22" s="57"/>
      <c r="C22" s="57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</row>
    <row r="23" spans="1:14">
      <c r="A23" s="52"/>
      <c r="B23" s="57"/>
      <c r="C23" s="57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 spans="1:14">
      <c r="A24" s="52"/>
      <c r="B24" s="57"/>
      <c r="C24" s="57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</row>
    <row r="25" spans="1:14">
      <c r="A25" s="52"/>
      <c r="B25" s="57"/>
      <c r="C25" s="57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63C9-B3EA-7248-B4E4-26A8CF35E10E}">
  <dimension ref="A1:N48"/>
  <sheetViews>
    <sheetView zoomScale="130" zoomScaleNormal="130" workbookViewId="0">
      <selection activeCell="K32" sqref="K32"/>
    </sheetView>
  </sheetViews>
  <sheetFormatPr baseColWidth="10" defaultRowHeight="15"/>
  <cols>
    <col min="2" max="2" width="29.1640625" bestFit="1" customWidth="1"/>
  </cols>
  <sheetData>
    <row r="1" spans="1:14">
      <c r="A1" s="52"/>
      <c r="B1" s="52"/>
      <c r="C1" s="52">
        <v>0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>
      <c r="A2" s="52">
        <v>7</v>
      </c>
      <c r="B2" s="52" t="s">
        <v>125</v>
      </c>
      <c r="C2" s="55">
        <f>SUM(C3:C8)</f>
        <v>3.9323104932666136E-2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3" spans="1:14">
      <c r="A3" s="52">
        <v>6</v>
      </c>
      <c r="B3" s="52" t="s">
        <v>131</v>
      </c>
      <c r="C3" s="55">
        <v>7.0898094817600603E-4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>
      <c r="A4" s="52">
        <v>5</v>
      </c>
      <c r="B4" s="52" t="s">
        <v>130</v>
      </c>
      <c r="C4" s="55">
        <v>-7.31425731588811E-5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>
      <c r="A5" s="52">
        <v>4</v>
      </c>
      <c r="B5" s="52" t="s">
        <v>129</v>
      </c>
      <c r="C5" s="55">
        <v>5.2595580514326603E-3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4">
      <c r="A6" s="52">
        <v>3</v>
      </c>
      <c r="B6" s="52" t="s">
        <v>128</v>
      </c>
      <c r="C6" s="55">
        <v>3.2283957050202399E-3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4">
      <c r="A7" s="52">
        <v>2</v>
      </c>
      <c r="B7" s="52" t="s">
        <v>127</v>
      </c>
      <c r="C7" s="55">
        <v>5.9454343476038098E-3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</row>
    <row r="8" spans="1:14">
      <c r="A8" s="52">
        <v>1</v>
      </c>
      <c r="B8" s="52" t="s">
        <v>126</v>
      </c>
      <c r="C8" s="55">
        <v>2.4253878453592299E-2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1:14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14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1:14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</row>
    <row r="12" spans="1:14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</row>
    <row r="13" spans="1:14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</row>
    <row r="14" spans="1:1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</row>
    <row r="15" spans="1:14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</row>
    <row r="16" spans="1:14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</row>
    <row r="17" spans="1:14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</row>
    <row r="18" spans="1:14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</row>
    <row r="19" spans="1:14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</row>
    <row r="20" spans="1:14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</row>
    <row r="21" spans="1:14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</row>
    <row r="22" spans="1:14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</row>
    <row r="23" spans="1:14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 spans="1:14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</row>
    <row r="25" spans="1:14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</row>
    <row r="26" spans="1:14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</row>
    <row r="27" spans="1:14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</row>
    <row r="28" spans="1:14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</row>
    <row r="29" spans="1:14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</row>
    <row r="30" spans="1:14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</row>
    <row r="31" spans="1:14">
      <c r="B31" s="52"/>
      <c r="C31" s="52">
        <v>0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</row>
    <row r="32" spans="1:14">
      <c r="A32">
        <v>10</v>
      </c>
      <c r="B32" s="52" t="s">
        <v>135</v>
      </c>
      <c r="C32" s="59">
        <v>4.7471589022936803E-3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</row>
    <row r="33" spans="1:14">
      <c r="A33">
        <v>9</v>
      </c>
      <c r="B33" s="52" t="s">
        <v>134</v>
      </c>
      <c r="C33" s="59">
        <v>-1.8207881955470001E-3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</row>
    <row r="34" spans="1:14">
      <c r="A34">
        <v>8</v>
      </c>
      <c r="B34" s="52" t="s">
        <v>133</v>
      </c>
      <c r="C34" s="59">
        <v>2.33677370351318E-2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</row>
    <row r="35" spans="1:14">
      <c r="A35">
        <v>7</v>
      </c>
      <c r="B35" s="52" t="s">
        <v>132</v>
      </c>
      <c r="C35" s="59">
        <v>8.3822687238124197E-3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</row>
    <row r="36" spans="1:14">
      <c r="A36">
        <v>6</v>
      </c>
      <c r="B36" s="52" t="s">
        <v>131</v>
      </c>
      <c r="C36" s="59">
        <v>3.4695735122553702E-3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</row>
    <row r="37" spans="1:14">
      <c r="A37">
        <v>5</v>
      </c>
      <c r="B37" s="52" t="s">
        <v>130</v>
      </c>
      <c r="C37" s="59">
        <v>7.3740406688289203E-3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</row>
    <row r="38" spans="1:14">
      <c r="A38">
        <v>4</v>
      </c>
      <c r="B38" s="52" t="s">
        <v>129</v>
      </c>
      <c r="C38" s="59">
        <v>3.71489102775132E-2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</row>
    <row r="39" spans="1:14">
      <c r="A39">
        <v>3</v>
      </c>
      <c r="B39" s="52" t="s">
        <v>128</v>
      </c>
      <c r="C39" s="59">
        <v>8.8779764457821205E-3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14">
      <c r="A40">
        <v>2</v>
      </c>
      <c r="B40" s="52" t="s">
        <v>127</v>
      </c>
      <c r="C40" s="59">
        <v>1.43061710110607E-2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</row>
    <row r="41" spans="1:14">
      <c r="A41">
        <v>1</v>
      </c>
      <c r="B41" s="52" t="s">
        <v>126</v>
      </c>
      <c r="C41" s="59">
        <v>0.85138064675577596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</row>
    <row r="42" spans="1:14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</row>
    <row r="43" spans="1:14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</row>
    <row r="44" spans="1:14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</row>
    <row r="45" spans="1:14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</row>
    <row r="46" spans="1:14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</row>
    <row r="47" spans="1:14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</row>
    <row r="48" spans="1:14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</row>
  </sheetData>
  <sortState xmlns:xlrd2="http://schemas.microsoft.com/office/spreadsheetml/2017/richdata2" ref="A32:C41">
    <sortCondition descending="1" ref="A32:A41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sqref="A1:E33"/>
    </sheetView>
  </sheetViews>
  <sheetFormatPr baseColWidth="10" defaultColWidth="8.83203125" defaultRowHeight="15"/>
  <cols>
    <col min="1" max="1" width="36.6640625" customWidth="1"/>
    <col min="2" max="5" width="9" customWidth="1"/>
  </cols>
  <sheetData>
    <row r="1" spans="1:5" ht="41" customHeight="1">
      <c r="A1" s="42"/>
      <c r="B1" s="67" t="s">
        <v>0</v>
      </c>
      <c r="C1" s="63"/>
      <c r="D1" s="68" t="s">
        <v>1</v>
      </c>
      <c r="E1" s="69"/>
    </row>
    <row r="2" spans="1:5" ht="16" customHeight="1">
      <c r="A2" s="44" t="s">
        <v>2</v>
      </c>
      <c r="B2" s="62">
        <v>0.5</v>
      </c>
      <c r="C2" s="63"/>
      <c r="D2" s="62">
        <v>0.36</v>
      </c>
      <c r="E2" s="63"/>
    </row>
    <row r="3" spans="1:5" ht="16" customHeight="1">
      <c r="A3" s="44" t="s">
        <v>4</v>
      </c>
      <c r="B3" s="62" t="s">
        <v>150</v>
      </c>
      <c r="C3" s="63"/>
      <c r="D3" s="62">
        <v>4.4999999999999998E-2</v>
      </c>
      <c r="E3" s="63"/>
    </row>
    <row r="4" spans="1:5" ht="16" customHeight="1">
      <c r="A4" s="44" t="s">
        <v>6</v>
      </c>
      <c r="B4" s="62">
        <v>0.5</v>
      </c>
      <c r="C4" s="63"/>
      <c r="D4" s="62">
        <v>0.35499999999999998</v>
      </c>
      <c r="E4" s="63"/>
    </row>
    <row r="5" spans="1:5" ht="16" customHeight="1">
      <c r="A5" s="44" t="s">
        <v>18</v>
      </c>
      <c r="B5" s="62" t="s">
        <v>150</v>
      </c>
      <c r="C5" s="63"/>
      <c r="D5" s="62">
        <v>4.5000000000000012E-2</v>
      </c>
      <c r="E5" s="63"/>
    </row>
    <row r="6" spans="1:5" ht="16" customHeight="1">
      <c r="A6" s="44" t="s">
        <v>22</v>
      </c>
      <c r="B6" s="62" t="s">
        <v>150</v>
      </c>
      <c r="C6" s="63"/>
      <c r="D6" s="62">
        <v>0.12</v>
      </c>
      <c r="E6" s="63"/>
    </row>
    <row r="7" spans="1:5" ht="16" customHeight="1">
      <c r="A7" s="44" t="s">
        <v>26</v>
      </c>
      <c r="B7" s="62" t="s">
        <v>150</v>
      </c>
      <c r="C7" s="63"/>
      <c r="D7" s="62">
        <v>7.5000000000000011E-2</v>
      </c>
      <c r="E7" s="63"/>
    </row>
    <row r="8" spans="1:5" ht="16" customHeight="1">
      <c r="A8" s="46" t="s">
        <v>31</v>
      </c>
      <c r="B8" s="64">
        <v>5.3832602562404443E-2</v>
      </c>
      <c r="C8" s="65"/>
      <c r="D8" s="64">
        <v>6.4431104932666197E-2</v>
      </c>
      <c r="E8" s="65"/>
    </row>
    <row r="9" spans="1:5" ht="16" customHeight="1">
      <c r="A9" s="44" t="s">
        <v>32</v>
      </c>
      <c r="B9" s="66">
        <v>0.39013325979698232</v>
      </c>
      <c r="C9" s="63"/>
      <c r="D9" s="66">
        <v>0.52364381017028427</v>
      </c>
      <c r="E9" s="63"/>
    </row>
    <row r="10" spans="1:5" ht="16" customHeight="1">
      <c r="A10" s="44" t="s">
        <v>33</v>
      </c>
      <c r="B10" s="62">
        <v>7.3904497600149111E-2</v>
      </c>
      <c r="C10" s="63"/>
      <c r="D10" s="62">
        <v>7.5095139422881152E-2</v>
      </c>
      <c r="E10" s="63"/>
    </row>
    <row r="11" spans="1:5" ht="16" customHeight="1">
      <c r="A11" s="42" t="s">
        <v>34</v>
      </c>
      <c r="B11" s="43"/>
      <c r="C11" s="43"/>
      <c r="D11" s="43"/>
      <c r="E11" s="43"/>
    </row>
    <row r="12" spans="1:5" ht="16" customHeight="1">
      <c r="A12" s="47" t="s">
        <v>35</v>
      </c>
      <c r="B12" s="48" t="s">
        <v>36</v>
      </c>
      <c r="C12" s="48" t="s">
        <v>37</v>
      </c>
      <c r="D12" s="48" t="s">
        <v>36</v>
      </c>
      <c r="E12" s="48" t="s">
        <v>37</v>
      </c>
    </row>
    <row r="13" spans="1:5" ht="16" customHeight="1">
      <c r="A13" s="49" t="s">
        <v>93</v>
      </c>
      <c r="B13" s="45">
        <v>-0.1776017866289766</v>
      </c>
      <c r="C13" s="45">
        <v>-0.30112278708572859</v>
      </c>
      <c r="D13" s="45">
        <v>-0.18055610612543321</v>
      </c>
      <c r="E13" s="45">
        <v>-0.30363337932945272</v>
      </c>
    </row>
    <row r="14" spans="1:5" ht="16" customHeight="1">
      <c r="A14" s="49" t="s">
        <v>38</v>
      </c>
      <c r="B14" s="45">
        <v>9.1966297004391961E-2</v>
      </c>
      <c r="C14" s="45">
        <v>-7.981103117669619E-2</v>
      </c>
      <c r="D14" s="45">
        <v>7.8775543714589391E-2</v>
      </c>
      <c r="E14" s="45">
        <v>-9.0926745737708092E-2</v>
      </c>
    </row>
    <row r="15" spans="1:5" ht="16" customHeight="1">
      <c r="A15" s="49" t="s">
        <v>39</v>
      </c>
      <c r="B15" s="45">
        <v>3.3833922099381297E-2</v>
      </c>
      <c r="C15" s="45">
        <v>-9.2351671693732484E-2</v>
      </c>
      <c r="D15" s="45">
        <v>6.4064379367686941E-2</v>
      </c>
      <c r="E15" s="45">
        <v>-6.5811021965589744E-2</v>
      </c>
    </row>
    <row r="16" spans="1:5" ht="16" customHeight="1">
      <c r="A16" s="49" t="s">
        <v>40</v>
      </c>
      <c r="B16" s="45">
        <v>-9.3805687596971943E-2</v>
      </c>
      <c r="C16" s="45">
        <v>-9.6177114287752663E-2</v>
      </c>
      <c r="D16" s="45">
        <v>-9.7941054733545196E-2</v>
      </c>
      <c r="E16" s="45">
        <v>-0.1003016595510592</v>
      </c>
    </row>
    <row r="17" spans="1:5" ht="16" customHeight="1">
      <c r="A17" s="49" t="s">
        <v>41</v>
      </c>
      <c r="B17" s="45">
        <v>-3.1535848841887197E-2</v>
      </c>
      <c r="C17" s="45">
        <v>-5.4164174740227389E-2</v>
      </c>
      <c r="D17" s="45">
        <v>-2.765350588028781E-2</v>
      </c>
      <c r="E17" s="45">
        <v>-5.0372543367362743E-2</v>
      </c>
    </row>
    <row r="18" spans="1:5" ht="16" customHeight="1">
      <c r="A18" s="49" t="s">
        <v>42</v>
      </c>
      <c r="B18" s="45">
        <v>-6.7084778089725683E-2</v>
      </c>
      <c r="C18" s="45">
        <v>-6.8230253751904613E-2</v>
      </c>
      <c r="D18" s="45">
        <v>-7.9916796300670057E-2</v>
      </c>
      <c r="E18" s="45">
        <v>-8.1046516228338472E-2</v>
      </c>
    </row>
    <row r="19" spans="1:5" ht="16" customHeight="1">
      <c r="A19" s="49" t="s">
        <v>43</v>
      </c>
      <c r="B19" s="45">
        <v>-0.18876721497667329</v>
      </c>
      <c r="C19" s="45">
        <v>-0.23274034313104919</v>
      </c>
      <c r="D19" s="45">
        <v>-0.1409407932870371</v>
      </c>
      <c r="E19" s="45">
        <v>-0.18750636766517259</v>
      </c>
    </row>
    <row r="20" spans="1:5" ht="16" customHeight="1">
      <c r="A20" s="49" t="s">
        <v>44</v>
      </c>
      <c r="B20" s="45">
        <v>-0.25987242236582753</v>
      </c>
      <c r="C20" s="45">
        <v>-0.27210455637801051</v>
      </c>
      <c r="D20" s="45">
        <v>-0.29538143519201682</v>
      </c>
      <c r="E20" s="45">
        <v>-0.30702670956451628</v>
      </c>
    </row>
    <row r="21" spans="1:5" ht="16" customHeight="1">
      <c r="A21" s="49" t="s">
        <v>45</v>
      </c>
      <c r="B21" s="45">
        <v>-8.9207423756033855E-2</v>
      </c>
      <c r="C21" s="45">
        <v>-8.5983283903999119E-2</v>
      </c>
      <c r="D21" s="45">
        <v>-0.1092578089622447</v>
      </c>
      <c r="E21" s="45">
        <v>-0.10610464602381051</v>
      </c>
    </row>
    <row r="22" spans="1:5" ht="16" customHeight="1">
      <c r="A22" s="47" t="s">
        <v>46</v>
      </c>
      <c r="B22" s="48"/>
      <c r="C22" s="48"/>
      <c r="D22" s="48"/>
      <c r="E22" s="48"/>
    </row>
    <row r="23" spans="1:5" ht="16" customHeight="1">
      <c r="A23" s="49" t="s">
        <v>47</v>
      </c>
      <c r="B23" s="45">
        <v>5.4343730281515963E-2</v>
      </c>
      <c r="C23" s="45">
        <v>5.6344567324771777E-2</v>
      </c>
      <c r="D23" s="45">
        <v>5.7861316067238773E-2</v>
      </c>
      <c r="E23" s="45">
        <v>5.9854710537364908E-2</v>
      </c>
    </row>
    <row r="24" spans="1:5" ht="16" customHeight="1">
      <c r="A24" s="49" t="s">
        <v>48</v>
      </c>
      <c r="B24" s="45">
        <v>0.1623335163683407</v>
      </c>
      <c r="C24" s="45">
        <v>0.1812045715294813</v>
      </c>
      <c r="D24" s="45">
        <v>0.19742360658304531</v>
      </c>
      <c r="E24" s="45">
        <v>0.21512829632760089</v>
      </c>
    </row>
    <row r="25" spans="1:5" ht="16" customHeight="1">
      <c r="A25" s="49" t="s">
        <v>49</v>
      </c>
      <c r="B25" s="45">
        <v>0.1909841808946714</v>
      </c>
      <c r="C25" s="45">
        <v>0.24478438742884201</v>
      </c>
      <c r="D25" s="45">
        <v>0.1823803443255978</v>
      </c>
      <c r="E25" s="45">
        <v>0.2323129793194352</v>
      </c>
    </row>
    <row r="26" spans="1:5" ht="16" hidden="1" customHeight="1">
      <c r="A26" s="47" t="s">
        <v>50</v>
      </c>
      <c r="B26" s="48"/>
      <c r="C26" s="48"/>
      <c r="D26" s="48"/>
      <c r="E26" s="48"/>
    </row>
    <row r="27" spans="1:5" ht="16" hidden="1" customHeight="1">
      <c r="A27" s="49" t="s">
        <v>47</v>
      </c>
      <c r="B27" s="45">
        <v>7.1864010159486513E-2</v>
      </c>
      <c r="C27" s="45">
        <v>7.3827777470207856E-2</v>
      </c>
      <c r="D27" s="45">
        <v>8.023634617565778E-2</v>
      </c>
      <c r="E27" s="45">
        <v>8.2182399142831541E-2</v>
      </c>
    </row>
    <row r="28" spans="1:5" ht="16" hidden="1" customHeight="1">
      <c r="A28" s="49" t="s">
        <v>48</v>
      </c>
      <c r="B28" s="45">
        <v>0.1974163616175966</v>
      </c>
      <c r="C28" s="45">
        <v>0.21563136088152421</v>
      </c>
      <c r="D28" s="45">
        <v>0.22128131377722929</v>
      </c>
      <c r="E28" s="45">
        <v>0.24041734846749269</v>
      </c>
    </row>
    <row r="29" spans="1:5" ht="16" hidden="1" customHeight="1">
      <c r="A29" s="49" t="s">
        <v>49</v>
      </c>
      <c r="B29" s="45">
        <v>0.24037887766160429</v>
      </c>
      <c r="C29" s="45">
        <v>0.28832371414060048</v>
      </c>
      <c r="D29" s="45">
        <v>0.23717115075981349</v>
      </c>
      <c r="E29" s="45">
        <v>0.28471072762898181</v>
      </c>
    </row>
    <row r="30" spans="1:5" ht="16" customHeight="1">
      <c r="A30" s="47" t="s">
        <v>51</v>
      </c>
      <c r="B30" s="48"/>
      <c r="C30" s="48"/>
      <c r="D30" s="48"/>
      <c r="E30" s="48"/>
    </row>
    <row r="31" spans="1:5" ht="16" customHeight="1">
      <c r="A31" s="49" t="s">
        <v>47</v>
      </c>
      <c r="B31" s="45">
        <v>0.3473</v>
      </c>
      <c r="C31" s="45">
        <v>0.38829999999999998</v>
      </c>
      <c r="D31" s="45">
        <v>0.30495</v>
      </c>
      <c r="E31" s="45">
        <v>0.34620000000000001</v>
      </c>
    </row>
    <row r="32" spans="1:5" ht="16" customHeight="1">
      <c r="A32" s="49" t="s">
        <v>48</v>
      </c>
      <c r="B32" s="45">
        <v>0.19</v>
      </c>
      <c r="C32" s="45">
        <v>0.26274999999999998</v>
      </c>
      <c r="D32" s="45">
        <v>0.16594999999999999</v>
      </c>
      <c r="E32" s="45">
        <v>0.23294999999999999</v>
      </c>
    </row>
    <row r="33" spans="1:5" ht="16" customHeight="1">
      <c r="A33" s="49" t="s">
        <v>49</v>
      </c>
      <c r="B33" s="45">
        <v>0.1142</v>
      </c>
      <c r="C33" s="45">
        <v>0.19855</v>
      </c>
      <c r="D33" s="45">
        <v>9.1550000000000006E-2</v>
      </c>
      <c r="E33" s="45">
        <v>0.15820000000000001</v>
      </c>
    </row>
    <row r="34" spans="1:5" ht="16" customHeight="1">
      <c r="A34" s="42" t="s">
        <v>52</v>
      </c>
      <c r="B34" s="43"/>
      <c r="C34" s="43"/>
      <c r="D34" s="43"/>
      <c r="E34" s="43"/>
    </row>
    <row r="35" spans="1:5" ht="16" customHeight="1">
      <c r="A35" s="52"/>
      <c r="B35" s="52"/>
      <c r="C35" s="52"/>
      <c r="D35" s="52"/>
      <c r="E35" s="52"/>
    </row>
    <row r="36" spans="1:5" ht="20" customHeight="1">
      <c r="A36" s="52"/>
      <c r="B36" s="52"/>
      <c r="C36" s="52"/>
      <c r="D36" s="52"/>
      <c r="E36" s="52"/>
    </row>
    <row r="37" spans="1:5">
      <c r="A37" s="52"/>
      <c r="B37" s="52"/>
      <c r="C37" s="52"/>
      <c r="D37" s="52"/>
      <c r="E37" s="52"/>
    </row>
    <row r="38" spans="1:5">
      <c r="A38" s="52"/>
      <c r="B38" s="52"/>
      <c r="C38" s="52"/>
      <c r="D38" s="52"/>
      <c r="E38" s="52"/>
    </row>
    <row r="39" spans="1:5">
      <c r="A39" s="52"/>
      <c r="B39" s="52"/>
      <c r="C39" s="52"/>
      <c r="D39" s="52"/>
      <c r="E39" s="52"/>
    </row>
    <row r="40" spans="1:5">
      <c r="A40" s="52"/>
      <c r="B40" s="52"/>
      <c r="C40" s="52"/>
      <c r="D40" s="52"/>
      <c r="E40" s="52"/>
    </row>
    <row r="41" spans="1:5">
      <c r="A41" s="52"/>
      <c r="B41" s="52"/>
      <c r="C41" s="52"/>
      <c r="D41" s="52"/>
      <c r="E41" s="52"/>
    </row>
    <row r="42" spans="1:5">
      <c r="A42" s="52"/>
      <c r="B42" s="52"/>
      <c r="C42" s="52"/>
      <c r="D42" s="52"/>
      <c r="E42" s="52"/>
    </row>
    <row r="43" spans="1:5">
      <c r="A43" s="52"/>
      <c r="B43" s="52"/>
      <c r="C43" s="52"/>
      <c r="D43" s="52"/>
      <c r="E43" s="52"/>
    </row>
  </sheetData>
  <mergeCells count="20">
    <mergeCell ref="B1:C1"/>
    <mergeCell ref="D1:E1"/>
    <mergeCell ref="B2:C2"/>
    <mergeCell ref="D2:E2"/>
    <mergeCell ref="B3:C3"/>
    <mergeCell ref="D3:E3"/>
    <mergeCell ref="B4:C4"/>
    <mergeCell ref="D4:E4"/>
    <mergeCell ref="B5:C5"/>
    <mergeCell ref="D5:E5"/>
    <mergeCell ref="B6:C6"/>
    <mergeCell ref="D6:E6"/>
    <mergeCell ref="B10:C10"/>
    <mergeCell ref="D10:E10"/>
    <mergeCell ref="B7:C7"/>
    <mergeCell ref="D7:E7"/>
    <mergeCell ref="B8:C8"/>
    <mergeCell ref="D8:E8"/>
    <mergeCell ref="B9:C9"/>
    <mergeCell ref="D9:E9"/>
  </mergeCells>
  <conditionalFormatting sqref="B13:E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workbookViewId="0">
      <selection activeCell="D16" sqref="D16"/>
    </sheetView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4" customHeight="1">
      <c r="A1" s="1"/>
      <c r="B1" s="70" t="s">
        <v>53</v>
      </c>
      <c r="C1" s="71"/>
      <c r="D1" s="71"/>
      <c r="E1" s="71"/>
      <c r="F1" s="71"/>
      <c r="G1" s="71"/>
      <c r="H1" s="3"/>
      <c r="I1" s="70" t="s">
        <v>54</v>
      </c>
      <c r="J1" s="71"/>
    </row>
    <row r="2" spans="1:10" ht="49" customHeight="1">
      <c r="A2" s="4"/>
      <c r="B2" s="72" t="s">
        <v>55</v>
      </c>
      <c r="C2" s="71"/>
      <c r="D2" s="71"/>
      <c r="E2" s="2" t="s">
        <v>33</v>
      </c>
      <c r="F2" s="2" t="s">
        <v>32</v>
      </c>
      <c r="G2" s="5" t="s">
        <v>56</v>
      </c>
      <c r="H2" s="2" t="s">
        <v>57</v>
      </c>
      <c r="I2" s="2" t="s">
        <v>58</v>
      </c>
      <c r="J2" s="2" t="s">
        <v>59</v>
      </c>
    </row>
    <row r="3" spans="1:10" ht="17" customHeight="1">
      <c r="A3" s="6" t="s">
        <v>2</v>
      </c>
      <c r="B3" s="7"/>
      <c r="C3" s="7"/>
      <c r="D3" s="7"/>
      <c r="E3" s="7"/>
      <c r="F3" s="8"/>
      <c r="G3" s="7"/>
      <c r="H3" s="7"/>
      <c r="I3" s="7"/>
      <c r="J3" s="7"/>
    </row>
    <row r="4" spans="1:10" ht="17" customHeight="1">
      <c r="A4" s="9" t="s">
        <v>60</v>
      </c>
      <c r="B4" s="10">
        <v>5.7327167405640464E-3</v>
      </c>
      <c r="C4" s="11">
        <v>1.08673517608701E-2</v>
      </c>
      <c r="D4" s="12">
        <v>1.6001986781176161E-2</v>
      </c>
      <c r="E4" s="11">
        <v>3.2110810353131201E-2</v>
      </c>
      <c r="F4" s="13">
        <v>0.33843280942956339</v>
      </c>
      <c r="G4" s="11">
        <v>3.5867351760870102E-2</v>
      </c>
      <c r="H4" s="14">
        <v>0</v>
      </c>
      <c r="I4" s="15">
        <v>26723</v>
      </c>
      <c r="J4" s="15">
        <v>45777</v>
      </c>
    </row>
    <row r="5" spans="1:10" ht="17" customHeight="1">
      <c r="A5" s="9" t="s">
        <v>61</v>
      </c>
      <c r="B5" s="10">
        <v>4.383045164846216E-4</v>
      </c>
      <c r="C5" s="11">
        <v>3.090125303729937E-3</v>
      </c>
      <c r="D5" s="12">
        <v>5.7419460909752511E-3</v>
      </c>
      <c r="E5" s="11">
        <v>1.4730739161551419E-2</v>
      </c>
      <c r="F5" s="13">
        <v>0.20977394751482981</v>
      </c>
      <c r="G5" s="11">
        <v>2.8090125303729941E-2</v>
      </c>
      <c r="H5" s="14">
        <v>0</v>
      </c>
      <c r="I5" s="15">
        <v>33662</v>
      </c>
      <c r="J5" s="15">
        <v>45777</v>
      </c>
    </row>
    <row r="6" spans="1:10" ht="17" customHeight="1">
      <c r="A6" s="9" t="s">
        <v>62</v>
      </c>
      <c r="B6" s="10">
        <v>1.3188133857977581E-2</v>
      </c>
      <c r="C6" s="11">
        <v>1.994219801661444E-2</v>
      </c>
      <c r="D6" s="12">
        <v>2.6696262175251301E-2</v>
      </c>
      <c r="E6" s="11">
        <v>4.2238342638410448E-2</v>
      </c>
      <c r="F6" s="13">
        <v>0.47213495537297723</v>
      </c>
      <c r="G6" s="11">
        <v>4.4942198016614442E-2</v>
      </c>
      <c r="H6" s="14">
        <v>0</v>
      </c>
      <c r="I6" s="15">
        <v>26723</v>
      </c>
      <c r="J6" s="15">
        <v>45777</v>
      </c>
    </row>
    <row r="7" spans="1:10" ht="17" customHeight="1">
      <c r="A7" s="16" t="s">
        <v>4</v>
      </c>
      <c r="B7" s="17"/>
      <c r="C7" s="18"/>
      <c r="D7" s="19"/>
      <c r="E7" s="18"/>
      <c r="F7" s="20"/>
      <c r="G7" s="18"/>
      <c r="H7" s="21"/>
      <c r="I7" s="22"/>
      <c r="J7" s="22"/>
    </row>
    <row r="8" spans="1:10" ht="17" customHeight="1">
      <c r="A8" s="9" t="s">
        <v>63</v>
      </c>
      <c r="B8" s="10">
        <v>1.9835862777540909E-2</v>
      </c>
      <c r="C8" s="11">
        <v>3.2957299522559658E-2</v>
      </c>
      <c r="D8" s="12">
        <v>4.6078736267578413E-2</v>
      </c>
      <c r="E8" s="11">
        <v>8.205840633533279E-2</v>
      </c>
      <c r="F8" s="13">
        <v>0.40163221532574261</v>
      </c>
      <c r="G8" s="11">
        <v>5.7957299522559659E-2</v>
      </c>
      <c r="H8" s="14">
        <v>0</v>
      </c>
      <c r="I8" s="15">
        <v>30559</v>
      </c>
      <c r="J8" s="15">
        <v>45777</v>
      </c>
    </row>
    <row r="9" spans="1:10" ht="17" customHeight="1">
      <c r="A9" s="9" t="s">
        <v>64</v>
      </c>
      <c r="B9" s="10">
        <v>2.4425401646782582E-2</v>
      </c>
      <c r="C9" s="11">
        <v>4.711068434546873E-2</v>
      </c>
      <c r="D9" s="12">
        <v>6.9795967044154889E-2</v>
      </c>
      <c r="E9" s="11">
        <v>0.1220196208482812</v>
      </c>
      <c r="F9" s="13">
        <v>0.38609105665101201</v>
      </c>
      <c r="G9" s="11">
        <v>7.2110684345468731E-2</v>
      </c>
      <c r="H9" s="14">
        <v>0</v>
      </c>
      <c r="I9" s="15">
        <v>34365</v>
      </c>
      <c r="J9" s="15">
        <v>45107</v>
      </c>
    </row>
    <row r="10" spans="1:10" ht="17" customHeight="1">
      <c r="A10" s="16" t="s">
        <v>6</v>
      </c>
      <c r="B10" s="17"/>
      <c r="C10" s="18"/>
      <c r="D10" s="19"/>
      <c r="E10" s="18"/>
      <c r="F10" s="20"/>
      <c r="G10" s="18"/>
      <c r="H10" s="21"/>
      <c r="I10" s="22"/>
      <c r="J10" s="22"/>
    </row>
    <row r="11" spans="1:10" ht="17" customHeight="1">
      <c r="A11" s="9" t="s">
        <v>65</v>
      </c>
      <c r="B11" s="10">
        <v>2.1935921675440812E-2</v>
      </c>
      <c r="C11" s="11">
        <v>4.6797853363938761E-2</v>
      </c>
      <c r="D11" s="12">
        <v>7.1659785052436711E-2</v>
      </c>
      <c r="E11" s="11">
        <v>0.1469643018055917</v>
      </c>
      <c r="F11" s="13">
        <v>0.31843007307886378</v>
      </c>
      <c r="G11" s="11">
        <v>7.1797853363938763E-2</v>
      </c>
      <c r="H11" s="14">
        <v>0.7</v>
      </c>
      <c r="I11" s="15">
        <v>32171</v>
      </c>
      <c r="J11" s="15">
        <v>45777</v>
      </c>
    </row>
    <row r="12" spans="1:10" ht="17" customHeight="1">
      <c r="A12" s="9" t="s">
        <v>66</v>
      </c>
      <c r="B12" s="10">
        <v>1.7176160239301099E-2</v>
      </c>
      <c r="C12" s="11">
        <v>4.424482346715447E-2</v>
      </c>
      <c r="D12" s="12">
        <v>7.1313486695007838E-2</v>
      </c>
      <c r="E12" s="11">
        <v>0.16928110917035849</v>
      </c>
      <c r="F12" s="13">
        <v>0.26136893646312331</v>
      </c>
      <c r="G12" s="11">
        <v>6.9244823467154465E-2</v>
      </c>
      <c r="H12" s="14">
        <v>0</v>
      </c>
      <c r="I12" s="15">
        <v>28886</v>
      </c>
      <c r="J12" s="15">
        <v>45777</v>
      </c>
    </row>
    <row r="13" spans="1:10" ht="17" customHeight="1">
      <c r="A13" s="9" t="s">
        <v>67</v>
      </c>
      <c r="B13" s="10">
        <v>3.8328393380117107E-2</v>
      </c>
      <c r="C13" s="11">
        <v>6.1473144644885618E-2</v>
      </c>
      <c r="D13" s="12">
        <v>8.4617895909654142E-2</v>
      </c>
      <c r="E13" s="11">
        <v>0.14474187855499729</v>
      </c>
      <c r="F13" s="13">
        <v>0.42470876610550412</v>
      </c>
      <c r="G13" s="11">
        <v>8.6473144644885619E-2</v>
      </c>
      <c r="H13" s="14">
        <v>0</v>
      </c>
      <c r="I13" s="15">
        <v>28886</v>
      </c>
      <c r="J13" s="15">
        <v>45777</v>
      </c>
    </row>
    <row r="14" spans="1:10" ht="17" customHeight="1">
      <c r="A14" s="9" t="s">
        <v>68</v>
      </c>
      <c r="B14" s="10">
        <v>3.9548088591888853E-2</v>
      </c>
      <c r="C14" s="11">
        <v>7.0287620802001793E-2</v>
      </c>
      <c r="D14" s="12">
        <v>0.10102715301211471</v>
      </c>
      <c r="E14" s="11">
        <v>0.19223786797684969</v>
      </c>
      <c r="F14" s="13">
        <v>0.36562838290771188</v>
      </c>
      <c r="G14" s="11">
        <v>9.5287620802001788E-2</v>
      </c>
      <c r="H14" s="14">
        <v>0</v>
      </c>
      <c r="I14" s="15">
        <v>28886</v>
      </c>
      <c r="J14" s="15">
        <v>45777</v>
      </c>
    </row>
    <row r="15" spans="1:10" ht="17" customHeight="1">
      <c r="A15" s="9" t="s">
        <v>69</v>
      </c>
      <c r="B15" s="10">
        <v>2.1019364331575061E-2</v>
      </c>
      <c r="C15" s="11">
        <v>4.7103364879311882E-2</v>
      </c>
      <c r="D15" s="12">
        <v>7.3187365427048678E-2</v>
      </c>
      <c r="E15" s="11">
        <v>0.16312325832838301</v>
      </c>
      <c r="F15" s="13">
        <v>0.2887593428552549</v>
      </c>
      <c r="G15" s="11">
        <v>7.2103364879311876E-2</v>
      </c>
      <c r="H15" s="14">
        <v>0.7</v>
      </c>
      <c r="I15" s="15">
        <v>25626</v>
      </c>
      <c r="J15" s="15">
        <v>45777</v>
      </c>
    </row>
    <row r="16" spans="1:10" ht="17" customHeight="1">
      <c r="A16" s="9" t="s">
        <v>70</v>
      </c>
      <c r="B16" s="10">
        <v>2.537093070079656E-2</v>
      </c>
      <c r="C16" s="11">
        <v>4.9088970154403527E-2</v>
      </c>
      <c r="D16" s="12">
        <v>7.2807009608010495E-2</v>
      </c>
      <c r="E16" s="11">
        <v>0.1483270892343698</v>
      </c>
      <c r="F16" s="13">
        <v>0.3309508088359952</v>
      </c>
      <c r="G16" s="11">
        <v>7.4088970154403522E-2</v>
      </c>
      <c r="H16" s="14">
        <v>0.7</v>
      </c>
      <c r="I16" s="15">
        <v>25598</v>
      </c>
      <c r="J16" s="15">
        <v>45777</v>
      </c>
    </row>
    <row r="17" spans="1:10" ht="17" customHeight="1">
      <c r="A17" s="9" t="s">
        <v>71</v>
      </c>
      <c r="B17" s="10">
        <v>-1.5284258244867221E-3</v>
      </c>
      <c r="C17" s="11">
        <v>2.794593789750548E-2</v>
      </c>
      <c r="D17" s="12">
        <v>5.7420301619497682E-2</v>
      </c>
      <c r="E17" s="11">
        <v>0.18432579920737729</v>
      </c>
      <c r="F17" s="13">
        <v>0.1516116464308106</v>
      </c>
      <c r="G17" s="11">
        <v>5.2945937897505492E-2</v>
      </c>
      <c r="H17" s="14">
        <v>0.7</v>
      </c>
      <c r="I17" s="15">
        <v>25598</v>
      </c>
      <c r="J17" s="15">
        <v>45777</v>
      </c>
    </row>
    <row r="18" spans="1:10" ht="17" customHeight="1">
      <c r="A18" s="9" t="s">
        <v>72</v>
      </c>
      <c r="B18" s="10">
        <v>2.752917685078872E-2</v>
      </c>
      <c r="C18" s="11">
        <v>5.6461831660523182E-2</v>
      </c>
      <c r="D18" s="12">
        <v>8.5394486470257644E-2</v>
      </c>
      <c r="E18" s="11">
        <v>0.17102723419765431</v>
      </c>
      <c r="F18" s="13">
        <v>0.33013357156481221</v>
      </c>
      <c r="G18" s="11">
        <v>8.1461831660523176E-2</v>
      </c>
      <c r="H18" s="14">
        <v>0.7</v>
      </c>
      <c r="I18" s="15">
        <v>25626</v>
      </c>
      <c r="J18" s="15">
        <v>45777</v>
      </c>
    </row>
    <row r="19" spans="1:10" ht="17" customHeight="1">
      <c r="A19" s="9" t="s">
        <v>73</v>
      </c>
      <c r="B19" s="10">
        <v>3.5868022051295953E-2</v>
      </c>
      <c r="C19" s="11">
        <v>7.5245769473422777E-2</v>
      </c>
      <c r="D19" s="12">
        <v>0.1146235168955496</v>
      </c>
      <c r="E19" s="11">
        <v>0.23277045521153711</v>
      </c>
      <c r="F19" s="13">
        <v>0.32326168458553273</v>
      </c>
      <c r="G19" s="11">
        <v>0.1002457694734228</v>
      </c>
      <c r="H19" s="14">
        <v>0</v>
      </c>
      <c r="I19" s="15">
        <v>32171</v>
      </c>
      <c r="J19" s="15">
        <v>45777</v>
      </c>
    </row>
    <row r="20" spans="1:10" ht="17" customHeight="1">
      <c r="A20" s="9" t="s">
        <v>74</v>
      </c>
      <c r="B20" s="10">
        <v>3.4888825869154892E-2</v>
      </c>
      <c r="C20" s="11">
        <v>5.8342310196128892E-2</v>
      </c>
      <c r="D20" s="12">
        <v>8.1795794523102885E-2</v>
      </c>
      <c r="E20" s="11">
        <v>0.1356219911958427</v>
      </c>
      <c r="F20" s="13">
        <v>0.43018325923176148</v>
      </c>
      <c r="G20" s="11">
        <v>8.3342310196128894E-2</v>
      </c>
      <c r="H20" s="14">
        <v>0.7</v>
      </c>
      <c r="I20" s="15">
        <v>32720</v>
      </c>
      <c r="J20" s="15">
        <v>44925</v>
      </c>
    </row>
    <row r="21" spans="1:10" ht="17" customHeight="1">
      <c r="A21" s="9" t="s">
        <v>75</v>
      </c>
      <c r="B21" s="10">
        <v>1.6888386115265861E-2</v>
      </c>
      <c r="C21" s="11">
        <v>4.5625590064520903E-2</v>
      </c>
      <c r="D21" s="12">
        <v>7.4362794013775935E-2</v>
      </c>
      <c r="E21" s="11">
        <v>0.1405898501681038</v>
      </c>
      <c r="F21" s="13">
        <v>0.3245297580868477</v>
      </c>
      <c r="G21" s="11">
        <v>7.0625590064520904E-2</v>
      </c>
      <c r="H21" s="14">
        <v>0.7</v>
      </c>
      <c r="I21" s="15">
        <v>36189</v>
      </c>
      <c r="J21" s="15">
        <v>45777</v>
      </c>
    </row>
    <row r="22" spans="1:10" ht="17" customHeight="1">
      <c r="A22" s="16" t="s">
        <v>18</v>
      </c>
      <c r="B22" s="17"/>
      <c r="C22" s="18"/>
      <c r="D22" s="19"/>
      <c r="E22" s="18"/>
      <c r="F22" s="20"/>
      <c r="G22" s="18"/>
      <c r="H22" s="21"/>
      <c r="I22" s="22"/>
      <c r="J22" s="22"/>
    </row>
    <row r="23" spans="1:10" ht="17" customHeight="1">
      <c r="A23" s="9" t="s">
        <v>76</v>
      </c>
      <c r="B23" s="10">
        <v>7.8845227205770647E-3</v>
      </c>
      <c r="C23" s="11">
        <v>1.9381268325582329E-2</v>
      </c>
      <c r="D23" s="12">
        <v>3.0878013930587589E-2</v>
      </c>
      <c r="E23" s="11">
        <v>6.1838706545769943E-2</v>
      </c>
      <c r="F23" s="13">
        <v>0.31341645723519901</v>
      </c>
      <c r="G23" s="11">
        <v>4.4381268325582333E-2</v>
      </c>
      <c r="H23" s="14">
        <v>1</v>
      </c>
      <c r="I23" s="15">
        <v>34365</v>
      </c>
      <c r="J23" s="15">
        <v>45777</v>
      </c>
    </row>
    <row r="24" spans="1:10" ht="17" customHeight="1">
      <c r="A24" s="9" t="s">
        <v>77</v>
      </c>
      <c r="B24" s="10">
        <v>4.352380054283532E-3</v>
      </c>
      <c r="C24" s="11">
        <v>2.0773446286426561E-2</v>
      </c>
      <c r="D24" s="12">
        <v>3.7194512518569589E-2</v>
      </c>
      <c r="E24" s="11">
        <v>8.8325647168886814E-2</v>
      </c>
      <c r="F24" s="13">
        <v>0.2351915548006776</v>
      </c>
      <c r="G24" s="11">
        <v>4.5773446286426558E-2</v>
      </c>
      <c r="H24" s="14">
        <v>1</v>
      </c>
      <c r="I24" s="15">
        <v>34365</v>
      </c>
      <c r="J24" s="15">
        <v>45777</v>
      </c>
    </row>
    <row r="25" spans="1:10" ht="17" customHeight="1">
      <c r="A25" s="9" t="s">
        <v>78</v>
      </c>
      <c r="B25" s="10">
        <v>1.069289996815624E-2</v>
      </c>
      <c r="C25" s="11">
        <v>2.7968658495309971E-2</v>
      </c>
      <c r="D25" s="12">
        <v>4.5244417022463707E-2</v>
      </c>
      <c r="E25" s="11">
        <v>7.3138510600272974E-2</v>
      </c>
      <c r="F25" s="13">
        <v>0.38240672753330018</v>
      </c>
      <c r="G25" s="11">
        <v>5.2968658495309982E-2</v>
      </c>
      <c r="H25" s="14">
        <v>1</v>
      </c>
      <c r="I25" s="15">
        <v>38383</v>
      </c>
      <c r="J25" s="15">
        <v>45777</v>
      </c>
    </row>
    <row r="26" spans="1:10" ht="17" customHeight="1">
      <c r="A26" s="16" t="s">
        <v>22</v>
      </c>
      <c r="B26" s="17"/>
      <c r="C26" s="18"/>
      <c r="D26" s="19"/>
      <c r="E26" s="18"/>
      <c r="F26" s="20"/>
      <c r="G26" s="18"/>
      <c r="H26" s="21"/>
      <c r="I26" s="22"/>
      <c r="J26" s="22"/>
    </row>
    <row r="27" spans="1:10" ht="17" customHeight="1">
      <c r="A27" s="9" t="s">
        <v>79</v>
      </c>
      <c r="B27" s="10">
        <v>4.5939112472551773E-2</v>
      </c>
      <c r="C27" s="11">
        <v>7.5334467957283519E-2</v>
      </c>
      <c r="D27" s="12">
        <v>0.1047298234420153</v>
      </c>
      <c r="E27" s="11">
        <v>0.17157286206366901</v>
      </c>
      <c r="F27" s="13">
        <v>0.43908149022616211</v>
      </c>
      <c r="G27" s="11">
        <v>0.1003344679572835</v>
      </c>
      <c r="H27" s="14">
        <v>0</v>
      </c>
      <c r="I27" s="15">
        <v>25598</v>
      </c>
      <c r="J27" s="15">
        <v>45777</v>
      </c>
    </row>
    <row r="28" spans="1:10" ht="17" customHeight="1">
      <c r="A28" s="9" t="s">
        <v>80</v>
      </c>
      <c r="B28" s="10">
        <v>4.4179950842610477E-2</v>
      </c>
      <c r="C28" s="11">
        <v>7.7416900007292733E-2</v>
      </c>
      <c r="D28" s="12">
        <v>0.110653849171975</v>
      </c>
      <c r="E28" s="11">
        <v>0.193995221367919</v>
      </c>
      <c r="F28" s="13">
        <v>0.39906601544822989</v>
      </c>
      <c r="G28" s="11">
        <v>0.1024169000072927</v>
      </c>
      <c r="H28" s="14">
        <v>0</v>
      </c>
      <c r="I28" s="15">
        <v>28886</v>
      </c>
      <c r="J28" s="15">
        <v>45777</v>
      </c>
    </row>
    <row r="29" spans="1:10" ht="17" customHeight="1">
      <c r="A29" s="9" t="s">
        <v>81</v>
      </c>
      <c r="B29" s="10">
        <v>3.6776323460346337E-2</v>
      </c>
      <c r="C29" s="11">
        <v>7.1926639986805055E-2</v>
      </c>
      <c r="D29" s="12">
        <v>0.10707695651326379</v>
      </c>
      <c r="E29" s="11">
        <v>0.2051630371342468</v>
      </c>
      <c r="F29" s="13">
        <v>0.35058283885581409</v>
      </c>
      <c r="G29" s="11">
        <v>9.6926639986805063E-2</v>
      </c>
      <c r="H29" s="14">
        <v>0</v>
      </c>
      <c r="I29" s="15">
        <v>30680</v>
      </c>
      <c r="J29" s="15">
        <v>44925</v>
      </c>
    </row>
    <row r="30" spans="1:10" ht="17" customHeight="1">
      <c r="A30" s="16" t="s">
        <v>26</v>
      </c>
      <c r="B30" s="17"/>
      <c r="C30" s="18"/>
      <c r="D30" s="19"/>
      <c r="E30" s="18"/>
      <c r="F30" s="20"/>
      <c r="G30" s="18"/>
      <c r="H30" s="21"/>
      <c r="I30" s="22"/>
      <c r="J30" s="22"/>
    </row>
    <row r="31" spans="1:10" ht="17" customHeight="1">
      <c r="A31" s="9" t="s">
        <v>82</v>
      </c>
      <c r="B31" s="10">
        <v>3.9932017589412519E-2</v>
      </c>
      <c r="C31" s="11">
        <v>5.9395006840754223E-2</v>
      </c>
      <c r="D31" s="12">
        <v>7.8857996092095914E-2</v>
      </c>
      <c r="E31" s="11">
        <v>0.1136002853206385</v>
      </c>
      <c r="F31" s="13">
        <v>0.52284205689370356</v>
      </c>
      <c r="G31" s="11">
        <v>8.4395006840754211E-2</v>
      </c>
      <c r="H31" s="14">
        <v>0</v>
      </c>
      <c r="I31" s="15">
        <v>30589</v>
      </c>
      <c r="J31" s="15">
        <v>45777</v>
      </c>
    </row>
    <row r="32" spans="1:10" ht="17" customHeight="1">
      <c r="A32" s="9" t="s">
        <v>83</v>
      </c>
      <c r="B32" s="10">
        <v>5.3793531235283007E-2</v>
      </c>
      <c r="C32" s="11">
        <v>7.8592057555021813E-2</v>
      </c>
      <c r="D32" s="12">
        <v>0.10339058387476061</v>
      </c>
      <c r="E32" s="11">
        <v>0.14474239435031749</v>
      </c>
      <c r="F32" s="13">
        <v>0.54297884118737738</v>
      </c>
      <c r="G32" s="11">
        <v>0.10359205755502179</v>
      </c>
      <c r="H32" s="14">
        <v>0</v>
      </c>
      <c r="I32" s="15">
        <v>32720</v>
      </c>
      <c r="J32" s="15">
        <v>44925</v>
      </c>
    </row>
    <row r="33" spans="1:10" ht="17" customHeight="1">
      <c r="A33" s="23" t="s">
        <v>84</v>
      </c>
      <c r="B33" s="24">
        <v>3.7887219552275662E-2</v>
      </c>
      <c r="C33" s="25">
        <v>6.4566234659693647E-2</v>
      </c>
      <c r="D33" s="26">
        <v>9.1245249767111639E-2</v>
      </c>
      <c r="E33" s="25">
        <v>0.1557183066351116</v>
      </c>
      <c r="F33" s="27">
        <v>0.41463483680816732</v>
      </c>
      <c r="G33" s="25">
        <v>8.9566234659693655E-2</v>
      </c>
      <c r="H33" s="28">
        <v>0</v>
      </c>
      <c r="I33" s="29">
        <v>36189</v>
      </c>
      <c r="J33" s="29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85</v>
      </c>
      <c r="C1" s="50" t="s">
        <v>85</v>
      </c>
      <c r="D1" s="50" t="s">
        <v>85</v>
      </c>
      <c r="E1" s="50" t="s">
        <v>85</v>
      </c>
      <c r="F1" s="50" t="s">
        <v>86</v>
      </c>
      <c r="G1" s="50" t="s">
        <v>86</v>
      </c>
      <c r="H1" s="50" t="s">
        <v>86</v>
      </c>
      <c r="I1" s="50" t="s">
        <v>86</v>
      </c>
      <c r="J1" s="50" t="s">
        <v>87</v>
      </c>
      <c r="K1" s="50" t="s">
        <v>87</v>
      </c>
      <c r="L1" s="50" t="s">
        <v>87</v>
      </c>
      <c r="M1" s="50" t="s">
        <v>87</v>
      </c>
      <c r="N1" s="50" t="s">
        <v>88</v>
      </c>
      <c r="O1" s="50" t="s">
        <v>88</v>
      </c>
      <c r="P1" s="50" t="s">
        <v>88</v>
      </c>
      <c r="Q1" s="50" t="s">
        <v>88</v>
      </c>
    </row>
    <row r="2" spans="1:17">
      <c r="A2" s="50"/>
      <c r="B2" s="50" t="s">
        <v>89</v>
      </c>
      <c r="C2" s="50" t="s">
        <v>90</v>
      </c>
      <c r="D2" s="50" t="s">
        <v>91</v>
      </c>
      <c r="E2" s="50" t="s">
        <v>92</v>
      </c>
      <c r="F2" s="50" t="s">
        <v>89</v>
      </c>
      <c r="G2" s="50" t="s">
        <v>90</v>
      </c>
      <c r="H2" s="50" t="s">
        <v>91</v>
      </c>
      <c r="I2" s="50" t="s">
        <v>92</v>
      </c>
      <c r="J2" s="50" t="s">
        <v>89</v>
      </c>
      <c r="K2" s="50" t="s">
        <v>90</v>
      </c>
      <c r="L2" s="50" t="s">
        <v>91</v>
      </c>
      <c r="M2" s="50" t="s">
        <v>92</v>
      </c>
      <c r="N2" s="50" t="s">
        <v>89</v>
      </c>
      <c r="O2" s="50" t="s">
        <v>90</v>
      </c>
      <c r="P2" s="50" t="s">
        <v>91</v>
      </c>
      <c r="Q2" s="50" t="s">
        <v>92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88.2174050769856</v>
      </c>
      <c r="C4" s="50">
        <v>96.643229829447094</v>
      </c>
      <c r="D4" s="50">
        <v>107.2964246392673</v>
      </c>
      <c r="E4" s="50">
        <v>116.68188018607491</v>
      </c>
      <c r="F4" s="50">
        <v>85.297094479562233</v>
      </c>
      <c r="G4" s="50">
        <v>94.267873677385452</v>
      </c>
      <c r="H4" s="50">
        <v>104.929981215805</v>
      </c>
      <c r="I4" s="50">
        <v>114.36868313017609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89.118238358816328</v>
      </c>
      <c r="C5" s="50">
        <v>99.042741456065443</v>
      </c>
      <c r="D5" s="50">
        <v>113.7138018902814</v>
      </c>
      <c r="E5" s="50">
        <v>128.2969269465986</v>
      </c>
      <c r="F5" s="50">
        <v>84.250509446063276</v>
      </c>
      <c r="G5" s="50">
        <v>94.173901289540055</v>
      </c>
      <c r="H5" s="50">
        <v>108.69801749537601</v>
      </c>
      <c r="I5" s="50">
        <v>123.00062365971461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90.296735382107997</v>
      </c>
      <c r="C6" s="50">
        <v>102.71005713397081</v>
      </c>
      <c r="D6" s="50">
        <v>120.26903593377649</v>
      </c>
      <c r="E6" s="50">
        <v>139.57686569222281</v>
      </c>
      <c r="F6" s="50">
        <v>83.236741104549338</v>
      </c>
      <c r="G6" s="50">
        <v>95.58795265688002</v>
      </c>
      <c r="H6" s="50">
        <v>112.4116556239141</v>
      </c>
      <c r="I6" s="50">
        <v>131.03864171126421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90.454865977112149</v>
      </c>
      <c r="C7" s="50">
        <v>106.13635375689741</v>
      </c>
      <c r="D7" s="50">
        <v>127.9854010950353</v>
      </c>
      <c r="E7" s="50">
        <v>152.61243605969449</v>
      </c>
      <c r="F7" s="50">
        <v>81.988513803383015</v>
      </c>
      <c r="G7" s="50">
        <v>96.719226127511462</v>
      </c>
      <c r="H7" s="50">
        <v>117.14477210658509</v>
      </c>
      <c r="I7" s="50">
        <v>140.37333710062589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91.7029342929264</v>
      </c>
      <c r="C8" s="50">
        <v>110.3027104280785</v>
      </c>
      <c r="D8" s="50">
        <v>136.3763430569168</v>
      </c>
      <c r="E8" s="50">
        <v>166.73553878383319</v>
      </c>
      <c r="F8" s="50">
        <v>81.321928429427658</v>
      </c>
      <c r="G8" s="50">
        <v>98.126897562908738</v>
      </c>
      <c r="H8" s="50">
        <v>122.1426877990329</v>
      </c>
      <c r="I8" s="50">
        <v>149.9351335895081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92.84035577732547</v>
      </c>
      <c r="C9" s="50">
        <v>114.4846233445558</v>
      </c>
      <c r="D9" s="50">
        <v>144.99552644687711</v>
      </c>
      <c r="E9" s="50">
        <v>180.781561115089</v>
      </c>
      <c r="F9" s="50">
        <v>80.824223942398831</v>
      </c>
      <c r="G9" s="50">
        <v>99.735599005587716</v>
      </c>
      <c r="H9" s="50">
        <v>127.115391079899</v>
      </c>
      <c r="I9" s="50">
        <v>159.35968061677499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92.500511116430772</v>
      </c>
      <c r="C10" s="50">
        <v>117.9424017972182</v>
      </c>
      <c r="D10" s="50">
        <v>153.97465830705951</v>
      </c>
      <c r="E10" s="50">
        <v>195.94827233980519</v>
      </c>
      <c r="F10" s="50">
        <v>79.194730109391983</v>
      </c>
      <c r="G10" s="50">
        <v>100.6528690481136</v>
      </c>
      <c r="H10" s="50">
        <v>132.23901382041171</v>
      </c>
      <c r="I10" s="50">
        <v>169.10810964811699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92.948268404197108</v>
      </c>
      <c r="C11" s="50">
        <v>121.2862367428235</v>
      </c>
      <c r="D11" s="50">
        <v>162.42977116175831</v>
      </c>
      <c r="E11" s="50">
        <v>211.86323826890089</v>
      </c>
      <c r="F11" s="50">
        <v>78.714076840192405</v>
      </c>
      <c r="G11" s="50">
        <v>101.52530904027201</v>
      </c>
      <c r="H11" s="50">
        <v>136.8573458275408</v>
      </c>
      <c r="I11" s="50">
        <v>179.20167639125569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93.386123052371261</v>
      </c>
      <c r="C12" s="50">
        <v>124.6702642108003</v>
      </c>
      <c r="D12" s="50">
        <v>171.63207254495529</v>
      </c>
      <c r="E12" s="50">
        <v>227.52902550619831</v>
      </c>
      <c r="F12" s="50">
        <v>77.493828136012752</v>
      </c>
      <c r="G12" s="50">
        <v>102.4317546701417</v>
      </c>
      <c r="H12" s="50">
        <v>141.7012145123025</v>
      </c>
      <c r="I12" s="50">
        <v>189.29525115681989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94.074150064176933</v>
      </c>
      <c r="C13" s="50">
        <v>128.429164098754</v>
      </c>
      <c r="D13" s="50">
        <v>180.52228230756191</v>
      </c>
      <c r="E13" s="50">
        <v>245.41104784531481</v>
      </c>
      <c r="F13" s="50">
        <v>76.723238420033596</v>
      </c>
      <c r="G13" s="50">
        <v>103.41849125974311</v>
      </c>
      <c r="H13" s="50">
        <v>146.24302050835789</v>
      </c>
      <c r="I13" s="50">
        <v>199.41629288335119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95.60169978087842</v>
      </c>
      <c r="C14" s="50">
        <v>132.21919485533309</v>
      </c>
      <c r="D14" s="50">
        <v>190.33769459995139</v>
      </c>
      <c r="E14" s="50">
        <v>264.23009689094511</v>
      </c>
      <c r="F14" s="50">
        <v>75.881143440209939</v>
      </c>
      <c r="G14" s="50">
        <v>104.3149115674546</v>
      </c>
      <c r="H14" s="50">
        <v>150.82933807775871</v>
      </c>
      <c r="I14" s="50">
        <v>211.17047413570131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95.881325755652469</v>
      </c>
      <c r="C15" s="50">
        <v>135.84859540113769</v>
      </c>
      <c r="D15" s="50">
        <v>200.03641835794909</v>
      </c>
      <c r="E15" s="50">
        <v>284.23676018092408</v>
      </c>
      <c r="F15" s="50">
        <v>75.261919805583773</v>
      </c>
      <c r="G15" s="50">
        <v>105.38207940625171</v>
      </c>
      <c r="H15" s="50">
        <v>155.60001256273159</v>
      </c>
      <c r="I15" s="50">
        <v>222.05210028540839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97.453374561399102</v>
      </c>
      <c r="C16" s="50">
        <v>139.57859768609879</v>
      </c>
      <c r="D16" s="50">
        <v>210.30699708041709</v>
      </c>
      <c r="E16" s="50">
        <v>306.13945710920348</v>
      </c>
      <c r="F16" s="50">
        <v>74.166327003473725</v>
      </c>
      <c r="G16" s="50">
        <v>106.4444385762403</v>
      </c>
      <c r="H16" s="50">
        <v>160.38058416042591</v>
      </c>
      <c r="I16" s="50">
        <v>234.43361752813959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98.060629723144018</v>
      </c>
      <c r="C17" s="50">
        <v>144.84471911833509</v>
      </c>
      <c r="D17" s="50">
        <v>221.33505062412209</v>
      </c>
      <c r="E17" s="50">
        <v>329.98553034777711</v>
      </c>
      <c r="F17" s="50">
        <v>73.601116108779848</v>
      </c>
      <c r="G17" s="50">
        <v>107.851389299069</v>
      </c>
      <c r="H17" s="50">
        <v>165.52678209303389</v>
      </c>
      <c r="I17" s="50">
        <v>247.002092847444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99.802218760851588</v>
      </c>
      <c r="C18" s="50">
        <v>149.1586794943758</v>
      </c>
      <c r="D18" s="50">
        <v>232.53450843709851</v>
      </c>
      <c r="E18" s="50">
        <v>352.49302483495859</v>
      </c>
      <c r="F18" s="50">
        <v>73.499384899029366</v>
      </c>
      <c r="G18" s="50">
        <v>109.0781601963884</v>
      </c>
      <c r="H18" s="50">
        <v>170.54153137641879</v>
      </c>
      <c r="I18" s="50">
        <v>258.75352640032008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102.7664232968866</v>
      </c>
      <c r="C19" s="50">
        <v>154.17279395903481</v>
      </c>
      <c r="D19" s="50">
        <v>244.89506125768489</v>
      </c>
      <c r="E19" s="50">
        <v>378.66287041779231</v>
      </c>
      <c r="F19" s="50">
        <v>73.983149050934344</v>
      </c>
      <c r="G19" s="50">
        <v>110.383001914741</v>
      </c>
      <c r="H19" s="50">
        <v>176.11889293233611</v>
      </c>
      <c r="I19" s="50">
        <v>271.99658381601029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104.4641670546396</v>
      </c>
      <c r="C20" s="50">
        <v>159.52322263202791</v>
      </c>
      <c r="D20" s="50">
        <v>257.31929415272668</v>
      </c>
      <c r="E20" s="50">
        <v>405.29930439318491</v>
      </c>
      <c r="F20" s="50">
        <v>73.583287714227794</v>
      </c>
      <c r="G20" s="50">
        <v>112.1028856417912</v>
      </c>
      <c r="H20" s="50">
        <v>181.15978445275809</v>
      </c>
      <c r="I20" s="50">
        <v>285.88987493820071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107.0214218098895</v>
      </c>
      <c r="C21" s="50">
        <v>165.06167887872101</v>
      </c>
      <c r="D21" s="50">
        <v>270.40073261624838</v>
      </c>
      <c r="E21" s="50">
        <v>434.27986758089202</v>
      </c>
      <c r="F21" s="50">
        <v>74.437790166800696</v>
      </c>
      <c r="G21" s="50">
        <v>113.64785768543859</v>
      </c>
      <c r="H21" s="50">
        <v>186.74485165298</v>
      </c>
      <c r="I21" s="50">
        <v>298.81605172653451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109.3562189603401</v>
      </c>
      <c r="C22" s="50">
        <v>170.11962707516449</v>
      </c>
      <c r="D22" s="50">
        <v>284.41271952023618</v>
      </c>
      <c r="E22" s="50">
        <v>464.83341279575939</v>
      </c>
      <c r="F22" s="50">
        <v>75.143063739944935</v>
      </c>
      <c r="G22" s="50">
        <v>115.658547342688</v>
      </c>
      <c r="H22" s="50">
        <v>192.75174088113459</v>
      </c>
      <c r="I22" s="50">
        <v>313.74701905117058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111.54017478248301</v>
      </c>
      <c r="C23" s="50">
        <v>176.31985076003551</v>
      </c>
      <c r="D23" s="50">
        <v>298.96127257995357</v>
      </c>
      <c r="E23" s="50">
        <v>495.60217889344011</v>
      </c>
      <c r="F23" s="50">
        <v>75.070758831041687</v>
      </c>
      <c r="G23" s="50">
        <v>116.7599415104544</v>
      </c>
      <c r="H23" s="50">
        <v>198.7284557121782</v>
      </c>
      <c r="I23" s="50">
        <v>328.3623095890959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3"/>
  <sheetViews>
    <sheetView zoomScale="150" zoomScaleNormal="150" workbookViewId="0">
      <selection activeCell="U12" sqref="Q12:U13"/>
    </sheetView>
  </sheetViews>
  <sheetFormatPr baseColWidth="10" defaultColWidth="8.83203125" defaultRowHeight="15"/>
  <sheetData>
    <row r="1" spans="1:18">
      <c r="A1" s="50"/>
      <c r="B1" s="50" t="s">
        <v>85</v>
      </c>
      <c r="C1" s="50" t="s">
        <v>85</v>
      </c>
      <c r="D1" s="50" t="s">
        <v>85</v>
      </c>
      <c r="E1" s="50" t="s">
        <v>85</v>
      </c>
      <c r="F1" s="50"/>
      <c r="G1" s="50" t="s">
        <v>86</v>
      </c>
      <c r="H1" s="50" t="s">
        <v>86</v>
      </c>
      <c r="I1" s="50" t="s">
        <v>86</v>
      </c>
      <c r="J1" s="50" t="s">
        <v>86</v>
      </c>
      <c r="K1" s="50" t="s">
        <v>87</v>
      </c>
      <c r="L1" s="50" t="s">
        <v>87</v>
      </c>
      <c r="M1" s="50" t="s">
        <v>87</v>
      </c>
      <c r="N1" s="50" t="s">
        <v>87</v>
      </c>
      <c r="O1" s="50" t="s">
        <v>88</v>
      </c>
      <c r="P1" s="50" t="s">
        <v>88</v>
      </c>
      <c r="Q1" s="50" t="s">
        <v>88</v>
      </c>
      <c r="R1" s="50" t="s">
        <v>88</v>
      </c>
    </row>
    <row r="2" spans="1:18">
      <c r="A2" s="50"/>
      <c r="B2" s="50" t="s">
        <v>89</v>
      </c>
      <c r="C2" s="50" t="s">
        <v>90</v>
      </c>
      <c r="D2" s="50" t="s">
        <v>91</v>
      </c>
      <c r="E2" s="50" t="s">
        <v>92</v>
      </c>
      <c r="F2" s="50"/>
      <c r="G2" s="50" t="s">
        <v>89</v>
      </c>
      <c r="H2" s="50" t="s">
        <v>90</v>
      </c>
      <c r="I2" s="50" t="s">
        <v>91</v>
      </c>
      <c r="J2" s="50" t="s">
        <v>92</v>
      </c>
      <c r="K2" s="50" t="s">
        <v>89</v>
      </c>
      <c r="L2" s="50" t="s">
        <v>90</v>
      </c>
      <c r="M2" s="50" t="s">
        <v>91</v>
      </c>
      <c r="N2" s="50" t="s">
        <v>92</v>
      </c>
      <c r="O2" s="50" t="s">
        <v>89</v>
      </c>
      <c r="P2" s="50" t="s">
        <v>90</v>
      </c>
      <c r="Q2" s="50" t="s">
        <v>91</v>
      </c>
      <c r="R2" s="50" t="s">
        <v>92</v>
      </c>
    </row>
    <row r="3" spans="1:18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100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  <c r="R3" s="50">
        <v>0</v>
      </c>
    </row>
    <row r="4" spans="1:18">
      <c r="A4" s="50">
        <v>1</v>
      </c>
      <c r="B4" s="50">
        <v>89.11357616559873</v>
      </c>
      <c r="C4" s="50">
        <v>98.377106810551254</v>
      </c>
      <c r="D4" s="50">
        <v>108.59586455235851</v>
      </c>
      <c r="E4" s="50">
        <v>118.3350197366818</v>
      </c>
      <c r="F4" s="50">
        <f>ws_Reference!D4</f>
        <v>107.2964246392673</v>
      </c>
      <c r="G4" s="50">
        <v>86.199928300671218</v>
      </c>
      <c r="H4" s="50">
        <v>96.025109266668593</v>
      </c>
      <c r="I4" s="50">
        <v>106.0346722942104</v>
      </c>
      <c r="J4" s="50">
        <v>116.05242689832809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</row>
    <row r="5" spans="1:18">
      <c r="A5" s="50">
        <v>2</v>
      </c>
      <c r="B5" s="50">
        <v>91.60162953348572</v>
      </c>
      <c r="C5" s="50">
        <v>101.8607356065238</v>
      </c>
      <c r="D5" s="50">
        <v>117.14981335783359</v>
      </c>
      <c r="E5" s="50">
        <v>131.0753382616993</v>
      </c>
      <c r="F5" s="50">
        <f>ws_Reference!D5</f>
        <v>113.7138018902814</v>
      </c>
      <c r="G5" s="50">
        <v>86.20680152608611</v>
      </c>
      <c r="H5" s="50">
        <v>96.769271421251077</v>
      </c>
      <c r="I5" s="50">
        <v>111.9888316414094</v>
      </c>
      <c r="J5" s="50">
        <v>125.81676220075811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</row>
    <row r="6" spans="1:18">
      <c r="A6" s="50">
        <v>3</v>
      </c>
      <c r="B6" s="50">
        <v>93.815829158247922</v>
      </c>
      <c r="C6" s="50">
        <v>107.4832677914452</v>
      </c>
      <c r="D6" s="50">
        <v>125.36579844410799</v>
      </c>
      <c r="E6" s="50">
        <v>144.254048051712</v>
      </c>
      <c r="F6" s="50">
        <f>ws_Reference!D6</f>
        <v>120.26903593377649</v>
      </c>
      <c r="G6" s="50">
        <v>86.446520857601499</v>
      </c>
      <c r="H6" s="50">
        <v>99.843707989572749</v>
      </c>
      <c r="I6" s="50">
        <v>117.2358617618344</v>
      </c>
      <c r="J6" s="50">
        <v>135.5564213348874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</row>
    <row r="7" spans="1:18">
      <c r="A7" s="50">
        <v>4</v>
      </c>
      <c r="B7" s="50">
        <v>94.79355662644069</v>
      </c>
      <c r="C7" s="50">
        <v>112.2630908977339</v>
      </c>
      <c r="D7" s="50">
        <v>134.91119833162739</v>
      </c>
      <c r="E7" s="50">
        <v>159.54073836732519</v>
      </c>
      <c r="F7" s="50">
        <f>ws_Reference!D7</f>
        <v>127.9854010950353</v>
      </c>
      <c r="G7" s="50">
        <v>85.736940704015609</v>
      </c>
      <c r="H7" s="50">
        <v>101.9397950441226</v>
      </c>
      <c r="I7" s="50">
        <v>123.4395671707759</v>
      </c>
      <c r="J7" s="50">
        <v>146.90807605801481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</row>
    <row r="8" spans="1:18">
      <c r="A8" s="50">
        <v>5</v>
      </c>
      <c r="B8" s="50">
        <v>96.786940383185495</v>
      </c>
      <c r="C8" s="50">
        <v>117.8643420081454</v>
      </c>
      <c r="D8" s="50">
        <v>145.53600021109381</v>
      </c>
      <c r="E8" s="50">
        <v>176.23558047964991</v>
      </c>
      <c r="F8" s="50">
        <f>ws_Reference!D8</f>
        <v>136.3763430569168</v>
      </c>
      <c r="G8" s="50">
        <v>86.419320287193457</v>
      </c>
      <c r="H8" s="50">
        <v>104.6242139174859</v>
      </c>
      <c r="I8" s="50">
        <v>130.36687299605171</v>
      </c>
      <c r="J8" s="50">
        <v>158.7511553776996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</row>
    <row r="9" spans="1:18">
      <c r="A9" s="50">
        <v>6</v>
      </c>
      <c r="B9" s="50">
        <v>99.596967260218321</v>
      </c>
      <c r="C9" s="50">
        <v>124.1799184920722</v>
      </c>
      <c r="D9" s="50">
        <v>156.4400157783241</v>
      </c>
      <c r="E9" s="50">
        <v>193.44167042286151</v>
      </c>
      <c r="F9" s="50">
        <f>ws_Reference!D9</f>
        <v>144.99552644687711</v>
      </c>
      <c r="G9" s="50">
        <v>86.838052593085365</v>
      </c>
      <c r="H9" s="50">
        <v>107.9016900425737</v>
      </c>
      <c r="I9" s="50">
        <v>137.1937256062067</v>
      </c>
      <c r="J9" s="50">
        <v>170.94378978035019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</row>
    <row r="10" spans="1:18">
      <c r="A10" s="50">
        <v>7</v>
      </c>
      <c r="B10" s="50">
        <v>100.39224283924069</v>
      </c>
      <c r="C10" s="50">
        <v>128.6287755349901</v>
      </c>
      <c r="D10" s="50">
        <v>167.6614924555582</v>
      </c>
      <c r="E10" s="50">
        <v>212.1082464211369</v>
      </c>
      <c r="F10" s="50">
        <f>ws_Reference!D10</f>
        <v>153.97465830705951</v>
      </c>
      <c r="G10" s="50">
        <v>85.804362199012644</v>
      </c>
      <c r="H10" s="50">
        <v>109.8433177288475</v>
      </c>
      <c r="I10" s="50">
        <v>144.10517035076029</v>
      </c>
      <c r="J10" s="50">
        <v>183.59257029505639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</row>
    <row r="11" spans="1:18">
      <c r="A11" s="50">
        <v>8</v>
      </c>
      <c r="B11" s="50">
        <v>102.0470254834844</v>
      </c>
      <c r="C11" s="50">
        <v>134.10051095898541</v>
      </c>
      <c r="D11" s="50">
        <v>179.25308156343809</v>
      </c>
      <c r="E11" s="50">
        <v>232.20702757592409</v>
      </c>
      <c r="F11" s="50">
        <f>ws_Reference!D11</f>
        <v>162.42977116175831</v>
      </c>
      <c r="G11" s="50">
        <v>85.26462863398001</v>
      </c>
      <c r="H11" s="50">
        <v>112.01729651983661</v>
      </c>
      <c r="I11" s="50">
        <v>150.85035571862809</v>
      </c>
      <c r="J11" s="50">
        <v>196.9295129158304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</row>
    <row r="12" spans="1:18">
      <c r="A12" s="50">
        <v>9</v>
      </c>
      <c r="B12" s="50">
        <v>102.1158985111246</v>
      </c>
      <c r="C12" s="50">
        <v>138.9213988405281</v>
      </c>
      <c r="D12" s="50">
        <v>190.96096500480641</v>
      </c>
      <c r="E12" s="50">
        <v>253.28245819085791</v>
      </c>
      <c r="F12" s="50">
        <f>ws_Reference!D12</f>
        <v>171.63207254495529</v>
      </c>
      <c r="G12" s="50">
        <v>84.896638799359323</v>
      </c>
      <c r="H12" s="50">
        <v>113.5667604246467</v>
      </c>
      <c r="I12" s="50">
        <v>157.55937013820221</v>
      </c>
      <c r="J12" s="50">
        <v>210.94027133020509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</row>
    <row r="13" spans="1:18">
      <c r="A13" s="50">
        <v>10</v>
      </c>
      <c r="B13" s="50">
        <v>104.08395598869581</v>
      </c>
      <c r="C13" s="50">
        <v>144.71403399354139</v>
      </c>
      <c r="D13" s="50">
        <v>203.34764359664979</v>
      </c>
      <c r="E13" s="50">
        <v>276.25314088452672</v>
      </c>
      <c r="F13" s="50">
        <f>ws_Reference!D13</f>
        <v>180.52228230756191</v>
      </c>
      <c r="G13" s="50">
        <v>84.707749286710708</v>
      </c>
      <c r="H13" s="50">
        <v>116.55528107616971</v>
      </c>
      <c r="I13" s="50">
        <v>164.1434855530446</v>
      </c>
      <c r="J13" s="50">
        <v>225.55395712579869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</row>
    <row r="14" spans="1:18">
      <c r="A14" s="50">
        <v>11</v>
      </c>
      <c r="B14" s="50">
        <v>107.0044382754448</v>
      </c>
      <c r="C14" s="50">
        <v>150.14126855313401</v>
      </c>
      <c r="D14" s="50">
        <v>216.0159713047079</v>
      </c>
      <c r="E14" s="50">
        <v>299.92736851466429</v>
      </c>
      <c r="F14" s="50">
        <f>ws_Reference!D14</f>
        <v>190.33769459995139</v>
      </c>
      <c r="G14" s="50">
        <v>84.935365327199293</v>
      </c>
      <c r="H14" s="50">
        <v>118.49140031074791</v>
      </c>
      <c r="I14" s="50">
        <v>170.8342778118849</v>
      </c>
      <c r="J14" s="50">
        <v>239.89453580951999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</row>
    <row r="15" spans="1:18">
      <c r="A15" s="50">
        <v>12</v>
      </c>
      <c r="B15" s="50">
        <v>108.8131712443323</v>
      </c>
      <c r="C15" s="50">
        <v>156.35042246148811</v>
      </c>
      <c r="D15" s="50">
        <v>229.3666317573612</v>
      </c>
      <c r="E15" s="50">
        <v>326.72795378761089</v>
      </c>
      <c r="F15" s="50">
        <f>ws_Reference!D15</f>
        <v>200.03641835794909</v>
      </c>
      <c r="G15" s="50">
        <v>84.618985082718822</v>
      </c>
      <c r="H15" s="50">
        <v>120.8820961845316</v>
      </c>
      <c r="I15" s="50">
        <v>178.00567566909641</v>
      </c>
      <c r="J15" s="50">
        <v>255.9956863498571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</row>
    <row r="16" spans="1:18">
      <c r="A16" s="50">
        <v>13</v>
      </c>
      <c r="B16" s="50">
        <v>111.6787628594856</v>
      </c>
      <c r="C16" s="50">
        <v>162.3720167266743</v>
      </c>
      <c r="D16" s="50">
        <v>243.8584651128759</v>
      </c>
      <c r="E16" s="50">
        <v>353.93469583325208</v>
      </c>
      <c r="F16" s="50">
        <f>ws_Reference!D16</f>
        <v>210.30699708041709</v>
      </c>
      <c r="G16" s="50">
        <v>84.825514546757091</v>
      </c>
      <c r="H16" s="50">
        <v>123.1467323168834</v>
      </c>
      <c r="I16" s="50">
        <v>185.88812465122271</v>
      </c>
      <c r="J16" s="50">
        <v>272.13098879578217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</row>
    <row r="17" spans="1:18">
      <c r="A17" s="50">
        <v>14</v>
      </c>
      <c r="B17" s="50">
        <v>114.1648306006793</v>
      </c>
      <c r="C17" s="50">
        <v>169.87041053254299</v>
      </c>
      <c r="D17" s="50">
        <v>259.51652380798532</v>
      </c>
      <c r="E17" s="50">
        <v>385.32973347398939</v>
      </c>
      <c r="F17" s="50">
        <f>ws_Reference!D17</f>
        <v>221.33505062412209</v>
      </c>
      <c r="G17" s="50">
        <v>85.070955183865024</v>
      </c>
      <c r="H17" s="50">
        <v>125.98873052858551</v>
      </c>
      <c r="I17" s="50">
        <v>193.87034382584591</v>
      </c>
      <c r="J17" s="50">
        <v>289.62754865250241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</row>
    <row r="18" spans="1:18">
      <c r="A18" s="50">
        <v>15</v>
      </c>
      <c r="B18" s="50">
        <v>116.94846470249441</v>
      </c>
      <c r="C18" s="50">
        <v>176.44797315684929</v>
      </c>
      <c r="D18" s="50">
        <v>275.57435981139378</v>
      </c>
      <c r="E18" s="50">
        <v>415.47706928552731</v>
      </c>
      <c r="F18" s="50">
        <f>ws_Reference!D18</f>
        <v>232.53450843709851</v>
      </c>
      <c r="G18" s="50">
        <v>86.846250729050439</v>
      </c>
      <c r="H18" s="50">
        <v>128.91190169244391</v>
      </c>
      <c r="I18" s="50">
        <v>201.58663130376101</v>
      </c>
      <c r="J18" s="50">
        <v>305.32245077243249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</row>
    <row r="19" spans="1:18">
      <c r="A19" s="50">
        <v>16</v>
      </c>
      <c r="B19" s="50">
        <v>120.6895388076103</v>
      </c>
      <c r="C19" s="50">
        <v>184.5582878586122</v>
      </c>
      <c r="D19" s="50">
        <v>292.86879908284271</v>
      </c>
      <c r="E19" s="50">
        <v>449.87075797114511</v>
      </c>
      <c r="F19" s="50">
        <f>ws_Reference!D19</f>
        <v>244.89506125768489</v>
      </c>
      <c r="G19" s="50">
        <v>87.164253921780244</v>
      </c>
      <c r="H19" s="50">
        <v>131.7642617468658</v>
      </c>
      <c r="I19" s="50">
        <v>210.35713989546201</v>
      </c>
      <c r="J19" s="50">
        <v>324.27940695941578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</row>
    <row r="20" spans="1:18">
      <c r="A20" s="50">
        <v>17</v>
      </c>
      <c r="B20" s="50">
        <v>124.5827568264387</v>
      </c>
      <c r="C20" s="50">
        <v>192.04470625572819</v>
      </c>
      <c r="D20" s="50">
        <v>310.44299751964542</v>
      </c>
      <c r="E20" s="50">
        <v>487.7088127375024</v>
      </c>
      <c r="F20" s="50">
        <f>ws_Reference!D20</f>
        <v>257.31929415272668</v>
      </c>
      <c r="G20" s="50">
        <v>87.874132363680758</v>
      </c>
      <c r="H20" s="50">
        <v>135.1522037917531</v>
      </c>
      <c r="I20" s="50">
        <v>218.4823522899438</v>
      </c>
      <c r="J20" s="50">
        <v>344.80123519403429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</row>
    <row r="21" spans="1:18">
      <c r="A21" s="50">
        <v>18</v>
      </c>
      <c r="B21" s="50">
        <v>130.08039162075499</v>
      </c>
      <c r="C21" s="50">
        <v>200.11230718843879</v>
      </c>
      <c r="D21" s="50">
        <v>330.63599007274888</v>
      </c>
      <c r="E21" s="50">
        <v>527.08095101682204</v>
      </c>
      <c r="F21" s="50">
        <f>ws_Reference!D21</f>
        <v>270.40073261624838</v>
      </c>
      <c r="G21" s="50">
        <v>89.671552977294581</v>
      </c>
      <c r="H21" s="50">
        <v>137.95375726805099</v>
      </c>
      <c r="I21" s="50">
        <v>228.46940617308579</v>
      </c>
      <c r="J21" s="50">
        <v>366.11676965732607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</row>
    <row r="22" spans="1:18">
      <c r="A22" s="50">
        <v>19</v>
      </c>
      <c r="B22" s="50">
        <v>135.07466130722719</v>
      </c>
      <c r="C22" s="50">
        <v>209.18238170025961</v>
      </c>
      <c r="D22" s="50">
        <v>351.34384128399489</v>
      </c>
      <c r="E22" s="50">
        <v>567.21766387124046</v>
      </c>
      <c r="F22" s="50">
        <f>ws_Reference!D22</f>
        <v>284.41271952023618</v>
      </c>
      <c r="G22" s="50">
        <v>91.438484873676927</v>
      </c>
      <c r="H22" s="50">
        <v>141.47412861059871</v>
      </c>
      <c r="I22" s="50">
        <v>238.24404871927049</v>
      </c>
      <c r="J22" s="50">
        <v>385.30166419938348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</row>
    <row r="23" spans="1:18">
      <c r="A23" s="50">
        <v>20</v>
      </c>
      <c r="B23" s="50">
        <v>138.38754880809691</v>
      </c>
      <c r="C23" s="50">
        <v>219.44408933557989</v>
      </c>
      <c r="D23" s="50">
        <v>373.17103675181261</v>
      </c>
      <c r="E23" s="50">
        <v>615.12421059398446</v>
      </c>
      <c r="F23" s="50">
        <f>ws_Reference!D23</f>
        <v>298.96127257995357</v>
      </c>
      <c r="G23" s="50">
        <v>91.979398092075201</v>
      </c>
      <c r="H23" s="50">
        <v>145.27532937154001</v>
      </c>
      <c r="I23" s="50">
        <v>248.6415473815328</v>
      </c>
      <c r="J23" s="50">
        <v>408.39101784474531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73E2-1F35-E449-A397-357198199BF6}">
  <dimension ref="A1:C6"/>
  <sheetViews>
    <sheetView tabSelected="1" zoomScale="160" zoomScaleNormal="160" workbookViewId="0">
      <selection activeCell="F33" sqref="F33"/>
    </sheetView>
  </sheetViews>
  <sheetFormatPr baseColWidth="10" defaultRowHeight="15"/>
  <sheetData>
    <row r="1" spans="1:3">
      <c r="A1" t="s">
        <v>136</v>
      </c>
      <c r="B1" t="s">
        <v>137</v>
      </c>
      <c r="C1" t="s">
        <v>138</v>
      </c>
    </row>
    <row r="2" spans="1:3">
      <c r="A2">
        <v>0</v>
      </c>
      <c r="B2">
        <v>1.43303265158561E-2</v>
      </c>
      <c r="C2" s="60">
        <v>0.110773577218248</v>
      </c>
    </row>
    <row r="3" spans="1:3">
      <c r="A3">
        <v>1</v>
      </c>
      <c r="B3">
        <v>1.9304864315867198E-2</v>
      </c>
      <c r="C3" s="60">
        <v>0.110182258707823</v>
      </c>
    </row>
    <row r="4" spans="1:3">
      <c r="A4">
        <v>2</v>
      </c>
      <c r="B4">
        <v>2.2797451977775302E-2</v>
      </c>
      <c r="C4" s="60">
        <v>9.2534243769205105E-2</v>
      </c>
    </row>
    <row r="5" spans="1:3">
      <c r="A5">
        <v>3</v>
      </c>
      <c r="B5">
        <v>2.6134514674963399E-2</v>
      </c>
      <c r="C5" s="60">
        <v>7.7144923837934101E-2</v>
      </c>
    </row>
    <row r="6" spans="1:3">
      <c r="A6">
        <v>4</v>
      </c>
      <c r="B6">
        <v>3.2554216155495599E-2</v>
      </c>
      <c r="C6" s="60">
        <v>2.69296484689278E-2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7ECE-3F41-2D43-92AC-04CF85CB069A}">
  <dimension ref="A1:S55"/>
  <sheetViews>
    <sheetView zoomScale="150" zoomScaleNormal="150" workbookViewId="0">
      <selection activeCell="N13" sqref="N13"/>
    </sheetView>
  </sheetViews>
  <sheetFormatPr baseColWidth="10" defaultRowHeight="15"/>
  <cols>
    <col min="2" max="12" width="10.83203125" style="56"/>
  </cols>
  <sheetData>
    <row r="1" spans="1:19">
      <c r="A1" s="52"/>
      <c r="B1" s="61">
        <v>0.01</v>
      </c>
      <c r="C1" s="61">
        <f>B1+0.5%</f>
        <v>1.4999999999999999E-2</v>
      </c>
      <c r="D1" s="61">
        <f t="shared" ref="D1:L1" si="0">C1+0.5%</f>
        <v>0.02</v>
      </c>
      <c r="E1" s="61">
        <f t="shared" si="0"/>
        <v>2.5000000000000001E-2</v>
      </c>
      <c r="F1" s="61">
        <f t="shared" si="0"/>
        <v>3.0000000000000002E-2</v>
      </c>
      <c r="G1" s="61">
        <f t="shared" si="0"/>
        <v>3.5000000000000003E-2</v>
      </c>
      <c r="H1" s="61">
        <f t="shared" si="0"/>
        <v>0.04</v>
      </c>
      <c r="I1" s="61">
        <f t="shared" si="0"/>
        <v>4.4999999999999998E-2</v>
      </c>
      <c r="J1" s="61">
        <f t="shared" si="0"/>
        <v>4.9999999999999996E-2</v>
      </c>
      <c r="K1" s="61">
        <f t="shared" si="0"/>
        <v>5.4999999999999993E-2</v>
      </c>
      <c r="L1" s="61">
        <f t="shared" si="0"/>
        <v>5.9999999999999991E-2</v>
      </c>
      <c r="M1" s="52"/>
      <c r="N1" s="52"/>
      <c r="O1" s="52"/>
      <c r="P1" s="52"/>
      <c r="Q1" s="52"/>
      <c r="R1" s="52"/>
      <c r="S1" s="52"/>
    </row>
    <row r="2" spans="1:19">
      <c r="A2" s="52"/>
      <c r="B2" s="57" t="s">
        <v>139</v>
      </c>
      <c r="C2" s="57" t="s">
        <v>140</v>
      </c>
      <c r="D2" s="57" t="s">
        <v>141</v>
      </c>
      <c r="E2" s="57" t="s">
        <v>142</v>
      </c>
      <c r="F2" s="57" t="s">
        <v>143</v>
      </c>
      <c r="G2" s="57" t="s">
        <v>144</v>
      </c>
      <c r="H2" s="57" t="s">
        <v>145</v>
      </c>
      <c r="I2" s="57" t="s">
        <v>146</v>
      </c>
      <c r="J2" s="57" t="s">
        <v>147</v>
      </c>
      <c r="K2" s="57" t="s">
        <v>148</v>
      </c>
      <c r="L2" s="57" t="s">
        <v>149</v>
      </c>
      <c r="M2" s="52"/>
      <c r="N2" s="52"/>
      <c r="O2" s="52"/>
      <c r="P2" s="52"/>
      <c r="Q2" s="52"/>
      <c r="R2" s="52"/>
      <c r="S2" s="52"/>
    </row>
    <row r="3" spans="1:19" hidden="1">
      <c r="A3" s="52">
        <v>0</v>
      </c>
      <c r="B3" s="57">
        <v>1</v>
      </c>
      <c r="C3" s="57">
        <v>1</v>
      </c>
      <c r="D3" s="57">
        <v>1</v>
      </c>
      <c r="E3" s="57">
        <v>1</v>
      </c>
      <c r="F3" s="57">
        <v>1</v>
      </c>
      <c r="G3" s="57">
        <v>1</v>
      </c>
      <c r="H3" s="57">
        <v>1</v>
      </c>
      <c r="I3" s="57">
        <v>1</v>
      </c>
      <c r="J3" s="57">
        <v>1</v>
      </c>
      <c r="K3" s="57">
        <v>1</v>
      </c>
      <c r="L3" s="57">
        <v>1</v>
      </c>
      <c r="M3" s="52"/>
      <c r="N3" s="52"/>
      <c r="O3" s="52"/>
      <c r="P3" s="52"/>
      <c r="Q3" s="52"/>
      <c r="R3" s="52"/>
      <c r="S3" s="52"/>
    </row>
    <row r="4" spans="1:19" hidden="1">
      <c r="A4" s="52">
        <v>1</v>
      </c>
      <c r="B4" s="57">
        <v>0.73380000000000001</v>
      </c>
      <c r="C4" s="57">
        <v>0.71775</v>
      </c>
      <c r="D4" s="57">
        <v>0.69374999999999998</v>
      </c>
      <c r="E4" s="57">
        <v>0.67395000000000005</v>
      </c>
      <c r="F4" s="57">
        <v>0.66169999999999995</v>
      </c>
      <c r="G4" s="57">
        <v>0.64059999999999995</v>
      </c>
      <c r="H4" s="57">
        <v>0.61555000000000004</v>
      </c>
      <c r="I4" s="57">
        <v>0.6</v>
      </c>
      <c r="J4" s="57">
        <v>0.57394999999999996</v>
      </c>
      <c r="K4" s="57">
        <v>0.54879999999999995</v>
      </c>
      <c r="L4" s="57">
        <v>0.51765000000000005</v>
      </c>
      <c r="M4" s="52"/>
      <c r="N4" s="52"/>
      <c r="O4" s="52"/>
      <c r="P4" s="52"/>
      <c r="Q4" s="52"/>
      <c r="R4" s="52"/>
      <c r="S4" s="52"/>
    </row>
    <row r="5" spans="1:19" hidden="1">
      <c r="A5" s="52">
        <v>2</v>
      </c>
      <c r="B5" s="57">
        <v>0.79205000000000003</v>
      </c>
      <c r="C5" s="57">
        <v>0.76585000000000003</v>
      </c>
      <c r="D5" s="57">
        <v>0.73955000000000004</v>
      </c>
      <c r="E5" s="57">
        <v>0.71504999999999996</v>
      </c>
      <c r="F5" s="57">
        <v>0.68979999999999997</v>
      </c>
      <c r="G5" s="57">
        <v>0.65825</v>
      </c>
      <c r="H5" s="57">
        <v>0.62665000000000004</v>
      </c>
      <c r="I5" s="57">
        <v>0.59260000000000002</v>
      </c>
      <c r="J5" s="57">
        <v>0.56069999999999998</v>
      </c>
      <c r="K5" s="57">
        <v>0.52849999999999997</v>
      </c>
      <c r="L5" s="57">
        <v>0.49690000000000001</v>
      </c>
      <c r="M5" s="52"/>
      <c r="N5" s="52"/>
      <c r="O5" s="52"/>
      <c r="P5" s="52"/>
      <c r="Q5" s="52"/>
      <c r="R5" s="52"/>
      <c r="S5" s="52"/>
    </row>
    <row r="6" spans="1:19" hidden="1">
      <c r="A6" s="52">
        <v>3</v>
      </c>
      <c r="B6" s="57">
        <v>0.84904999999999997</v>
      </c>
      <c r="C6" s="57">
        <v>0.82</v>
      </c>
      <c r="D6" s="57">
        <v>0.79064999999999996</v>
      </c>
      <c r="E6" s="57">
        <v>0.75814999999999999</v>
      </c>
      <c r="F6" s="57">
        <v>0.71840000000000004</v>
      </c>
      <c r="G6" s="57">
        <v>0.67674999999999996</v>
      </c>
      <c r="H6" s="57">
        <v>0.64090000000000003</v>
      </c>
      <c r="I6" s="57">
        <v>0.59755000000000003</v>
      </c>
      <c r="J6" s="57">
        <v>0.55264999999999997</v>
      </c>
      <c r="K6" s="57">
        <v>0.50900000000000001</v>
      </c>
      <c r="L6" s="57">
        <v>0.46315000000000001</v>
      </c>
      <c r="M6" s="52"/>
      <c r="N6" s="52"/>
      <c r="O6" s="52"/>
      <c r="P6" s="52"/>
      <c r="Q6" s="52"/>
      <c r="R6" s="52"/>
      <c r="S6" s="52"/>
    </row>
    <row r="7" spans="1:19" hidden="1">
      <c r="A7" s="52">
        <v>4</v>
      </c>
      <c r="B7" s="57">
        <v>0.87555000000000005</v>
      </c>
      <c r="C7" s="57">
        <v>0.84814999999999996</v>
      </c>
      <c r="D7" s="57">
        <v>0.8175</v>
      </c>
      <c r="E7" s="57">
        <v>0.7833</v>
      </c>
      <c r="F7" s="57">
        <v>0.74345000000000006</v>
      </c>
      <c r="G7" s="57">
        <v>0.70179999999999998</v>
      </c>
      <c r="H7" s="57">
        <v>0.65710000000000002</v>
      </c>
      <c r="I7" s="57">
        <v>0.60675000000000001</v>
      </c>
      <c r="J7" s="57">
        <v>0.55600000000000005</v>
      </c>
      <c r="K7" s="57">
        <v>0.50234999999999996</v>
      </c>
      <c r="L7" s="57">
        <v>0.45315</v>
      </c>
      <c r="M7" s="52"/>
      <c r="N7" s="52"/>
      <c r="O7" s="52"/>
      <c r="P7" s="52"/>
      <c r="Q7" s="52"/>
      <c r="R7" s="52"/>
      <c r="S7" s="52"/>
    </row>
    <row r="8" spans="1:19">
      <c r="A8" s="52">
        <v>5</v>
      </c>
      <c r="B8" s="54">
        <v>0.89715</v>
      </c>
      <c r="C8" s="54">
        <v>0.87119999999999997</v>
      </c>
      <c r="D8" s="54">
        <v>0.84065000000000001</v>
      </c>
      <c r="E8" s="54">
        <v>0.80395000000000005</v>
      </c>
      <c r="F8" s="54">
        <v>0.76329999999999998</v>
      </c>
      <c r="G8" s="54">
        <v>0.72004999999999997</v>
      </c>
      <c r="H8" s="54">
        <v>0.67290000000000005</v>
      </c>
      <c r="I8" s="54">
        <v>0.61814999999999998</v>
      </c>
      <c r="J8" s="54">
        <v>0.56084999999999996</v>
      </c>
      <c r="K8" s="54">
        <v>0.50544999999999995</v>
      </c>
      <c r="L8" s="54">
        <v>0.4451</v>
      </c>
      <c r="M8" s="52"/>
      <c r="N8" s="52"/>
      <c r="O8" s="52"/>
      <c r="P8" s="52"/>
      <c r="Q8" s="52"/>
      <c r="R8" s="52"/>
      <c r="S8" s="52"/>
    </row>
    <row r="9" spans="1:19" hidden="1">
      <c r="A9" s="52">
        <v>6</v>
      </c>
      <c r="B9" s="54">
        <v>0.91385000000000005</v>
      </c>
      <c r="C9" s="54">
        <v>0.88895000000000002</v>
      </c>
      <c r="D9" s="54">
        <v>0.85870000000000002</v>
      </c>
      <c r="E9" s="54">
        <v>0.82135000000000002</v>
      </c>
      <c r="F9" s="54">
        <v>0.78010000000000002</v>
      </c>
      <c r="G9" s="54">
        <v>0.73199999999999998</v>
      </c>
      <c r="H9" s="54">
        <v>0.68145</v>
      </c>
      <c r="I9" s="54">
        <v>0.62424999999999997</v>
      </c>
      <c r="J9" s="54">
        <v>0.5625</v>
      </c>
      <c r="K9" s="54">
        <v>0.50224999999999997</v>
      </c>
      <c r="L9" s="54">
        <v>0.437</v>
      </c>
      <c r="M9" s="52"/>
      <c r="N9" s="52"/>
      <c r="O9" s="52"/>
      <c r="P9" s="52"/>
      <c r="Q9" s="52"/>
      <c r="R9" s="52"/>
      <c r="S9" s="52"/>
    </row>
    <row r="10" spans="1:19" hidden="1">
      <c r="A10" s="52">
        <v>7</v>
      </c>
      <c r="B10" s="54">
        <v>0.91715000000000002</v>
      </c>
      <c r="C10" s="54">
        <v>0.89529999999999998</v>
      </c>
      <c r="D10" s="54">
        <v>0.8639</v>
      </c>
      <c r="E10" s="54">
        <v>0.82835000000000003</v>
      </c>
      <c r="F10" s="54">
        <v>0.78564999999999996</v>
      </c>
      <c r="G10" s="54">
        <v>0.73619999999999997</v>
      </c>
      <c r="H10" s="54">
        <v>0.68074999999999997</v>
      </c>
      <c r="I10" s="54">
        <v>0.62434999999999996</v>
      </c>
      <c r="J10" s="54">
        <v>0.55764999999999998</v>
      </c>
      <c r="K10" s="54">
        <v>0.49530000000000002</v>
      </c>
      <c r="L10" s="54">
        <v>0.42995</v>
      </c>
      <c r="M10" s="52"/>
      <c r="N10" s="52"/>
      <c r="O10" s="52"/>
      <c r="P10" s="52"/>
      <c r="Q10" s="52"/>
      <c r="R10" s="52"/>
      <c r="S10" s="52"/>
    </row>
    <row r="11" spans="1:19" hidden="1">
      <c r="A11" s="52">
        <v>8</v>
      </c>
      <c r="B11" s="54">
        <v>0.92290000000000005</v>
      </c>
      <c r="C11" s="54">
        <v>0.89880000000000004</v>
      </c>
      <c r="D11" s="54">
        <v>0.86839999999999995</v>
      </c>
      <c r="E11" s="54">
        <v>0.83245000000000002</v>
      </c>
      <c r="F11" s="54">
        <v>0.78644999999999998</v>
      </c>
      <c r="G11" s="54">
        <v>0.73609999999999998</v>
      </c>
      <c r="H11" s="54">
        <v>0.67964999999999998</v>
      </c>
      <c r="I11" s="54">
        <v>0.61980000000000002</v>
      </c>
      <c r="J11" s="54">
        <v>0.55264999999999997</v>
      </c>
      <c r="K11" s="54">
        <v>0.48230000000000001</v>
      </c>
      <c r="L11" s="54">
        <v>0.41360000000000002</v>
      </c>
      <c r="M11" s="52"/>
      <c r="N11" s="52"/>
      <c r="O11" s="52"/>
      <c r="P11" s="52"/>
      <c r="Q11" s="52"/>
      <c r="R11" s="52"/>
      <c r="S11" s="52"/>
    </row>
    <row r="12" spans="1:19" hidden="1">
      <c r="A12" s="52">
        <v>9</v>
      </c>
      <c r="B12" s="54">
        <v>0.92554999999999998</v>
      </c>
      <c r="C12" s="54">
        <v>0.9</v>
      </c>
      <c r="D12" s="54">
        <v>0.86939999999999995</v>
      </c>
      <c r="E12" s="54">
        <v>0.83365</v>
      </c>
      <c r="F12" s="54">
        <v>0.78910000000000002</v>
      </c>
      <c r="G12" s="54">
        <v>0.73645000000000005</v>
      </c>
      <c r="H12" s="54">
        <v>0.67625000000000002</v>
      </c>
      <c r="I12" s="54">
        <v>0.61114999999999997</v>
      </c>
      <c r="J12" s="54">
        <v>0.54379999999999995</v>
      </c>
      <c r="K12" s="54">
        <v>0.47089999999999999</v>
      </c>
      <c r="L12" s="54">
        <v>0.39555000000000001</v>
      </c>
      <c r="M12" s="52"/>
      <c r="N12" s="52"/>
      <c r="O12" s="52"/>
      <c r="P12" s="52"/>
      <c r="Q12" s="52"/>
      <c r="R12" s="52"/>
      <c r="S12" s="52"/>
    </row>
    <row r="13" spans="1:19">
      <c r="A13" s="52">
        <v>10</v>
      </c>
      <c r="B13" s="54">
        <v>0.93115000000000003</v>
      </c>
      <c r="C13" s="54">
        <v>0.90690000000000004</v>
      </c>
      <c r="D13" s="54">
        <v>0.87309999999999999</v>
      </c>
      <c r="E13" s="54">
        <v>0.83379999999999999</v>
      </c>
      <c r="F13" s="54">
        <v>0.78664999999999996</v>
      </c>
      <c r="G13" s="54">
        <v>0.73399999999999999</v>
      </c>
      <c r="H13" s="54">
        <v>0.67225000000000001</v>
      </c>
      <c r="I13" s="54">
        <v>0.60235000000000005</v>
      </c>
      <c r="J13" s="54">
        <v>0.53005000000000002</v>
      </c>
      <c r="K13" s="54">
        <v>0.45765</v>
      </c>
      <c r="L13" s="54">
        <v>0.38114999999999999</v>
      </c>
      <c r="M13" s="52"/>
      <c r="N13" s="52"/>
      <c r="O13" s="52"/>
      <c r="P13" s="52"/>
      <c r="Q13" s="52"/>
      <c r="R13" s="52"/>
      <c r="S13" s="52"/>
    </row>
    <row r="14" spans="1:19" hidden="1">
      <c r="A14" s="52">
        <v>11</v>
      </c>
      <c r="B14" s="54">
        <v>0.93400000000000005</v>
      </c>
      <c r="C14" s="54">
        <v>0.90890000000000004</v>
      </c>
      <c r="D14" s="54">
        <v>0.87450000000000006</v>
      </c>
      <c r="E14" s="54">
        <v>0.83284999999999998</v>
      </c>
      <c r="F14" s="54">
        <v>0.78559999999999997</v>
      </c>
      <c r="G14" s="54">
        <v>0.73070000000000002</v>
      </c>
      <c r="H14" s="54">
        <v>0.66769999999999996</v>
      </c>
      <c r="I14" s="54">
        <v>0.59755000000000003</v>
      </c>
      <c r="J14" s="54">
        <v>0.51885000000000003</v>
      </c>
      <c r="K14" s="54">
        <v>0.4405</v>
      </c>
      <c r="L14" s="54">
        <v>0.36770000000000003</v>
      </c>
      <c r="M14" s="52"/>
      <c r="N14" s="52"/>
      <c r="O14" s="52"/>
      <c r="P14" s="52"/>
      <c r="Q14" s="52"/>
      <c r="R14" s="52"/>
      <c r="S14" s="52"/>
    </row>
    <row r="15" spans="1:19" hidden="1">
      <c r="A15" s="52">
        <v>12</v>
      </c>
      <c r="B15" s="54">
        <v>0.93630000000000002</v>
      </c>
      <c r="C15" s="54">
        <v>0.91034999999999999</v>
      </c>
      <c r="D15" s="54">
        <v>0.877</v>
      </c>
      <c r="E15" s="54">
        <v>0.83684999999999998</v>
      </c>
      <c r="F15" s="54">
        <v>0.78939999999999999</v>
      </c>
      <c r="G15" s="54">
        <v>0.73085</v>
      </c>
      <c r="H15" s="54">
        <v>0.66225000000000001</v>
      </c>
      <c r="I15" s="54">
        <v>0.59075</v>
      </c>
      <c r="J15" s="54">
        <v>0.50965000000000005</v>
      </c>
      <c r="K15" s="54">
        <v>0.43045</v>
      </c>
      <c r="L15" s="54">
        <v>0.35439999999999999</v>
      </c>
      <c r="M15" s="52"/>
      <c r="N15" s="52"/>
      <c r="O15" s="52"/>
      <c r="P15" s="52"/>
      <c r="Q15" s="52"/>
      <c r="R15" s="52"/>
      <c r="S15" s="52"/>
    </row>
    <row r="16" spans="1:19" hidden="1">
      <c r="A16" s="52">
        <v>13</v>
      </c>
      <c r="B16" s="54">
        <v>0.93874999999999997</v>
      </c>
      <c r="C16" s="54">
        <v>0.91290000000000004</v>
      </c>
      <c r="D16" s="54">
        <v>0.87944999999999995</v>
      </c>
      <c r="E16" s="54">
        <v>0.83714999999999995</v>
      </c>
      <c r="F16" s="54">
        <v>0.78715000000000002</v>
      </c>
      <c r="G16" s="54">
        <v>0.72914999999999996</v>
      </c>
      <c r="H16" s="54">
        <v>0.65880000000000005</v>
      </c>
      <c r="I16" s="54">
        <v>0.5847</v>
      </c>
      <c r="J16" s="54">
        <v>0.50280000000000002</v>
      </c>
      <c r="K16" s="54">
        <v>0.42049999999999998</v>
      </c>
      <c r="L16" s="54">
        <v>0.34515000000000001</v>
      </c>
      <c r="M16" s="52"/>
      <c r="N16" s="52"/>
      <c r="O16" s="52"/>
      <c r="P16" s="52"/>
      <c r="Q16" s="52"/>
      <c r="R16" s="52"/>
      <c r="S16" s="52"/>
    </row>
    <row r="17" spans="1:19" hidden="1">
      <c r="A17" s="52">
        <v>14</v>
      </c>
      <c r="B17" s="54">
        <v>0.94084999999999996</v>
      </c>
      <c r="C17" s="54">
        <v>0.91644999999999999</v>
      </c>
      <c r="D17" s="54">
        <v>0.88360000000000005</v>
      </c>
      <c r="E17" s="54">
        <v>0.84204999999999997</v>
      </c>
      <c r="F17" s="54">
        <v>0.78805000000000003</v>
      </c>
      <c r="G17" s="54">
        <v>0.72655000000000003</v>
      </c>
      <c r="H17" s="54">
        <v>0.65664999999999996</v>
      </c>
      <c r="I17" s="54">
        <v>0.58125000000000004</v>
      </c>
      <c r="J17" s="54">
        <v>0.49690000000000001</v>
      </c>
      <c r="K17" s="54">
        <v>0.41184999999999999</v>
      </c>
      <c r="L17" s="54">
        <v>0.3342</v>
      </c>
      <c r="M17" s="52"/>
      <c r="N17" s="52"/>
      <c r="O17" s="52"/>
      <c r="P17" s="52"/>
      <c r="Q17" s="52"/>
      <c r="R17" s="52"/>
      <c r="S17" s="52"/>
    </row>
    <row r="18" spans="1:19">
      <c r="A18" s="52">
        <v>15</v>
      </c>
      <c r="B18" s="54">
        <v>0.94489999999999996</v>
      </c>
      <c r="C18" s="54">
        <v>0.91930000000000001</v>
      </c>
      <c r="D18" s="54">
        <v>0.88639999999999997</v>
      </c>
      <c r="E18" s="54">
        <v>0.84330000000000005</v>
      </c>
      <c r="F18" s="54">
        <v>0.78985000000000005</v>
      </c>
      <c r="G18" s="54">
        <v>0.72499999999999998</v>
      </c>
      <c r="H18" s="54">
        <v>0.65359999999999996</v>
      </c>
      <c r="I18" s="54">
        <v>0.57694999999999996</v>
      </c>
      <c r="J18" s="54">
        <v>0.48845</v>
      </c>
      <c r="K18" s="54">
        <v>0.40200000000000002</v>
      </c>
      <c r="L18" s="54">
        <v>0.32450000000000001</v>
      </c>
      <c r="M18" s="52"/>
      <c r="N18" s="52"/>
      <c r="O18" s="52"/>
      <c r="P18" s="52"/>
      <c r="Q18" s="52"/>
      <c r="R18" s="52"/>
      <c r="S18" s="52"/>
    </row>
    <row r="19" spans="1:19" hidden="1">
      <c r="A19" s="52">
        <v>16</v>
      </c>
      <c r="B19" s="54">
        <v>0.94664999999999999</v>
      </c>
      <c r="C19" s="54">
        <v>0.92210000000000003</v>
      </c>
      <c r="D19" s="54">
        <v>0.8891</v>
      </c>
      <c r="E19" s="54">
        <v>0.84684999999999999</v>
      </c>
      <c r="F19" s="54">
        <v>0.79179999999999995</v>
      </c>
      <c r="G19" s="54">
        <v>0.7238</v>
      </c>
      <c r="H19" s="54">
        <v>0.65154999999999996</v>
      </c>
      <c r="I19" s="54">
        <v>0.57220000000000004</v>
      </c>
      <c r="J19" s="54">
        <v>0.48449999999999999</v>
      </c>
      <c r="K19" s="54">
        <v>0.39529999999999998</v>
      </c>
      <c r="L19" s="54">
        <v>0.31659999999999999</v>
      </c>
      <c r="M19" s="52"/>
      <c r="N19" s="52"/>
      <c r="O19" s="52"/>
      <c r="P19" s="52"/>
      <c r="Q19" s="52"/>
      <c r="R19" s="52"/>
      <c r="S19" s="52"/>
    </row>
    <row r="20" spans="1:19" hidden="1">
      <c r="A20" s="52">
        <v>17</v>
      </c>
      <c r="B20" s="54">
        <v>0.94864999999999999</v>
      </c>
      <c r="C20" s="54">
        <v>0.92374999999999996</v>
      </c>
      <c r="D20" s="54">
        <v>0.89205000000000001</v>
      </c>
      <c r="E20" s="54">
        <v>0.84730000000000005</v>
      </c>
      <c r="F20" s="54">
        <v>0.79149999999999998</v>
      </c>
      <c r="G20" s="54">
        <v>0.72504999999999997</v>
      </c>
      <c r="H20" s="54">
        <v>0.64834999999999998</v>
      </c>
      <c r="I20" s="54">
        <v>0.56545000000000001</v>
      </c>
      <c r="J20" s="54">
        <v>0.47825000000000001</v>
      </c>
      <c r="K20" s="54">
        <v>0.39024999999999999</v>
      </c>
      <c r="L20" s="54">
        <v>0.30795</v>
      </c>
      <c r="M20" s="52"/>
      <c r="N20" s="52"/>
      <c r="O20" s="52"/>
      <c r="P20" s="52"/>
      <c r="Q20" s="52"/>
      <c r="R20" s="52"/>
      <c r="S20" s="52"/>
    </row>
    <row r="21" spans="1:19" hidden="1">
      <c r="A21" s="52">
        <v>18</v>
      </c>
      <c r="B21" s="54">
        <v>0.95125000000000004</v>
      </c>
      <c r="C21" s="54">
        <v>0.92635000000000001</v>
      </c>
      <c r="D21" s="54">
        <v>0.89400000000000002</v>
      </c>
      <c r="E21" s="54">
        <v>0.84835000000000005</v>
      </c>
      <c r="F21" s="54">
        <v>0.79374999999999996</v>
      </c>
      <c r="G21" s="54">
        <v>0.72430000000000005</v>
      </c>
      <c r="H21" s="54">
        <v>0.64754999999999996</v>
      </c>
      <c r="I21" s="54">
        <v>0.56379999999999997</v>
      </c>
      <c r="J21" s="54">
        <v>0.47344999999999998</v>
      </c>
      <c r="K21" s="54">
        <v>0.38405</v>
      </c>
      <c r="L21" s="54">
        <v>0.30170000000000002</v>
      </c>
      <c r="M21" s="52"/>
      <c r="N21" s="52"/>
      <c r="O21" s="52"/>
      <c r="P21" s="52"/>
      <c r="Q21" s="52"/>
      <c r="R21" s="52"/>
      <c r="S21" s="52"/>
    </row>
    <row r="22" spans="1:19" hidden="1">
      <c r="A22" s="52">
        <v>19</v>
      </c>
      <c r="B22" s="54">
        <v>0.95399999999999996</v>
      </c>
      <c r="C22" s="54">
        <v>0.9294</v>
      </c>
      <c r="D22" s="54">
        <v>0.89615</v>
      </c>
      <c r="E22" s="54">
        <v>0.85109999999999997</v>
      </c>
      <c r="F22" s="54">
        <v>0.79520000000000002</v>
      </c>
      <c r="G22" s="54">
        <v>0.72445000000000004</v>
      </c>
      <c r="H22" s="54">
        <v>0.64590000000000003</v>
      </c>
      <c r="I22" s="54">
        <v>0.55915000000000004</v>
      </c>
      <c r="J22" s="54">
        <v>0.4703</v>
      </c>
      <c r="K22" s="54">
        <v>0.37919999999999998</v>
      </c>
      <c r="L22" s="54">
        <v>0.29415000000000002</v>
      </c>
      <c r="M22" s="52"/>
      <c r="N22" s="52"/>
      <c r="O22" s="52"/>
      <c r="P22" s="52"/>
      <c r="Q22" s="52"/>
      <c r="R22" s="52"/>
      <c r="S22" s="52"/>
    </row>
    <row r="23" spans="1:19">
      <c r="A23" s="52">
        <v>20</v>
      </c>
      <c r="B23" s="54">
        <v>0.95694999999999997</v>
      </c>
      <c r="C23" s="54">
        <v>0.93169999999999997</v>
      </c>
      <c r="D23" s="54">
        <v>0.89949999999999997</v>
      </c>
      <c r="E23" s="54">
        <v>0.85399999999999998</v>
      </c>
      <c r="F23" s="54">
        <v>0.79774999999999996</v>
      </c>
      <c r="G23" s="54">
        <v>0.72529999999999994</v>
      </c>
      <c r="H23" s="54">
        <v>0.64480000000000004</v>
      </c>
      <c r="I23" s="54">
        <v>0.55700000000000005</v>
      </c>
      <c r="J23" s="54">
        <v>0.46465000000000001</v>
      </c>
      <c r="K23" s="54">
        <v>0.373</v>
      </c>
      <c r="L23" s="54">
        <v>0.28820000000000001</v>
      </c>
      <c r="M23" s="52"/>
      <c r="N23" s="52"/>
      <c r="O23" s="52"/>
      <c r="P23" s="52"/>
      <c r="Q23" s="52"/>
      <c r="R23" s="52"/>
      <c r="S23" s="52"/>
    </row>
    <row r="24" spans="1:19">
      <c r="A24" s="52"/>
      <c r="B24" s="61">
        <f>B48</f>
        <v>0</v>
      </c>
      <c r="C24" s="61">
        <f t="shared" ref="C24:L24" si="1">C48</f>
        <v>0</v>
      </c>
      <c r="D24" s="61">
        <f t="shared" si="1"/>
        <v>0</v>
      </c>
      <c r="E24" s="61">
        <f t="shared" si="1"/>
        <v>0</v>
      </c>
      <c r="F24" s="61">
        <f t="shared" si="1"/>
        <v>4.9999999999994398E-5</v>
      </c>
      <c r="G24" s="61">
        <f t="shared" si="1"/>
        <v>9.9999999999988905E-5</v>
      </c>
      <c r="H24" s="61">
        <f t="shared" si="1"/>
        <v>9.5000000000000596E-4</v>
      </c>
      <c r="I24" s="61">
        <f t="shared" si="1"/>
        <v>4.9500000000000099E-3</v>
      </c>
      <c r="J24" s="61">
        <f t="shared" si="1"/>
        <v>1.495E-2</v>
      </c>
      <c r="K24" s="61">
        <f t="shared" si="1"/>
        <v>3.5449999999999898E-2</v>
      </c>
      <c r="L24" s="61">
        <f t="shared" si="1"/>
        <v>7.4799999999999894E-2</v>
      </c>
      <c r="M24" s="52"/>
      <c r="N24" s="52"/>
      <c r="O24" s="52"/>
      <c r="P24" s="52"/>
      <c r="Q24" s="52"/>
      <c r="R24" s="52"/>
      <c r="S24" s="52"/>
    </row>
    <row r="25" spans="1:19">
      <c r="A25" s="52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2"/>
      <c r="N25" s="52"/>
      <c r="O25" s="52"/>
      <c r="P25" s="52"/>
      <c r="Q25" s="52"/>
      <c r="R25" s="52"/>
      <c r="S25" s="52"/>
    </row>
    <row r="26" spans="1:19">
      <c r="A26" s="52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2"/>
      <c r="N26" s="52"/>
      <c r="O26" s="52"/>
      <c r="P26" s="52"/>
      <c r="Q26" s="52"/>
      <c r="R26" s="52"/>
      <c r="S26" s="52"/>
    </row>
    <row r="27" spans="1:19">
      <c r="A27" s="52"/>
      <c r="B27" s="57" t="s">
        <v>139</v>
      </c>
      <c r="C27" s="57" t="s">
        <v>140</v>
      </c>
      <c r="D27" s="57" t="s">
        <v>141</v>
      </c>
      <c r="E27" s="57" t="s">
        <v>142</v>
      </c>
      <c r="F27" s="57" t="s">
        <v>143</v>
      </c>
      <c r="G27" s="57" t="s">
        <v>144</v>
      </c>
      <c r="H27" s="57" t="s">
        <v>145</v>
      </c>
      <c r="I27" s="57" t="s">
        <v>146</v>
      </c>
      <c r="J27" s="57" t="s">
        <v>147</v>
      </c>
      <c r="K27" s="57" t="s">
        <v>148</v>
      </c>
      <c r="L27" s="57" t="s">
        <v>149</v>
      </c>
      <c r="M27" s="52"/>
      <c r="N27" s="52"/>
      <c r="O27" s="52"/>
      <c r="P27" s="52"/>
      <c r="Q27" s="52"/>
      <c r="R27" s="52"/>
      <c r="S27" s="52"/>
    </row>
    <row r="28" spans="1:19">
      <c r="A28" s="52">
        <v>0</v>
      </c>
      <c r="B28" s="55">
        <v>0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2"/>
      <c r="N28" s="52"/>
      <c r="O28" s="52"/>
      <c r="P28" s="52"/>
      <c r="Q28" s="52"/>
      <c r="R28" s="52"/>
      <c r="S28" s="52"/>
    </row>
    <row r="29" spans="1:19">
      <c r="A29" s="52">
        <v>1</v>
      </c>
      <c r="B29" s="55">
        <v>0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2"/>
      <c r="N29" s="52"/>
      <c r="O29" s="52"/>
      <c r="P29" s="52"/>
      <c r="Q29" s="52"/>
      <c r="R29" s="52"/>
      <c r="S29" s="52"/>
    </row>
    <row r="30" spans="1:19">
      <c r="A30" s="52">
        <v>2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2"/>
      <c r="N30" s="52"/>
      <c r="O30" s="52"/>
      <c r="P30" s="52"/>
      <c r="Q30" s="52"/>
      <c r="R30" s="52"/>
      <c r="S30" s="52"/>
    </row>
    <row r="31" spans="1:19">
      <c r="A31" s="52">
        <v>3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2"/>
      <c r="N31" s="52"/>
      <c r="O31" s="52"/>
      <c r="P31" s="52"/>
      <c r="Q31" s="52"/>
      <c r="R31" s="52"/>
      <c r="S31" s="52"/>
    </row>
    <row r="32" spans="1:19">
      <c r="A32" s="52">
        <v>4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2"/>
      <c r="N32" s="52"/>
      <c r="O32" s="52"/>
      <c r="P32" s="52"/>
      <c r="Q32" s="52"/>
      <c r="R32" s="52"/>
      <c r="S32" s="52"/>
    </row>
    <row r="33" spans="1:19">
      <c r="A33" s="52">
        <v>5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2"/>
      <c r="N33" s="52"/>
      <c r="O33" s="52"/>
      <c r="P33" s="52"/>
      <c r="Q33" s="52"/>
      <c r="R33" s="52"/>
      <c r="S33" s="52"/>
    </row>
    <row r="34" spans="1:19">
      <c r="A34" s="52">
        <v>6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2"/>
      <c r="N34" s="52"/>
      <c r="O34" s="52"/>
      <c r="P34" s="52"/>
      <c r="Q34" s="52"/>
      <c r="R34" s="52"/>
      <c r="S34" s="52"/>
    </row>
    <row r="35" spans="1:19">
      <c r="A35" s="52">
        <v>7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2"/>
      <c r="N35" s="52"/>
      <c r="O35" s="52"/>
      <c r="P35" s="52"/>
      <c r="Q35" s="52"/>
      <c r="R35" s="52"/>
      <c r="S35" s="52"/>
    </row>
    <row r="36" spans="1:19">
      <c r="A36" s="52">
        <v>8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2"/>
      <c r="N36" s="52"/>
      <c r="O36" s="52"/>
      <c r="P36" s="52"/>
      <c r="Q36" s="52"/>
      <c r="R36" s="52"/>
      <c r="S36" s="52"/>
    </row>
    <row r="37" spans="1:19">
      <c r="A37" s="52">
        <v>9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2"/>
      <c r="N37" s="52"/>
      <c r="O37" s="52"/>
      <c r="P37" s="52"/>
      <c r="Q37" s="52"/>
      <c r="R37" s="52"/>
      <c r="S37" s="52"/>
    </row>
    <row r="38" spans="1:19">
      <c r="A38" s="52">
        <v>10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2"/>
      <c r="N38" s="52"/>
      <c r="O38" s="52"/>
      <c r="P38" s="52"/>
      <c r="Q38" s="52"/>
      <c r="R38" s="52"/>
      <c r="S38" s="52"/>
    </row>
    <row r="39" spans="1:19">
      <c r="A39" s="52">
        <v>11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2"/>
      <c r="N39" s="52"/>
      <c r="O39" s="52"/>
      <c r="P39" s="52"/>
      <c r="Q39" s="52"/>
      <c r="R39" s="52"/>
      <c r="S39" s="52"/>
    </row>
    <row r="40" spans="1:19">
      <c r="A40" s="52">
        <v>12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4.9999999999994398E-5</v>
      </c>
      <c r="L40" s="55">
        <v>4.9999999999994398E-5</v>
      </c>
      <c r="M40" s="52"/>
      <c r="N40" s="52"/>
      <c r="O40" s="52"/>
      <c r="P40" s="52"/>
      <c r="Q40" s="52"/>
      <c r="R40" s="52"/>
      <c r="S40" s="52"/>
    </row>
    <row r="41" spans="1:19">
      <c r="A41" s="52">
        <v>13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4.9999999999994398E-5</v>
      </c>
      <c r="K41" s="55">
        <v>4.9999999999994398E-5</v>
      </c>
      <c r="L41" s="55">
        <v>4.9999999999994396E-4</v>
      </c>
      <c r="M41" s="52"/>
      <c r="N41" s="52"/>
      <c r="O41" s="52"/>
      <c r="P41" s="52"/>
      <c r="Q41" s="52"/>
      <c r="R41" s="52"/>
      <c r="S41" s="52"/>
    </row>
    <row r="42" spans="1:19">
      <c r="A42" s="52">
        <v>14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4.9999999999994398E-5</v>
      </c>
      <c r="J42" s="55">
        <v>4.9999999999994398E-5</v>
      </c>
      <c r="K42" s="55">
        <v>3.4999999999996102E-4</v>
      </c>
      <c r="L42" s="55">
        <v>2.1499999999999801E-3</v>
      </c>
      <c r="M42" s="52"/>
      <c r="N42" s="52"/>
      <c r="O42" s="52"/>
      <c r="P42" s="52"/>
      <c r="Q42" s="52"/>
      <c r="R42" s="52"/>
      <c r="S42" s="52"/>
    </row>
    <row r="43" spans="1:19">
      <c r="A43" s="52">
        <v>15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4.9999999999994398E-5</v>
      </c>
      <c r="J43" s="55">
        <v>2.4999999999997198E-4</v>
      </c>
      <c r="K43" s="55">
        <v>1.75000000000002E-3</v>
      </c>
      <c r="L43" s="55">
        <v>5.0499999999999903E-3</v>
      </c>
      <c r="M43" s="52"/>
      <c r="N43" s="52"/>
      <c r="O43" s="52"/>
      <c r="P43" s="52"/>
      <c r="Q43" s="52"/>
      <c r="R43" s="52"/>
      <c r="S43" s="52"/>
    </row>
    <row r="44" spans="1:19">
      <c r="A44" s="52">
        <v>16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4.9999999999994398E-5</v>
      </c>
      <c r="I44" s="55">
        <v>9.9999999999988905E-5</v>
      </c>
      <c r="J44" s="55">
        <v>1.04999999999999E-3</v>
      </c>
      <c r="K44" s="55">
        <v>3.7000000000000301E-3</v>
      </c>
      <c r="L44" s="55">
        <v>1.1849999999999999E-2</v>
      </c>
      <c r="M44" s="52"/>
      <c r="N44" s="52"/>
      <c r="O44" s="52"/>
      <c r="P44" s="52"/>
      <c r="Q44" s="52"/>
      <c r="R44" s="52"/>
      <c r="S44" s="52"/>
    </row>
    <row r="45" spans="1:19">
      <c r="A45" s="52">
        <v>17</v>
      </c>
      <c r="B45" s="55">
        <v>0</v>
      </c>
      <c r="C45" s="55">
        <v>0</v>
      </c>
      <c r="D45" s="55">
        <v>0</v>
      </c>
      <c r="E45" s="55">
        <v>0</v>
      </c>
      <c r="F45" s="55">
        <v>0</v>
      </c>
      <c r="G45" s="55">
        <v>4.9999999999994398E-5</v>
      </c>
      <c r="H45" s="55">
        <v>4.9999999999994398E-5</v>
      </c>
      <c r="I45" s="55">
        <v>4.4999999999995001E-4</v>
      </c>
      <c r="J45" s="55">
        <v>2.5500000000000501E-3</v>
      </c>
      <c r="K45" s="55">
        <v>8.0499999999999999E-3</v>
      </c>
      <c r="L45" s="55">
        <v>2.1000000000000001E-2</v>
      </c>
      <c r="M45" s="52"/>
      <c r="N45" s="52"/>
      <c r="O45" s="52"/>
      <c r="P45" s="52"/>
      <c r="Q45" s="52"/>
      <c r="R45" s="52"/>
      <c r="S45" s="52"/>
    </row>
    <row r="46" spans="1:19">
      <c r="A46" s="52">
        <v>18</v>
      </c>
      <c r="B46" s="55">
        <v>0</v>
      </c>
      <c r="C46" s="55">
        <v>0</v>
      </c>
      <c r="D46" s="55">
        <v>0</v>
      </c>
      <c r="E46" s="55">
        <v>0</v>
      </c>
      <c r="F46" s="55">
        <v>0</v>
      </c>
      <c r="G46" s="55">
        <v>4.9999999999994398E-5</v>
      </c>
      <c r="H46" s="55">
        <v>9.9999999999988905E-5</v>
      </c>
      <c r="I46" s="55">
        <v>1.19999999999997E-3</v>
      </c>
      <c r="J46" s="55">
        <v>5.0499999999999903E-3</v>
      </c>
      <c r="K46" s="55">
        <v>1.5249999999999901E-2</v>
      </c>
      <c r="L46" s="55">
        <v>3.4599999999999902E-2</v>
      </c>
      <c r="M46" s="52"/>
      <c r="N46" s="52"/>
      <c r="O46" s="52"/>
      <c r="P46" s="52"/>
      <c r="Q46" s="52"/>
      <c r="R46" s="52"/>
      <c r="S46" s="52"/>
    </row>
    <row r="47" spans="1:19">
      <c r="A47" s="52">
        <v>19</v>
      </c>
      <c r="B47" s="55">
        <v>0</v>
      </c>
      <c r="C47" s="55">
        <v>0</v>
      </c>
      <c r="D47" s="55">
        <v>0</v>
      </c>
      <c r="E47" s="55">
        <v>0</v>
      </c>
      <c r="F47" s="55">
        <v>4.9999999999994398E-5</v>
      </c>
      <c r="G47" s="55">
        <v>4.9999999999994398E-5</v>
      </c>
      <c r="H47" s="55">
        <v>4.9999999999994396E-4</v>
      </c>
      <c r="I47" s="55">
        <v>2.8500000000000101E-3</v>
      </c>
      <c r="J47" s="55">
        <v>8.95000000000001E-3</v>
      </c>
      <c r="K47" s="55">
        <v>2.385E-2</v>
      </c>
      <c r="L47" s="55">
        <v>5.3350000000000002E-2</v>
      </c>
      <c r="M47" s="52"/>
      <c r="N47" s="52"/>
      <c r="O47" s="52"/>
      <c r="P47" s="52"/>
      <c r="Q47" s="52"/>
      <c r="R47" s="52"/>
      <c r="S47" s="52"/>
    </row>
    <row r="48" spans="1:19">
      <c r="A48" s="52">
        <v>20</v>
      </c>
      <c r="B48" s="55">
        <v>0</v>
      </c>
      <c r="C48" s="55">
        <v>0</v>
      </c>
      <c r="D48" s="55">
        <v>0</v>
      </c>
      <c r="E48" s="55">
        <v>0</v>
      </c>
      <c r="F48" s="55">
        <v>4.9999999999994398E-5</v>
      </c>
      <c r="G48" s="55">
        <v>9.9999999999988905E-5</v>
      </c>
      <c r="H48" s="55">
        <v>9.5000000000000596E-4</v>
      </c>
      <c r="I48" s="55">
        <v>4.9500000000000099E-3</v>
      </c>
      <c r="J48" s="55">
        <v>1.495E-2</v>
      </c>
      <c r="K48" s="55">
        <v>3.5449999999999898E-2</v>
      </c>
      <c r="L48" s="55">
        <v>7.4799999999999894E-2</v>
      </c>
      <c r="M48" s="52"/>
      <c r="N48" s="52"/>
      <c r="O48" s="52"/>
      <c r="P48" s="52"/>
      <c r="Q48" s="52"/>
      <c r="R48" s="52"/>
      <c r="S48" s="52"/>
    </row>
    <row r="49" spans="1:19">
      <c r="A49" s="52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2"/>
      <c r="N49" s="52"/>
      <c r="O49" s="52"/>
      <c r="P49" s="52"/>
      <c r="Q49" s="52"/>
      <c r="R49" s="52"/>
      <c r="S49" s="52"/>
    </row>
    <row r="50" spans="1:19">
      <c r="A50" s="52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2"/>
      <c r="N50" s="52"/>
      <c r="O50" s="52"/>
      <c r="P50" s="52"/>
      <c r="Q50" s="52"/>
      <c r="R50" s="52"/>
      <c r="S50" s="52"/>
    </row>
    <row r="51" spans="1:19">
      <c r="A51" s="52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2"/>
      <c r="N51" s="52"/>
      <c r="O51" s="52"/>
      <c r="P51" s="52"/>
      <c r="Q51" s="52"/>
      <c r="R51" s="52"/>
      <c r="S51" s="52"/>
    </row>
    <row r="52" spans="1:19">
      <c r="A52" s="52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2"/>
      <c r="N52" s="52"/>
      <c r="O52" s="52"/>
      <c r="P52" s="52"/>
      <c r="Q52" s="52"/>
      <c r="R52" s="52"/>
      <c r="S52" s="52"/>
    </row>
    <row r="53" spans="1:19">
      <c r="A53" s="52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2"/>
      <c r="N53" s="52"/>
      <c r="O53" s="52"/>
      <c r="P53" s="52"/>
      <c r="Q53" s="52"/>
      <c r="R53" s="52"/>
      <c r="S53" s="52"/>
    </row>
    <row r="54" spans="1:19">
      <c r="A54" s="52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2"/>
      <c r="N54" s="52"/>
      <c r="O54" s="52"/>
      <c r="P54" s="52"/>
      <c r="Q54" s="52"/>
      <c r="R54" s="52"/>
      <c r="S54" s="52"/>
    </row>
    <row r="55" spans="1:19">
      <c r="A55" s="52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2"/>
      <c r="N55" s="52"/>
      <c r="O55" s="52"/>
      <c r="P55" s="52"/>
      <c r="Q55" s="52"/>
      <c r="R55" s="52"/>
      <c r="S55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portfolios</vt:lpstr>
      <vt:lpstr>Risk Decomposition</vt:lpstr>
      <vt:lpstr>Currency Hedging</vt:lpstr>
      <vt:lpstr>Risk Premias</vt:lpstr>
      <vt:lpstr>risk_dashboard</vt:lpstr>
      <vt:lpstr>assumptions</vt:lpstr>
      <vt:lpstr>ws_Reference</vt:lpstr>
      <vt:lpstr>ws_Strategic_Asset_Allocation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2025-06-30T10:09:17Z</dcterms:created>
  <dcterms:modified xsi:type="dcterms:W3CDTF">2025-07-01T07:39:18Z</dcterms:modified>
</cp:coreProperties>
</file>