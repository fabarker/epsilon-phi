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1. Portfolio Analysis/"/>
    </mc:Choice>
  </mc:AlternateContent>
  <xr:revisionPtr revIDLastSave="0" documentId="13_ncr:1_{994B38E4-E2FC-CE4A-A121-49F04A6052B7}" xr6:coauthVersionLast="47" xr6:coauthVersionMax="47" xr10:uidLastSave="{00000000-0000-0000-0000-000000000000}"/>
  <bookViews>
    <workbookView xWindow="-28940" yWindow="-2280" windowWidth="28340" windowHeight="23000" firstSheet="1" activeTab="5" xr2:uid="{00000000-000D-0000-FFFF-FFFF00000000}"/>
  </bookViews>
  <sheets>
    <sheet name="Portfolios" sheetId="2" r:id="rId1"/>
    <sheet name="Sheet1" sheetId="12" r:id="rId2"/>
    <sheet name="Risk-Metrics" sheetId="3" r:id="rId3"/>
    <sheet name="Factor Charts" sheetId="4" r:id="rId4"/>
    <sheet name="Assumptions" sheetId="5" r:id="rId5"/>
    <sheet name="RAW WEIGHTS" sheetId="6" r:id="rId6"/>
    <sheet name="Sheet2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6" l="1"/>
  <c r="E18" i="6"/>
  <c r="F18" i="6"/>
  <c r="G18" i="6"/>
  <c r="I12" i="13"/>
  <c r="I11" i="13"/>
  <c r="J6" i="13"/>
  <c r="J7" i="13"/>
  <c r="J9" i="13"/>
  <c r="J10" i="13"/>
  <c r="J8" i="13"/>
  <c r="J5" i="13"/>
  <c r="I9" i="13"/>
  <c r="I7" i="13"/>
  <c r="I30" i="5"/>
  <c r="I29" i="5"/>
  <c r="I28" i="5"/>
  <c r="I26" i="5"/>
  <c r="I25" i="5"/>
  <c r="I24" i="5"/>
  <c r="I22" i="5"/>
  <c r="I21" i="5"/>
  <c r="I20" i="5"/>
  <c r="I10" i="5"/>
  <c r="I11" i="5"/>
  <c r="I12" i="5"/>
  <c r="I13" i="5"/>
  <c r="I14" i="5"/>
  <c r="I15" i="5"/>
  <c r="I16" i="5"/>
  <c r="I17" i="5"/>
  <c r="I18" i="5"/>
  <c r="I9" i="5"/>
  <c r="I7" i="5"/>
  <c r="I5" i="5"/>
  <c r="I4" i="5"/>
</calcChain>
</file>

<file path=xl/sharedStrings.xml><?xml version="1.0" encoding="utf-8"?>
<sst xmlns="http://schemas.openxmlformats.org/spreadsheetml/2006/main" count="274" uniqueCount="127">
  <si>
    <t>Low Volatility</t>
  </si>
  <si>
    <t>Conservative</t>
  </si>
  <si>
    <t>Moderate</t>
  </si>
  <si>
    <t>Aggressive</t>
  </si>
  <si>
    <t>Investment Grade Fixed Income</t>
  </si>
  <si>
    <t>US Dollar Short Duration Fixed Income</t>
  </si>
  <si>
    <t>Other Fixed Income</t>
  </si>
  <si>
    <t>US High Yiled Bonds</t>
  </si>
  <si>
    <t>Public Equity</t>
  </si>
  <si>
    <t>US Large Cap Growth Equity</t>
  </si>
  <si>
    <t>US Large Cap Value Equity</t>
  </si>
  <si>
    <t>US Small Cap Equity</t>
  </si>
  <si>
    <t>Europe ex-UK Equity</t>
  </si>
  <si>
    <t>UK Equity</t>
  </si>
  <si>
    <t>Japanese Equity</t>
  </si>
  <si>
    <t>Asia-Pacific Equity</t>
  </si>
  <si>
    <t>Emerging Market Equity</t>
  </si>
  <si>
    <t>Hedge Funds</t>
  </si>
  <si>
    <t>Event Driven</t>
  </si>
  <si>
    <t>Equity Long/Short</t>
  </si>
  <si>
    <t>Tactical Trading</t>
  </si>
  <si>
    <t>Private Equity</t>
  </si>
  <si>
    <t>Buyout</t>
  </si>
  <si>
    <t>Growth</t>
  </si>
  <si>
    <t>Venture</t>
  </si>
  <si>
    <t>Other Private Assets</t>
  </si>
  <si>
    <t>Private Credit</t>
  </si>
  <si>
    <t>TOTAL</t>
  </si>
  <si>
    <t>Estimated Mean Return (2.5% Risk Free Rate)</t>
  </si>
  <si>
    <t>Sharpe Ratio</t>
  </si>
  <si>
    <t>Volatility</t>
  </si>
  <si>
    <t>80/20</t>
  </si>
  <si>
    <t>70/30</t>
  </si>
  <si>
    <t>50/50</t>
  </si>
  <si>
    <t>30/70</t>
  </si>
  <si>
    <t>US Dollar Debt</t>
  </si>
  <si>
    <t>-</t>
  </si>
  <si>
    <t>58.8%%</t>
  </si>
  <si>
    <t>Risk-Equivalent Benchmark (Bond/Equity)</t>
  </si>
  <si>
    <t>Factor-Based Risk Analytics</t>
  </si>
  <si>
    <t>Predicted Performance over Stress Periods</t>
  </si>
  <si>
    <t>Oil Embargo (Jan 73 - Sep 74)</t>
  </si>
  <si>
    <t>US Inflation / Iranian Revolution (Nov 78 - Mar 80)</t>
  </si>
  <si>
    <t>US Stagflation (Nov 80 - Jul 82)</t>
  </si>
  <si>
    <t>Black Monday (Sep 87 - Oct 87)</t>
  </si>
  <si>
    <t>Bond Crisis (Jan 94 - Oct 94)</t>
  </si>
  <si>
    <t>Tech Meltdown (Mar 00 - Sep 02)</t>
  </si>
  <si>
    <t>Financial Crisis (Oct 07 - Feb 09)</t>
  </si>
  <si>
    <t>Covid-19 (Jan 20 - Mar 20)</t>
  </si>
  <si>
    <t>Nominal</t>
  </si>
  <si>
    <t>Real</t>
  </si>
  <si>
    <t>Value at Risk with 99% Confidence</t>
  </si>
  <si>
    <t>Over 1 Month</t>
  </si>
  <si>
    <t>Over 1 Year</t>
  </si>
  <si>
    <t>Over 3 Years</t>
  </si>
  <si>
    <t>Probability of Loss</t>
  </si>
  <si>
    <t>Portfolio Risk Premia</t>
  </si>
  <si>
    <t>Equity</t>
  </si>
  <si>
    <t>Term</t>
  </si>
  <si>
    <t>Funding</t>
  </si>
  <si>
    <t>Liquidity</t>
  </si>
  <si>
    <t>Carry</t>
  </si>
  <si>
    <t>Emerging Market</t>
  </si>
  <si>
    <t>R</t>
  </si>
  <si>
    <t>G</t>
  </si>
  <si>
    <t>B</t>
  </si>
  <si>
    <t>Hedging Ratio</t>
  </si>
  <si>
    <t>Global Public REITs</t>
  </si>
  <si>
    <t>Global Infrastructure Equity</t>
  </si>
  <si>
    <t>Core Private Real Estate</t>
  </si>
  <si>
    <t>Private Infrastructure</t>
  </si>
  <si>
    <t>Estimated Mean Return 
(2.5% Risk Free Rate)</t>
  </si>
  <si>
    <t>Risk Premium 
with Estimated Range</t>
  </si>
  <si>
    <t>1.7%%</t>
  </si>
  <si>
    <t>0.7%%</t>
  </si>
  <si>
    <t>5.4%%</t>
  </si>
  <si>
    <t>8.1%%</t>
  </si>
  <si>
    <t>8.4%%</t>
  </si>
  <si>
    <t>9.4%%</t>
  </si>
  <si>
    <t>7.4%%</t>
  </si>
  <si>
    <t>7.5%%</t>
  </si>
  <si>
    <t>5.7%%</t>
  </si>
  <si>
    <t>9.9%%</t>
  </si>
  <si>
    <t>15.1%%</t>
  </si>
  <si>
    <t>9.2%%</t>
  </si>
  <si>
    <t>7.7%%</t>
  </si>
  <si>
    <t>4.3%%</t>
  </si>
  <si>
    <t>6.1%%</t>
  </si>
  <si>
    <t>5.9%%</t>
  </si>
  <si>
    <t>12.0%%</t>
  </si>
  <si>
    <t>6.7%%</t>
  </si>
  <si>
    <t>5.3%%</t>
  </si>
  <si>
    <t>6.0%%</t>
  </si>
  <si>
    <t>◄</t>
  </si>
  <si>
    <t>►</t>
  </si>
  <si>
    <t>Long-Term Estimates</t>
  </si>
  <si>
    <t>Total</t>
  </si>
  <si>
    <t>Hedge Ratios</t>
  </si>
  <si>
    <t>LHTRYIN</t>
  </si>
  <si>
    <t>FRUS1GR</t>
  </si>
  <si>
    <t>FRUS1VA</t>
  </si>
  <si>
    <t>FRUSS2L</t>
  </si>
  <si>
    <t>MSEXUKL</t>
  </si>
  <si>
    <t>MSUTDKL</t>
  </si>
  <si>
    <t>MSJPANL</t>
  </si>
  <si>
    <t>MSPXJPL</t>
  </si>
  <si>
    <t>MSEMKF$</t>
  </si>
  <si>
    <t>Global REITs</t>
  </si>
  <si>
    <t>Infrastructure Equity</t>
  </si>
  <si>
    <t>INFRA_EQUITY</t>
  </si>
  <si>
    <t>CSTEVDH</t>
  </si>
  <si>
    <t>CSTLNSH</t>
  </si>
  <si>
    <t>CSFBMTT</t>
  </si>
  <si>
    <t>Codes</t>
  </si>
  <si>
    <t>US High Yield Bonds</t>
  </si>
  <si>
    <t>Reporting Name</t>
  </si>
  <si>
    <t>Category</t>
  </si>
  <si>
    <t>LHYIELD</t>
  </si>
  <si>
    <t>GLOBAL_REITS</t>
  </si>
  <si>
    <t>Low Vol</t>
  </si>
  <si>
    <t>Conservative Moderate</t>
  </si>
  <si>
    <t>Moderate Aggressive</t>
  </si>
  <si>
    <t>Vol</t>
  </si>
  <si>
    <t>Sleep Well</t>
  </si>
  <si>
    <t>US High Yield</t>
  </si>
  <si>
    <t>US Short Duration Debt</t>
  </si>
  <si>
    <t>LHUT1T3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</si>
</sst>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2.5"/>
      <color theme="1"/>
      <name val="Calibri"/>
      <family val="2"/>
      <scheme val="minor"/>
    </font>
    <font>
      <sz val="12.5"/>
      <color theme="1" tint="0.14999847407452621"/>
      <name val="Calibri"/>
      <family val="2"/>
      <scheme val="minor"/>
    </font>
    <font>
      <sz val="12.5"/>
      <color theme="3" tint="-0.499984740745262"/>
      <name val="Calibri"/>
      <family val="2"/>
      <scheme val="minor"/>
    </font>
    <font>
      <sz val="12.5"/>
      <color rgb="FFC00000"/>
      <name val="Calibri"/>
      <family val="2"/>
      <scheme val="minor"/>
    </font>
    <font>
      <sz val="12.5"/>
      <color theme="1" tint="0.249977111117893"/>
      <name val="Calibri"/>
      <family val="2"/>
      <scheme val="minor"/>
    </font>
    <font>
      <sz val="12.5"/>
      <color rgb="FF039644"/>
      <name val="Calibri"/>
      <family val="2"/>
      <scheme val="minor"/>
    </font>
    <font>
      <sz val="12.5"/>
      <color rgb="FF000000"/>
      <name val="Calibri"/>
      <family val="2"/>
      <scheme val="minor"/>
    </font>
    <font>
      <sz val="12.5"/>
      <color theme="0"/>
      <name val="Calibri"/>
      <family val="2"/>
      <scheme val="minor"/>
    </font>
    <font>
      <sz val="12.5"/>
      <color theme="0"/>
      <name val="Calibri Light"/>
      <family val="2"/>
    </font>
    <font>
      <sz val="12.5"/>
      <color theme="1"/>
      <name val="Calibri Light"/>
      <family val="2"/>
    </font>
    <font>
      <u/>
      <sz val="12.5"/>
      <color theme="1"/>
      <name val="Calibri Light"/>
      <family val="2"/>
    </font>
    <font>
      <sz val="12.5"/>
      <color theme="3" tint="-0.499984740745262"/>
      <name val="Calibri Light"/>
      <family val="2"/>
    </font>
    <font>
      <sz val="12"/>
      <color theme="0"/>
      <name val="Calibri"/>
      <family val="2"/>
    </font>
    <font>
      <sz val="12.5"/>
      <color theme="1"/>
      <name val="Arial"/>
      <family val="2"/>
    </font>
    <font>
      <sz val="12.5"/>
      <color theme="0"/>
      <name val="Calibri"/>
      <family val="2"/>
    </font>
    <font>
      <sz val="12.5"/>
      <color rgb="FF0F243E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3DDEA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</borders>
  <cellStyleXfs count="3">
    <xf numFmtId="0" fontId="0" fillId="0" borderId="0"/>
    <xf numFmtId="0" fontId="2" fillId="2" borderId="1">
      <alignment horizontal="center"/>
    </xf>
    <xf numFmtId="9" fontId="3" fillId="0" borderId="0" applyFon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left" indent="9"/>
    </xf>
    <xf numFmtId="0" fontId="0" fillId="0" borderId="0" xfId="0" applyAlignment="1">
      <alignment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164" fontId="0" fillId="3" borderId="0" xfId="2" applyNumberFormat="1" applyFont="1" applyFill="1" applyAlignment="1">
      <alignment horizontal="right"/>
    </xf>
    <xf numFmtId="164" fontId="0" fillId="0" borderId="0" xfId="2" applyNumberFormat="1" applyFont="1" applyAlignment="1">
      <alignment horizontal="right"/>
    </xf>
    <xf numFmtId="0" fontId="6" fillId="3" borderId="0" xfId="0" applyFont="1" applyFill="1"/>
    <xf numFmtId="0" fontId="6" fillId="3" borderId="1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164" fontId="6" fillId="3" borderId="0" xfId="2" applyNumberFormat="1" applyFont="1" applyFill="1" applyAlignment="1">
      <alignment horizontal="right"/>
    </xf>
    <xf numFmtId="0" fontId="9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 indent="1"/>
    </xf>
    <xf numFmtId="164" fontId="9" fillId="3" borderId="0" xfId="2" applyNumberFormat="1" applyFont="1" applyFill="1" applyAlignment="1">
      <alignment horizontal="right"/>
    </xf>
    <xf numFmtId="0" fontId="9" fillId="3" borderId="0" xfId="0" applyFont="1" applyFill="1"/>
    <xf numFmtId="164" fontId="6" fillId="3" borderId="0" xfId="2" applyNumberFormat="1" applyFont="1" applyFill="1" applyAlignment="1">
      <alignment horizontal="center"/>
    </xf>
    <xf numFmtId="0" fontId="11" fillId="3" borderId="0" xfId="0" applyFont="1" applyFill="1"/>
    <xf numFmtId="164" fontId="11" fillId="3" borderId="0" xfId="2" applyNumberFormat="1" applyFont="1" applyFill="1" applyAlignment="1">
      <alignment horizontal="left"/>
    </xf>
    <xf numFmtId="9" fontId="6" fillId="3" borderId="0" xfId="2" applyFont="1" applyFill="1" applyAlignment="1">
      <alignment horizontal="center"/>
    </xf>
    <xf numFmtId="0" fontId="10" fillId="3" borderId="11" xfId="0" applyFont="1" applyFill="1" applyBorder="1" applyAlignment="1">
      <alignment horizontal="left" vertical="center" indent="1"/>
    </xf>
    <xf numFmtId="164" fontId="9" fillId="3" borderId="11" xfId="2" applyNumberFormat="1" applyFont="1" applyFill="1" applyBorder="1" applyAlignment="1">
      <alignment horizontal="right"/>
    </xf>
    <xf numFmtId="0" fontId="9" fillId="3" borderId="11" xfId="0" applyFont="1" applyFill="1" applyBorder="1"/>
    <xf numFmtId="164" fontId="6" fillId="3" borderId="11" xfId="2" applyNumberFormat="1" applyFont="1" applyFill="1" applyBorder="1" applyAlignment="1">
      <alignment horizontal="center"/>
    </xf>
    <xf numFmtId="0" fontId="11" fillId="3" borderId="11" xfId="0" applyFont="1" applyFill="1" applyBorder="1"/>
    <xf numFmtId="164" fontId="11" fillId="3" borderId="11" xfId="2" applyNumberFormat="1" applyFont="1" applyFill="1" applyBorder="1" applyAlignment="1">
      <alignment horizontal="left"/>
    </xf>
    <xf numFmtId="0" fontId="6" fillId="3" borderId="11" xfId="0" applyFont="1" applyFill="1" applyBorder="1" applyAlignment="1">
      <alignment horizontal="center"/>
    </xf>
    <xf numFmtId="9" fontId="6" fillId="3" borderId="11" xfId="2" applyFont="1" applyFill="1" applyBorder="1" applyAlignment="1">
      <alignment horizontal="center"/>
    </xf>
    <xf numFmtId="164" fontId="11" fillId="3" borderId="0" xfId="2" applyNumberFormat="1" applyFont="1" applyFill="1" applyAlignment="1">
      <alignment horizontal="center"/>
    </xf>
    <xf numFmtId="9" fontId="12" fillId="6" borderId="1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left" vertical="center" indent="1"/>
    </xf>
    <xf numFmtId="164" fontId="9" fillId="3" borderId="12" xfId="2" applyNumberFormat="1" applyFont="1" applyFill="1" applyBorder="1" applyAlignment="1">
      <alignment horizontal="right"/>
    </xf>
    <xf numFmtId="0" fontId="9" fillId="3" borderId="12" xfId="0" applyFont="1" applyFill="1" applyBorder="1"/>
    <xf numFmtId="164" fontId="6" fillId="3" borderId="12" xfId="2" applyNumberFormat="1" applyFont="1" applyFill="1" applyBorder="1" applyAlignment="1">
      <alignment horizontal="center"/>
    </xf>
    <xf numFmtId="0" fontId="11" fillId="3" borderId="12" xfId="0" applyFont="1" applyFill="1" applyBorder="1"/>
    <xf numFmtId="164" fontId="11" fillId="3" borderId="12" xfId="2" applyNumberFormat="1" applyFont="1" applyFill="1" applyBorder="1" applyAlignment="1">
      <alignment horizontal="left"/>
    </xf>
    <xf numFmtId="9" fontId="6" fillId="3" borderId="12" xfId="2" applyFont="1" applyFill="1" applyBorder="1" applyAlignment="1">
      <alignment horizontal="center"/>
    </xf>
    <xf numFmtId="0" fontId="14" fillId="4" borderId="8" xfId="0" applyFont="1" applyFill="1" applyBorder="1"/>
    <xf numFmtId="0" fontId="15" fillId="3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4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5" fillId="3" borderId="0" xfId="0" applyFont="1" applyFill="1"/>
    <xf numFmtId="0" fontId="16" fillId="3" borderId="0" xfId="0" applyFont="1" applyFill="1" applyAlignment="1">
      <alignment horizontal="center"/>
    </xf>
    <xf numFmtId="0" fontId="15" fillId="3" borderId="0" xfId="0" applyFont="1" applyFill="1" applyAlignment="1">
      <alignment horizontal="left" indent="1"/>
    </xf>
    <xf numFmtId="164" fontId="15" fillId="3" borderId="0" xfId="2" applyNumberFormat="1" applyFont="1" applyFill="1" applyAlignment="1">
      <alignment horizontal="center"/>
    </xf>
    <xf numFmtId="0" fontId="15" fillId="3" borderId="6" xfId="0" applyFont="1" applyFill="1" applyBorder="1" applyAlignment="1">
      <alignment horizontal="left" indent="1"/>
    </xf>
    <xf numFmtId="164" fontId="15" fillId="3" borderId="6" xfId="2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3" borderId="7" xfId="0" applyFont="1" applyFill="1" applyBorder="1"/>
    <xf numFmtId="164" fontId="15" fillId="3" borderId="7" xfId="2" applyNumberFormat="1" applyFont="1" applyFill="1" applyBorder="1" applyAlignment="1">
      <alignment horizontal="center"/>
    </xf>
    <xf numFmtId="0" fontId="17" fillId="4" borderId="0" xfId="0" applyFont="1" applyFill="1" applyAlignment="1">
      <alignment vertical="center"/>
    </xf>
    <xf numFmtId="0" fontId="15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164" fontId="17" fillId="7" borderId="0" xfId="2" applyNumberFormat="1" applyFont="1" applyFill="1" applyAlignment="1">
      <alignment horizontal="left" vertical="center" indent="11"/>
    </xf>
    <xf numFmtId="0" fontId="15" fillId="3" borderId="0" xfId="0" applyFont="1" applyFill="1" applyAlignment="1">
      <alignment horizontal="left" vertical="center" indent="1"/>
    </xf>
    <xf numFmtId="0" fontId="15" fillId="3" borderId="0" xfId="0" applyFont="1" applyFill="1" applyAlignment="1">
      <alignment horizontal="left" vertical="center" indent="11"/>
    </xf>
    <xf numFmtId="0" fontId="15" fillId="3" borderId="3" xfId="0" applyFont="1" applyFill="1" applyBorder="1"/>
    <xf numFmtId="9" fontId="15" fillId="3" borderId="3" xfId="0" applyNumberFormat="1" applyFont="1" applyFill="1" applyBorder="1" applyAlignment="1">
      <alignment horizontal="left" indent="9"/>
    </xf>
    <xf numFmtId="0" fontId="18" fillId="4" borderId="0" xfId="0" applyFont="1" applyFill="1" applyAlignment="1">
      <alignment vertical="center"/>
    </xf>
    <xf numFmtId="164" fontId="18" fillId="4" borderId="0" xfId="2" applyNumberFormat="1" applyFont="1" applyFill="1" applyAlignment="1">
      <alignment horizontal="left" vertical="center" indent="9"/>
    </xf>
    <xf numFmtId="2" fontId="18" fillId="4" borderId="0" xfId="0" applyNumberFormat="1" applyFont="1" applyFill="1" applyAlignment="1">
      <alignment horizontal="left" vertical="center" indent="9"/>
    </xf>
    <xf numFmtId="0" fontId="18" fillId="4" borderId="0" xfId="0" applyFont="1" applyFill="1" applyAlignment="1">
      <alignment horizontal="left" vertical="center" indent="9"/>
    </xf>
    <xf numFmtId="0" fontId="15" fillId="3" borderId="9" xfId="0" applyFont="1" applyFill="1" applyBorder="1" applyAlignment="1">
      <alignment horizontal="left" vertical="center" indent="1"/>
    </xf>
    <xf numFmtId="0" fontId="6" fillId="3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14" fillId="4" borderId="4" xfId="0" applyFont="1" applyFill="1" applyBorder="1" applyAlignment="1">
      <alignment vertical="center"/>
    </xf>
    <xf numFmtId="0" fontId="14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9" fontId="12" fillId="5" borderId="1" xfId="2" applyFont="1" applyFill="1" applyBorder="1" applyAlignment="1">
      <alignment horizontal="center"/>
    </xf>
    <xf numFmtId="164" fontId="6" fillId="3" borderId="9" xfId="2" applyNumberFormat="1" applyFont="1" applyFill="1" applyBorder="1" applyAlignment="1">
      <alignment horizontal="center"/>
    </xf>
    <xf numFmtId="0" fontId="18" fillId="3" borderId="0" xfId="0" applyFont="1" applyFill="1" applyAlignment="1">
      <alignment vertical="center"/>
    </xf>
    <xf numFmtId="164" fontId="18" fillId="3" borderId="0" xfId="2" applyNumberFormat="1" applyFont="1" applyFill="1" applyAlignment="1">
      <alignment horizontal="left" vertical="center" indent="9"/>
    </xf>
    <xf numFmtId="2" fontId="18" fillId="3" borderId="0" xfId="0" applyNumberFormat="1" applyFont="1" applyFill="1" applyAlignment="1">
      <alignment horizontal="left" vertical="center" indent="9"/>
    </xf>
    <xf numFmtId="0" fontId="19" fillId="3" borderId="0" xfId="0" applyFont="1" applyFill="1"/>
    <xf numFmtId="0" fontId="19" fillId="3" borderId="0" xfId="0" applyFont="1" applyFill="1" applyAlignment="1">
      <alignment horizontal="left" indent="9"/>
    </xf>
    <xf numFmtId="0" fontId="20" fillId="4" borderId="0" xfId="0" applyFont="1" applyFill="1" applyAlignment="1">
      <alignment vertical="center"/>
    </xf>
    <xf numFmtId="164" fontId="20" fillId="4" borderId="0" xfId="2" applyNumberFormat="1" applyFont="1" applyFill="1" applyAlignment="1">
      <alignment horizontal="left" vertical="center" indent="9"/>
    </xf>
    <xf numFmtId="2" fontId="20" fillId="4" borderId="0" xfId="0" applyNumberFormat="1" applyFont="1" applyFill="1" applyAlignment="1">
      <alignment horizontal="left" vertical="center" indent="9"/>
    </xf>
    <xf numFmtId="0" fontId="20" fillId="3" borderId="0" xfId="0" applyFont="1" applyFill="1" applyAlignment="1">
      <alignment vertical="center"/>
    </xf>
    <xf numFmtId="2" fontId="20" fillId="3" borderId="0" xfId="0" applyNumberFormat="1" applyFont="1" applyFill="1" applyAlignment="1">
      <alignment horizontal="left" vertical="center" indent="9"/>
    </xf>
    <xf numFmtId="164" fontId="20" fillId="3" borderId="0" xfId="2" applyNumberFormat="1" applyFont="1" applyFill="1" applyAlignment="1">
      <alignment horizontal="left" vertical="center" indent="9"/>
    </xf>
    <xf numFmtId="0" fontId="20" fillId="4" borderId="0" xfId="0" applyFont="1" applyFill="1" applyAlignment="1">
      <alignment horizontal="left" vertical="center" indent="9"/>
    </xf>
    <xf numFmtId="164" fontId="17" fillId="7" borderId="0" xfId="2" applyNumberFormat="1" applyFont="1" applyFill="1" applyAlignment="1">
      <alignment horizontal="left" vertical="center" indent="9"/>
    </xf>
    <xf numFmtId="0" fontId="15" fillId="3" borderId="0" xfId="0" applyFont="1" applyFill="1" applyAlignment="1">
      <alignment horizontal="left" vertical="center" indent="9"/>
    </xf>
    <xf numFmtId="165" fontId="15" fillId="3" borderId="0" xfId="0" applyNumberFormat="1" applyFont="1" applyFill="1" applyAlignment="1">
      <alignment horizontal="left" vertical="center" indent="9"/>
    </xf>
    <xf numFmtId="0" fontId="21" fillId="3" borderId="0" xfId="0" applyFont="1" applyFill="1" applyAlignment="1">
      <alignment horizontal="left" vertical="center"/>
    </xf>
    <xf numFmtId="10" fontId="0" fillId="3" borderId="0" xfId="2" applyNumberFormat="1" applyFont="1" applyFill="1" applyAlignment="1">
      <alignment horizontal="center"/>
    </xf>
    <xf numFmtId="164" fontId="0" fillId="0" borderId="0" xfId="0" applyNumberFormat="1"/>
    <xf numFmtId="164" fontId="0" fillId="0" borderId="0" xfId="2" applyNumberFormat="1" applyFont="1" applyAlignment="1">
      <alignment horizontal="center"/>
    </xf>
    <xf numFmtId="164" fontId="22" fillId="0" borderId="0" xfId="2" applyNumberFormat="1" applyFont="1" applyAlignment="1">
      <alignment horizontal="center"/>
    </xf>
    <xf numFmtId="0" fontId="15" fillId="3" borderId="0" xfId="0" applyFont="1" applyFill="1" applyAlignment="1">
      <alignment horizontal="center" vertical="center"/>
    </xf>
    <xf numFmtId="9" fontId="15" fillId="3" borderId="0" xfId="0" applyNumberFormat="1" applyFont="1" applyFill="1" applyAlignment="1">
      <alignment horizontal="center" vertical="center"/>
    </xf>
    <xf numFmtId="164" fontId="0" fillId="3" borderId="0" xfId="2" applyNumberFormat="1" applyFont="1" applyFill="1" applyAlignment="1">
      <alignment horizontal="center"/>
    </xf>
    <xf numFmtId="164" fontId="15" fillId="3" borderId="0" xfId="0" applyNumberFormat="1" applyFont="1" applyFill="1" applyAlignment="1">
      <alignment horizontal="center" vertical="center"/>
    </xf>
    <xf numFmtId="164" fontId="15" fillId="3" borderId="1" xfId="2" applyNumberFormat="1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2" fontId="15" fillId="3" borderId="0" xfId="0" applyNumberFormat="1" applyFont="1" applyFill="1" applyAlignment="1">
      <alignment horizontal="center" vertical="center"/>
    </xf>
    <xf numFmtId="164" fontId="15" fillId="3" borderId="5" xfId="2" applyNumberFormat="1" applyFont="1" applyFill="1" applyBorder="1" applyAlignment="1">
      <alignment horizontal="center" vertical="center"/>
    </xf>
    <xf numFmtId="164" fontId="15" fillId="3" borderId="4" xfId="2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164" fontId="15" fillId="3" borderId="0" xfId="2" applyNumberFormat="1" applyFont="1" applyFill="1" applyAlignment="1">
      <alignment horizontal="center"/>
    </xf>
    <xf numFmtId="164" fontId="15" fillId="3" borderId="11" xfId="2" applyNumberFormat="1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</cellXfs>
  <cellStyles count="3">
    <cellStyle name="header_style" xfId="1" xr:uid="{00000000-0005-0000-0000-000001000000}"/>
    <cellStyle name="Normal" xfId="0" builtinId="0"/>
    <cellStyle name="Per cent" xfId="2" builtinId="5"/>
  </cellStyles>
  <dxfs count="2">
    <dxf>
      <font>
        <color rgb="FF9C0006"/>
      </font>
    </dxf>
    <dxf>
      <font>
        <color rgb="FF92D050"/>
      </font>
    </dxf>
  </dxfs>
  <tableStyles count="0" defaultTableStyle="TableStyleMedium9" defaultPivotStyle="PivotStyleLight16"/>
  <colors>
    <mruColors>
      <color rgb="FF658E00"/>
      <color rgb="FFDDA500"/>
      <color rgb="FF999A9A"/>
      <color rgb="FFB37838"/>
      <color rgb="FF418E00"/>
      <color rgb="FF16537D"/>
      <color rgb="FF000000"/>
      <color rgb="FFCE9A00"/>
      <color rgb="FFA26C32"/>
      <color rgb="FF1B53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596068786070678E-2"/>
          <c:y val="4.0039682539682549E-2"/>
          <c:w val="0.9068078624278586"/>
          <c:h val="0.91630952380952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'Factor Charts'!$I$1</c:f>
              <c:strCache>
                <c:ptCount val="1"/>
              </c:strCache>
            </c:strRef>
          </c:tx>
          <c:spPr>
            <a:solidFill>
              <a:schemeClr val="accent1"/>
            </a:solidFill>
            <a:ln w="9525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1AB-C94E-B35D-8C6D46E5D70B}"/>
              </c:ext>
            </c:extLst>
          </c:dPt>
          <c:dPt>
            <c:idx val="2"/>
            <c:invertIfNegative val="0"/>
            <c:bubble3D val="0"/>
            <c:spPr>
              <a:solidFill>
                <a:srgbClr val="658E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AB-C94E-B35D-8C6D46E5D70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AB-C94E-B35D-8C6D46E5D70B}"/>
              </c:ext>
            </c:extLst>
          </c:dPt>
          <c:dPt>
            <c:idx val="4"/>
            <c:invertIfNegative val="0"/>
            <c:bubble3D val="0"/>
            <c:spPr>
              <a:solidFill>
                <a:srgbClr val="999A9A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1AB-C94E-B35D-8C6D46E5D70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AB-C94E-B35D-8C6D46E5D70B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1AB-C94E-B35D-8C6D46E5D70B}"/>
              </c:ext>
            </c:extLst>
          </c:dPt>
          <c:val>
            <c:numRef>
              <c:f>'Factor Charts'!$I$2:$I$9</c:f>
              <c:numCache>
                <c:formatCode>0.00%</c:formatCode>
                <c:ptCount val="8"/>
                <c:pt idx="1">
                  <c:v>2.5000000000000001E-2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2.5000000000000001E-3</c:v>
                </c:pt>
                <c:pt idx="5">
                  <c:v>3.5000000000000001E-3</c:v>
                </c:pt>
                <c:pt idx="6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B-C94E-B35D-8C6D46E5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5615184"/>
        <c:axId val="344716032"/>
      </c:barChart>
      <c:catAx>
        <c:axId val="29561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bg1">
                <a:lumMod val="50000"/>
                <a:alpha val="99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16032"/>
        <c:crosses val="autoZero"/>
        <c:auto val="1"/>
        <c:lblAlgn val="ctr"/>
        <c:lblOffset val="100"/>
        <c:tickMarkSkip val="8"/>
        <c:noMultiLvlLbl val="0"/>
      </c:catAx>
      <c:valAx>
        <c:axId val="344716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56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Sheet2!$I$5:$I$10</c:f>
              <c:numCache>
                <c:formatCode>0.0%</c:formatCode>
                <c:ptCount val="6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7-254F-A84D-4E24069DC33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Sheet2!$J$5:$J$10</c:f>
              <c:numCache>
                <c:formatCode>0.0%</c:formatCode>
                <c:ptCount val="6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7-254F-A84D-4E24069DC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505632"/>
        <c:axId val="88343376"/>
      </c:lineChart>
      <c:catAx>
        <c:axId val="35650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43376"/>
        <c:crosses val="autoZero"/>
        <c:auto val="1"/>
        <c:lblAlgn val="ctr"/>
        <c:lblOffset val="100"/>
        <c:noMultiLvlLbl val="0"/>
      </c:catAx>
      <c:valAx>
        <c:axId val="883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Sheet2!$I$5:$I$12</c:f>
              <c:numCache>
                <c:formatCode>0.0%</c:formatCode>
                <c:ptCount val="8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  <c:pt idx="6">
                  <c:v>0.11749999999999999</c:v>
                </c:pt>
                <c:pt idx="7">
                  <c:v>0.13200000000000001</c:v>
                </c:pt>
              </c:numCache>
            </c:numRef>
          </c:xVal>
          <c:yVal>
            <c:numRef>
              <c:f>Sheet2!$J$5:$J$12</c:f>
              <c:numCache>
                <c:formatCode>0.0%</c:formatCode>
                <c:ptCount val="8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4-6040-A7E4-84A2313A8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00912"/>
        <c:axId val="2041892703"/>
      </c:scatterChart>
      <c:valAx>
        <c:axId val="4146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92703"/>
        <c:crosses val="autoZero"/>
        <c:crossBetween val="midCat"/>
      </c:valAx>
      <c:valAx>
        <c:axId val="20418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0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744362</xdr:colOff>
      <xdr:row>5</xdr:row>
      <xdr:rowOff>56443</xdr:rowOff>
    </xdr:from>
    <xdr:to>
      <xdr:col>10</xdr:col>
      <xdr:colOff>767080</xdr:colOff>
      <xdr:row>14</xdr:row>
      <xdr:rowOff>158042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E8C5EF-66D3-328F-4C2C-338F9D886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717550</xdr:colOff>
      <xdr:row>15</xdr:row>
      <xdr:rowOff>88900</xdr:rowOff>
    </xdr:from>
    <xdr:to>
      <xdr:col>9</xdr:col>
      <xdr:colOff>565150</xdr:colOff>
      <xdr:row>29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B4A1F-AEFF-2E23-5CCF-29FEE95F5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520700</xdr:colOff>
      <xdr:row>12</xdr:row>
      <xdr:rowOff>139700</xdr:rowOff>
    </xdr:from>
    <xdr:to>
      <xdr:col>9</xdr:col>
      <xdr:colOff>565150</xdr:colOff>
      <xdr:row>29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FD0DA-F7C5-2630-35DF-FDA16E2AC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C947-0D92-D142-B90E-ACC43DBB9147}">
  <dimension ref="A1:E37"/>
  <sheetViews>
    <sheetView zoomScale="110" zoomScaleNormal="110" workbookViewId="0">
      <selection activeCell="B2" sqref="B2:E2"/>
    </sheetView>
  </sheetViews>
  <sheetFormatPr baseColWidth="10" defaultRowHeight="15" x14ac:dyDescent="0.2"/>
  <cols>
    <col min="1" max="1" width="44" bestFit="1" customWidth="1"/>
    <col min="2" max="5" width="19.5" style="1" customWidth="1"/>
  </cols>
  <sheetData>
    <row r="1" spans="1:5" ht="37" customHeight="1" x14ac:dyDescent="0.2">
      <c r="A1" s="66"/>
      <c r="B1" s="67" t="s">
        <v>0</v>
      </c>
      <c r="C1" s="67" t="s">
        <v>1</v>
      </c>
      <c r="D1" s="67" t="s">
        <v>2</v>
      </c>
      <c r="E1" s="67" t="s">
        <v>3</v>
      </c>
    </row>
    <row r="2" spans="1:5" ht="17" customHeight="1" x14ac:dyDescent="0.2">
      <c r="A2" s="68" t="s">
        <v>4</v>
      </c>
      <c r="B2" s="99">
        <v>0.745</v>
      </c>
      <c r="C2" s="99" t="s">
        <v>37</v>
      </c>
      <c r="D2" s="99">
        <v>0.36</v>
      </c>
      <c r="E2" s="99">
        <v>0.15</v>
      </c>
    </row>
    <row r="3" spans="1:5" ht="17" customHeight="1" x14ac:dyDescent="0.2">
      <c r="A3" s="70" t="s">
        <v>35</v>
      </c>
      <c r="B3" s="100">
        <v>24.5</v>
      </c>
      <c r="C3" s="100">
        <v>58.5</v>
      </c>
      <c r="D3" s="101">
        <v>36</v>
      </c>
      <c r="E3" s="101">
        <v>15</v>
      </c>
    </row>
    <row r="4" spans="1:5" ht="17" customHeight="1" x14ac:dyDescent="0.2">
      <c r="A4" s="70" t="s">
        <v>5</v>
      </c>
      <c r="B4" s="101">
        <v>50</v>
      </c>
      <c r="C4" s="100" t="s">
        <v>36</v>
      </c>
      <c r="D4" s="100" t="s">
        <v>36</v>
      </c>
      <c r="E4" s="100" t="s">
        <v>36</v>
      </c>
    </row>
    <row r="5" spans="1:5" ht="17" customHeight="1" x14ac:dyDescent="0.2">
      <c r="A5" s="68" t="s">
        <v>6</v>
      </c>
      <c r="B5" s="99">
        <v>0.02</v>
      </c>
      <c r="C5" s="99">
        <v>0.03</v>
      </c>
      <c r="D5" s="99">
        <v>4.4999999999999998E-2</v>
      </c>
      <c r="E5" s="99">
        <v>5.5E-2</v>
      </c>
    </row>
    <row r="6" spans="1:5" ht="17" customHeight="1" x14ac:dyDescent="0.2">
      <c r="A6" s="70" t="s">
        <v>114</v>
      </c>
      <c r="B6" s="101">
        <v>2</v>
      </c>
      <c r="C6" s="101">
        <v>3</v>
      </c>
      <c r="D6" s="100">
        <v>4.5</v>
      </c>
      <c r="E6" s="100">
        <v>5.5</v>
      </c>
    </row>
    <row r="7" spans="1:5" ht="17" customHeight="1" x14ac:dyDescent="0.2">
      <c r="A7" s="68" t="s">
        <v>8</v>
      </c>
      <c r="B7" s="99">
        <v>0.14000000000000001</v>
      </c>
      <c r="C7" s="99">
        <v>0.22500000000000001</v>
      </c>
      <c r="D7" s="99">
        <v>0.35499999999999998</v>
      </c>
      <c r="E7" s="99">
        <v>0.505</v>
      </c>
    </row>
    <row r="8" spans="1:5" ht="17" customHeight="1" x14ac:dyDescent="0.2">
      <c r="A8" s="70" t="s">
        <v>9</v>
      </c>
      <c r="B8" s="100">
        <v>3.9</v>
      </c>
      <c r="C8" s="100">
        <v>6.3</v>
      </c>
      <c r="D8" s="101">
        <v>10</v>
      </c>
      <c r="E8" s="100">
        <v>14.2</v>
      </c>
    </row>
    <row r="9" spans="1:5" ht="17" customHeight="1" x14ac:dyDescent="0.2">
      <c r="A9" s="70" t="s">
        <v>10</v>
      </c>
      <c r="B9" s="100">
        <v>4.4000000000000004</v>
      </c>
      <c r="C9" s="100">
        <v>7.1</v>
      </c>
      <c r="D9" s="100">
        <v>11.2</v>
      </c>
      <c r="E9" s="100">
        <v>15.9</v>
      </c>
    </row>
    <row r="10" spans="1:5" ht="17" customHeight="1" x14ac:dyDescent="0.2">
      <c r="A10" s="70" t="s">
        <v>11</v>
      </c>
      <c r="B10" s="100">
        <v>1.4</v>
      </c>
      <c r="C10" s="100">
        <v>2.2000000000000002</v>
      </c>
      <c r="D10" s="100">
        <v>3.5</v>
      </c>
      <c r="E10" s="101">
        <v>5</v>
      </c>
    </row>
    <row r="11" spans="1:5" ht="17" customHeight="1" x14ac:dyDescent="0.2">
      <c r="A11" s="70" t="s">
        <v>12</v>
      </c>
      <c r="B11" s="100">
        <v>1.6</v>
      </c>
      <c r="C11" s="100">
        <v>2.5</v>
      </c>
      <c r="D11" s="101">
        <v>4</v>
      </c>
      <c r="E11" s="100">
        <v>5.7</v>
      </c>
    </row>
    <row r="12" spans="1:5" ht="17" customHeight="1" x14ac:dyDescent="0.2">
      <c r="A12" s="70" t="s">
        <v>13</v>
      </c>
      <c r="B12" s="100">
        <v>0.5</v>
      </c>
      <c r="C12" s="100">
        <v>0.8</v>
      </c>
      <c r="D12" s="100">
        <v>1.2</v>
      </c>
      <c r="E12" s="100">
        <v>1.7</v>
      </c>
    </row>
    <row r="13" spans="1:5" ht="17" customHeight="1" x14ac:dyDescent="0.2">
      <c r="A13" s="70" t="s">
        <v>14</v>
      </c>
      <c r="B13" s="100">
        <v>0.7</v>
      </c>
      <c r="C13" s="100">
        <v>1.1000000000000001</v>
      </c>
      <c r="D13" s="100">
        <v>1.8</v>
      </c>
      <c r="E13" s="100">
        <v>2.6</v>
      </c>
    </row>
    <row r="14" spans="1:5" ht="17" customHeight="1" x14ac:dyDescent="0.2">
      <c r="A14" s="70" t="s">
        <v>15</v>
      </c>
      <c r="B14" s="100">
        <v>0.4</v>
      </c>
      <c r="C14" s="100">
        <v>0.6</v>
      </c>
      <c r="D14" s="100">
        <v>0.9</v>
      </c>
      <c r="E14" s="100">
        <v>1.3</v>
      </c>
    </row>
    <row r="15" spans="1:5" ht="17" customHeight="1" x14ac:dyDescent="0.2">
      <c r="A15" s="70" t="s">
        <v>16</v>
      </c>
      <c r="B15" s="100">
        <v>0.4</v>
      </c>
      <c r="C15" s="100">
        <v>0.6</v>
      </c>
      <c r="D15" s="100">
        <v>0.9</v>
      </c>
      <c r="E15" s="100">
        <v>1.3</v>
      </c>
    </row>
    <row r="16" spans="1:5" ht="17" customHeight="1" x14ac:dyDescent="0.2">
      <c r="A16" s="70" t="s">
        <v>67</v>
      </c>
      <c r="B16" s="101">
        <v>0.4</v>
      </c>
      <c r="C16" s="101">
        <v>0.65</v>
      </c>
      <c r="D16" s="101">
        <v>1</v>
      </c>
      <c r="E16" s="101">
        <v>1.4</v>
      </c>
    </row>
    <row r="17" spans="1:5" ht="17" customHeight="1" x14ac:dyDescent="0.2">
      <c r="A17" s="70" t="s">
        <v>108</v>
      </c>
      <c r="B17" s="101">
        <v>0.4</v>
      </c>
      <c r="C17" s="101">
        <v>0.65</v>
      </c>
      <c r="D17" s="101">
        <v>1</v>
      </c>
      <c r="E17" s="101">
        <v>1.4</v>
      </c>
    </row>
    <row r="18" spans="1:5" ht="17" customHeight="1" x14ac:dyDescent="0.2">
      <c r="A18" s="68" t="s">
        <v>17</v>
      </c>
      <c r="B18" s="99">
        <v>1.4999999999999999E-2</v>
      </c>
      <c r="C18" s="99">
        <v>3.5000000000000003E-2</v>
      </c>
      <c r="D18" s="99">
        <v>4.4999999999999998E-2</v>
      </c>
      <c r="E18" s="99">
        <v>0.03</v>
      </c>
    </row>
    <row r="19" spans="1:5" ht="17" customHeight="1" x14ac:dyDescent="0.2">
      <c r="A19" s="70" t="s">
        <v>18</v>
      </c>
      <c r="B19" s="100">
        <v>0.3</v>
      </c>
      <c r="C19" s="100">
        <v>0.7</v>
      </c>
      <c r="D19" s="100">
        <v>0.9</v>
      </c>
      <c r="E19" s="100">
        <v>0.6</v>
      </c>
    </row>
    <row r="20" spans="1:5" ht="17" customHeight="1" x14ac:dyDescent="0.2">
      <c r="A20" s="70" t="s">
        <v>19</v>
      </c>
      <c r="B20" s="100">
        <v>0.6</v>
      </c>
      <c r="C20" s="100">
        <v>1.4</v>
      </c>
      <c r="D20" s="100">
        <v>1.8</v>
      </c>
      <c r="E20" s="100">
        <v>1.2</v>
      </c>
    </row>
    <row r="21" spans="1:5" ht="17" customHeight="1" x14ac:dyDescent="0.2">
      <c r="A21" s="70" t="s">
        <v>20</v>
      </c>
      <c r="B21" s="100">
        <v>0.6</v>
      </c>
      <c r="C21" s="100">
        <v>1.4</v>
      </c>
      <c r="D21" s="100">
        <v>1.8</v>
      </c>
      <c r="E21" s="100">
        <v>1.2</v>
      </c>
    </row>
    <row r="22" spans="1:5" ht="17" customHeight="1" x14ac:dyDescent="0.2">
      <c r="A22" s="68" t="s">
        <v>21</v>
      </c>
      <c r="B22" s="99">
        <v>0.04</v>
      </c>
      <c r="C22" s="99">
        <v>5.5E-2</v>
      </c>
      <c r="D22" s="99">
        <v>0.12</v>
      </c>
      <c r="E22" s="99">
        <v>0.185</v>
      </c>
    </row>
    <row r="23" spans="1:5" ht="17" customHeight="1" x14ac:dyDescent="0.2">
      <c r="A23" s="70" t="s">
        <v>22</v>
      </c>
      <c r="B23" s="101">
        <v>3</v>
      </c>
      <c r="C23" s="101">
        <v>4.0999999999999996</v>
      </c>
      <c r="D23" s="101">
        <v>8.4</v>
      </c>
      <c r="E23" s="101">
        <v>13</v>
      </c>
    </row>
    <row r="24" spans="1:5" ht="17" customHeight="1" x14ac:dyDescent="0.2">
      <c r="A24" s="70" t="s">
        <v>23</v>
      </c>
      <c r="B24" s="101">
        <v>1</v>
      </c>
      <c r="C24" s="101">
        <v>1.4</v>
      </c>
      <c r="D24" s="101">
        <v>2.8</v>
      </c>
      <c r="E24" s="101">
        <v>4.3</v>
      </c>
    </row>
    <row r="25" spans="1:5" ht="17" customHeight="1" x14ac:dyDescent="0.2">
      <c r="A25" s="70" t="s">
        <v>24</v>
      </c>
      <c r="B25" s="100" t="s">
        <v>36</v>
      </c>
      <c r="C25" s="100" t="s">
        <v>36</v>
      </c>
      <c r="D25" s="100">
        <v>0.8</v>
      </c>
      <c r="E25" s="100">
        <v>1.2</v>
      </c>
    </row>
    <row r="26" spans="1:5" ht="17" customHeight="1" x14ac:dyDescent="0.2">
      <c r="A26" s="68" t="s">
        <v>25</v>
      </c>
      <c r="B26" s="99">
        <v>0.04</v>
      </c>
      <c r="C26" s="99">
        <v>7.0000000000000007E-2</v>
      </c>
      <c r="D26" s="99">
        <v>7.4999999999999997E-2</v>
      </c>
      <c r="E26" s="99">
        <v>7.4999999999999997E-2</v>
      </c>
    </row>
    <row r="27" spans="1:5" ht="17" customHeight="1" x14ac:dyDescent="0.2">
      <c r="A27" s="70" t="s">
        <v>26</v>
      </c>
      <c r="B27" s="100">
        <v>1.3</v>
      </c>
      <c r="C27" s="100">
        <v>2.2999999999999998</v>
      </c>
      <c r="D27" s="100">
        <v>3.5</v>
      </c>
      <c r="E27" s="100">
        <v>3.5</v>
      </c>
    </row>
    <row r="28" spans="1:5" ht="17" customHeight="1" x14ac:dyDescent="0.2">
      <c r="A28" s="70" t="s">
        <v>69</v>
      </c>
      <c r="B28" s="101">
        <v>1.35</v>
      </c>
      <c r="C28" s="101">
        <v>2.35</v>
      </c>
      <c r="D28" s="101">
        <v>2</v>
      </c>
      <c r="E28" s="101">
        <v>2</v>
      </c>
    </row>
    <row r="29" spans="1:5" ht="17" customHeight="1" x14ac:dyDescent="0.2">
      <c r="A29" s="70" t="s">
        <v>70</v>
      </c>
      <c r="B29" s="101">
        <v>1.35</v>
      </c>
      <c r="C29" s="101">
        <v>2.35</v>
      </c>
      <c r="D29" s="101">
        <v>2</v>
      </c>
      <c r="E29" s="101">
        <v>2</v>
      </c>
    </row>
    <row r="30" spans="1:5" ht="23" customHeight="1" x14ac:dyDescent="0.2">
      <c r="A30" s="72" t="s">
        <v>27</v>
      </c>
      <c r="B30" s="73">
        <v>1</v>
      </c>
      <c r="C30" s="73">
        <v>1</v>
      </c>
      <c r="D30" s="73">
        <v>1</v>
      </c>
      <c r="E30" s="73">
        <v>1</v>
      </c>
    </row>
    <row r="31" spans="1:5" ht="3" customHeight="1" x14ac:dyDescent="0.2">
      <c r="A31" s="6"/>
      <c r="B31" s="7"/>
      <c r="C31" s="7"/>
      <c r="D31" s="7"/>
      <c r="E31" s="7"/>
    </row>
    <row r="32" spans="1:5" ht="23" customHeight="1" x14ac:dyDescent="0.2">
      <c r="A32" s="74" t="s">
        <v>28</v>
      </c>
      <c r="B32" s="75">
        <v>4.3999999999999997E-2</v>
      </c>
      <c r="C32" s="75">
        <v>5.3999999999999999E-2</v>
      </c>
      <c r="D32" s="75">
        <v>6.5000000000000002E-2</v>
      </c>
      <c r="E32" s="75">
        <v>7.5999999999999998E-2</v>
      </c>
    </row>
    <row r="33" spans="1:5" ht="19" customHeight="1" x14ac:dyDescent="0.2">
      <c r="A33" s="74" t="s">
        <v>29</v>
      </c>
      <c r="B33" s="76">
        <v>0.6</v>
      </c>
      <c r="C33" s="76">
        <v>0.59</v>
      </c>
      <c r="D33" s="76">
        <v>0.53</v>
      </c>
      <c r="E33" s="76">
        <v>0.49</v>
      </c>
    </row>
    <row r="34" spans="1:5" ht="3" customHeight="1" x14ac:dyDescent="0.2">
      <c r="A34" s="87"/>
      <c r="B34" s="89"/>
      <c r="C34" s="89"/>
      <c r="D34" s="89"/>
      <c r="E34" s="89"/>
    </row>
    <row r="35" spans="1:5" ht="19" customHeight="1" x14ac:dyDescent="0.2">
      <c r="A35" s="74" t="s">
        <v>30</v>
      </c>
      <c r="B35" s="75">
        <v>3.1E-2</v>
      </c>
      <c r="C35" s="75">
        <v>4.9000000000000002E-2</v>
      </c>
      <c r="D35" s="75">
        <v>7.3999999999999996E-2</v>
      </c>
      <c r="E35" s="75">
        <v>0.10299999999999999</v>
      </c>
    </row>
    <row r="36" spans="1:5" ht="2" customHeight="1" x14ac:dyDescent="0.2">
      <c r="A36" s="87"/>
      <c r="B36" s="88"/>
      <c r="C36" s="88"/>
      <c r="D36" s="88"/>
      <c r="E36" s="88"/>
    </row>
    <row r="37" spans="1:5" ht="19" customHeight="1" x14ac:dyDescent="0.2">
      <c r="A37" s="74" t="s">
        <v>38</v>
      </c>
      <c r="B37" s="77" t="s">
        <v>31</v>
      </c>
      <c r="C37" s="77" t="s">
        <v>32</v>
      </c>
      <c r="D37" s="77" t="s">
        <v>33</v>
      </c>
      <c r="E37" s="7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BCDE-473D-E048-9A9A-FD1483C7BA1B}">
  <dimension ref="A1:B11"/>
  <sheetViews>
    <sheetView workbookViewId="0">
      <selection activeCell="B25" sqref="B25"/>
    </sheetView>
  </sheetViews>
  <sheetFormatPr baseColWidth="10" defaultRowHeight="15" x14ac:dyDescent="0.2"/>
  <cols>
    <col min="1" max="1" width="39.6640625" bestFit="1" customWidth="1"/>
    <col min="2" max="2" width="17.83203125" bestFit="1" customWidth="1"/>
  </cols>
  <sheetData>
    <row r="1" spans="1:2" ht="37" customHeight="1" x14ac:dyDescent="0.2">
      <c r="A1" s="66"/>
      <c r="B1" s="67" t="s">
        <v>0</v>
      </c>
    </row>
    <row r="2" spans="1:2" ht="18" customHeight="1" x14ac:dyDescent="0.2">
      <c r="A2" s="68" t="s">
        <v>4</v>
      </c>
      <c r="B2" s="69">
        <v>0.745</v>
      </c>
    </row>
    <row r="3" spans="1:2" ht="18" customHeight="1" x14ac:dyDescent="0.2">
      <c r="A3" s="70" t="s">
        <v>35</v>
      </c>
      <c r="B3" s="71">
        <v>24.5</v>
      </c>
    </row>
    <row r="4" spans="1:2" ht="23" customHeight="1" x14ac:dyDescent="0.2">
      <c r="A4" s="72" t="s">
        <v>27</v>
      </c>
      <c r="B4" s="73">
        <v>1</v>
      </c>
    </row>
    <row r="5" spans="1:2" ht="3" customHeight="1" x14ac:dyDescent="0.2">
      <c r="A5" s="90"/>
      <c r="B5" s="91"/>
    </row>
    <row r="6" spans="1:2" ht="22" customHeight="1" x14ac:dyDescent="0.2">
      <c r="A6" s="92" t="s">
        <v>28</v>
      </c>
      <c r="B6" s="93">
        <v>4.3999999999999997E-2</v>
      </c>
    </row>
    <row r="7" spans="1:2" ht="22" customHeight="1" x14ac:dyDescent="0.2">
      <c r="A7" s="92" t="s">
        <v>29</v>
      </c>
      <c r="B7" s="94">
        <v>0.6</v>
      </c>
    </row>
    <row r="8" spans="1:2" ht="2" customHeight="1" x14ac:dyDescent="0.2">
      <c r="A8" s="95"/>
      <c r="B8" s="96"/>
    </row>
    <row r="9" spans="1:2" ht="22" customHeight="1" x14ac:dyDescent="0.2">
      <c r="A9" s="92" t="s">
        <v>30</v>
      </c>
      <c r="B9" s="93">
        <v>3.1E-2</v>
      </c>
    </row>
    <row r="10" spans="1:2" ht="2" customHeight="1" x14ac:dyDescent="0.2">
      <c r="A10" s="95"/>
      <c r="B10" s="97"/>
    </row>
    <row r="11" spans="1:2" ht="22" customHeight="1" x14ac:dyDescent="0.2">
      <c r="A11" s="92" t="s">
        <v>38</v>
      </c>
      <c r="B11" s="98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CEF0-AAB7-5F4E-AFE9-90DE11CB7B25}">
  <dimension ref="A1:I65"/>
  <sheetViews>
    <sheetView zoomScale="110" zoomScaleNormal="110" workbookViewId="0">
      <selection activeCell="B21" sqref="B21"/>
    </sheetView>
  </sheetViews>
  <sheetFormatPr baseColWidth="10" defaultRowHeight="15" x14ac:dyDescent="0.2"/>
  <cols>
    <col min="1" max="1" width="44" bestFit="1" customWidth="1"/>
    <col min="2" max="8" width="14.6640625" style="1" customWidth="1"/>
    <col min="9" max="9" width="14.6640625" customWidth="1"/>
  </cols>
  <sheetData>
    <row r="1" spans="1:9" ht="21" customHeight="1" x14ac:dyDescent="0.2">
      <c r="A1" s="49"/>
      <c r="B1" s="112" t="s">
        <v>0</v>
      </c>
      <c r="C1" s="112"/>
      <c r="D1" s="112" t="s">
        <v>1</v>
      </c>
      <c r="E1" s="112"/>
      <c r="F1" s="112" t="s">
        <v>2</v>
      </c>
      <c r="G1" s="112"/>
      <c r="H1" s="112" t="s">
        <v>3</v>
      </c>
      <c r="I1" s="118"/>
    </row>
    <row r="2" spans="1:9" ht="17" customHeight="1" x14ac:dyDescent="0.2">
      <c r="A2" s="50" t="s">
        <v>4</v>
      </c>
      <c r="B2" s="111">
        <v>0.745</v>
      </c>
      <c r="C2" s="111"/>
      <c r="D2" s="111" t="s">
        <v>37</v>
      </c>
      <c r="E2" s="111"/>
      <c r="F2" s="111">
        <v>0.36</v>
      </c>
      <c r="G2" s="111"/>
      <c r="H2" s="111">
        <v>0.15</v>
      </c>
      <c r="I2" s="111"/>
    </row>
    <row r="3" spans="1:9" ht="17" customHeight="1" x14ac:dyDescent="0.2">
      <c r="A3" s="51" t="s">
        <v>6</v>
      </c>
      <c r="B3" s="113">
        <v>0.02</v>
      </c>
      <c r="C3" s="113"/>
      <c r="D3" s="113">
        <v>0.03</v>
      </c>
      <c r="E3" s="113"/>
      <c r="F3" s="113">
        <v>4.4999999999999998E-2</v>
      </c>
      <c r="G3" s="113"/>
      <c r="H3" s="113">
        <v>5.5E-2</v>
      </c>
      <c r="I3" s="113"/>
    </row>
    <row r="4" spans="1:9" ht="17" customHeight="1" x14ac:dyDescent="0.2">
      <c r="A4" s="51" t="s">
        <v>8</v>
      </c>
      <c r="B4" s="113">
        <v>0.14000000000000001</v>
      </c>
      <c r="C4" s="113"/>
      <c r="D4" s="113">
        <v>0.22500000000000001</v>
      </c>
      <c r="E4" s="113"/>
      <c r="F4" s="113">
        <v>0.35499999999999998</v>
      </c>
      <c r="G4" s="113"/>
      <c r="H4" s="113">
        <v>0.505</v>
      </c>
      <c r="I4" s="113"/>
    </row>
    <row r="5" spans="1:9" ht="17" customHeight="1" x14ac:dyDescent="0.2">
      <c r="A5" s="51" t="s">
        <v>17</v>
      </c>
      <c r="B5" s="113">
        <v>1.4999999999999999E-2</v>
      </c>
      <c r="C5" s="113"/>
      <c r="D5" s="113">
        <v>3.5000000000000003E-2</v>
      </c>
      <c r="E5" s="113"/>
      <c r="F5" s="113">
        <v>4.4999999999999998E-2</v>
      </c>
      <c r="G5" s="113"/>
      <c r="H5" s="113">
        <v>0.03</v>
      </c>
      <c r="I5" s="113"/>
    </row>
    <row r="6" spans="1:9" ht="17" customHeight="1" x14ac:dyDescent="0.2">
      <c r="A6" s="51" t="s">
        <v>21</v>
      </c>
      <c r="B6" s="113">
        <v>0.04</v>
      </c>
      <c r="C6" s="113"/>
      <c r="D6" s="113">
        <v>5.5E-2</v>
      </c>
      <c r="E6" s="113"/>
      <c r="F6" s="113">
        <v>0.12</v>
      </c>
      <c r="G6" s="113"/>
      <c r="H6" s="113">
        <v>0.185</v>
      </c>
      <c r="I6" s="113"/>
    </row>
    <row r="7" spans="1:9" ht="17" customHeight="1" x14ac:dyDescent="0.2">
      <c r="A7" s="53" t="s">
        <v>25</v>
      </c>
      <c r="B7" s="117">
        <v>0.04</v>
      </c>
      <c r="C7" s="117"/>
      <c r="D7" s="117">
        <v>7.0000000000000007E-2</v>
      </c>
      <c r="E7" s="117"/>
      <c r="F7" s="117">
        <v>7.4999999999999997E-2</v>
      </c>
      <c r="G7" s="117"/>
      <c r="H7" s="117">
        <v>7.4999999999999997E-2</v>
      </c>
      <c r="I7" s="117"/>
    </row>
    <row r="8" spans="1:9" ht="17" customHeight="1" x14ac:dyDescent="0.2">
      <c r="A8" s="54" t="s">
        <v>28</v>
      </c>
      <c r="B8" s="116">
        <v>4.3999999999999997E-2</v>
      </c>
      <c r="C8" s="116"/>
      <c r="D8" s="116">
        <v>5.3999999999999999E-2</v>
      </c>
      <c r="E8" s="116"/>
      <c r="F8" s="116">
        <v>6.5000000000000002E-2</v>
      </c>
      <c r="G8" s="116"/>
      <c r="H8" s="116">
        <v>7.5999999999999998E-2</v>
      </c>
      <c r="I8" s="116"/>
    </row>
    <row r="9" spans="1:9" ht="17" customHeight="1" x14ac:dyDescent="0.2">
      <c r="A9" s="54" t="s">
        <v>29</v>
      </c>
      <c r="B9" s="115">
        <v>0.6</v>
      </c>
      <c r="C9" s="115"/>
      <c r="D9" s="115">
        <v>0.59</v>
      </c>
      <c r="E9" s="115"/>
      <c r="F9" s="115">
        <v>0.53</v>
      </c>
      <c r="G9" s="115"/>
      <c r="H9" s="115">
        <v>0.49</v>
      </c>
      <c r="I9" s="115"/>
    </row>
    <row r="10" spans="1:9" ht="17" customHeight="1" x14ac:dyDescent="0.2">
      <c r="A10" s="54" t="s">
        <v>30</v>
      </c>
      <c r="B10" s="113">
        <v>3.1E-2</v>
      </c>
      <c r="C10" s="113"/>
      <c r="D10" s="113">
        <v>4.9000000000000002E-2</v>
      </c>
      <c r="E10" s="113"/>
      <c r="F10" s="113">
        <v>7.3999999999999996E-2</v>
      </c>
      <c r="G10" s="113"/>
      <c r="H10" s="113">
        <v>0.10299999999999999</v>
      </c>
      <c r="I10" s="113"/>
    </row>
    <row r="11" spans="1:9" ht="17" customHeight="1" x14ac:dyDescent="0.2">
      <c r="A11" s="54" t="s">
        <v>38</v>
      </c>
      <c r="B11" s="114" t="s">
        <v>31</v>
      </c>
      <c r="C11" s="114"/>
      <c r="D11" s="114" t="s">
        <v>32</v>
      </c>
      <c r="E11" s="114"/>
      <c r="F11" s="114" t="s">
        <v>33</v>
      </c>
      <c r="G11" s="114"/>
      <c r="H11" s="114" t="s">
        <v>34</v>
      </c>
      <c r="I11" s="114"/>
    </row>
    <row r="12" spans="1:9" s="8" customFormat="1" ht="17" customHeight="1" x14ac:dyDescent="0.2">
      <c r="A12" s="55" t="s">
        <v>39</v>
      </c>
      <c r="B12" s="55"/>
      <c r="C12" s="55"/>
      <c r="D12" s="55"/>
      <c r="E12" s="55"/>
      <c r="F12" s="55"/>
      <c r="G12" s="55"/>
      <c r="H12" s="55"/>
      <c r="I12" s="55"/>
    </row>
    <row r="13" spans="1:9" ht="17" customHeight="1" x14ac:dyDescent="0.2">
      <c r="A13" s="56" t="s">
        <v>40</v>
      </c>
      <c r="B13" s="57" t="s">
        <v>49</v>
      </c>
      <c r="C13" s="57" t="s">
        <v>50</v>
      </c>
      <c r="D13" s="57" t="s">
        <v>49</v>
      </c>
      <c r="E13" s="57" t="s">
        <v>50</v>
      </c>
      <c r="F13" s="57" t="s">
        <v>49</v>
      </c>
      <c r="G13" s="57" t="s">
        <v>50</v>
      </c>
      <c r="H13" s="57" t="s">
        <v>49</v>
      </c>
      <c r="I13" s="57" t="s">
        <v>50</v>
      </c>
    </row>
    <row r="14" spans="1:9" ht="17" customHeight="1" x14ac:dyDescent="0.2">
      <c r="A14" s="58" t="s">
        <v>41</v>
      </c>
      <c r="B14" s="59">
        <v>-3.3000000000000002E-2</v>
      </c>
      <c r="C14" s="59">
        <v>-0.184</v>
      </c>
      <c r="D14" s="59">
        <v>-0.11799999999999999</v>
      </c>
      <c r="E14" s="59">
        <v>-0.25600000000000001</v>
      </c>
      <c r="F14" s="59">
        <v>-0.2</v>
      </c>
      <c r="G14" s="59">
        <v>-0.32700000000000001</v>
      </c>
      <c r="H14" s="59">
        <v>-0.28299999999999997</v>
      </c>
      <c r="I14" s="59">
        <v>-0.39500000000000002</v>
      </c>
    </row>
    <row r="15" spans="1:9" ht="17" customHeight="1" x14ac:dyDescent="0.2">
      <c r="A15" s="58" t="s">
        <v>42</v>
      </c>
      <c r="B15" s="59">
        <v>7.0000000000000007E-2</v>
      </c>
      <c r="C15" s="59">
        <v>-9.8000000000000004E-2</v>
      </c>
      <c r="D15" s="59">
        <v>3.5000000000000003E-2</v>
      </c>
      <c r="E15" s="59">
        <v>-0.128</v>
      </c>
      <c r="F15" s="59">
        <v>5.6000000000000001E-2</v>
      </c>
      <c r="G15" s="59">
        <v>-0.11</v>
      </c>
      <c r="H15" s="59">
        <v>7.6999999999999999E-2</v>
      </c>
      <c r="I15" s="59">
        <v>-9.1999999999999998E-2</v>
      </c>
    </row>
    <row r="16" spans="1:9" ht="17" customHeight="1" x14ac:dyDescent="0.2">
      <c r="A16" s="58" t="s">
        <v>43</v>
      </c>
      <c r="B16" s="59">
        <v>0.16200000000000001</v>
      </c>
      <c r="C16" s="59">
        <v>0.02</v>
      </c>
      <c r="D16" s="59">
        <v>0.112</v>
      </c>
      <c r="E16" s="59">
        <v>-2.3E-2</v>
      </c>
      <c r="F16" s="59">
        <v>4.5999999999999999E-2</v>
      </c>
      <c r="G16" s="59">
        <v>-8.2000000000000003E-2</v>
      </c>
      <c r="H16" s="59">
        <v>-2.1000000000000001E-2</v>
      </c>
      <c r="I16" s="59">
        <v>-0.14000000000000001</v>
      </c>
    </row>
    <row r="17" spans="1:9" ht="17" customHeight="1" x14ac:dyDescent="0.2">
      <c r="A17" s="58" t="s">
        <v>44</v>
      </c>
      <c r="B17" s="59">
        <v>-2.5000000000000001E-2</v>
      </c>
      <c r="C17" s="59">
        <v>-2.8000000000000001E-2</v>
      </c>
      <c r="D17" s="59">
        <v>-4.8000000000000001E-2</v>
      </c>
      <c r="E17" s="59">
        <v>-0.05</v>
      </c>
      <c r="F17" s="59">
        <v>-9.7000000000000003E-2</v>
      </c>
      <c r="G17" s="59">
        <v>-9.9000000000000005E-2</v>
      </c>
      <c r="H17" s="59">
        <v>-0.14799999999999999</v>
      </c>
      <c r="I17" s="59">
        <v>-0.15</v>
      </c>
    </row>
    <row r="18" spans="1:9" ht="17" customHeight="1" x14ac:dyDescent="0.2">
      <c r="A18" s="58" t="s">
        <v>45</v>
      </c>
      <c r="B18" s="59">
        <v>-1.4999999999999999E-2</v>
      </c>
      <c r="C18" s="59">
        <v>-3.5999999999999997E-2</v>
      </c>
      <c r="D18" s="59">
        <v>-3.3000000000000002E-2</v>
      </c>
      <c r="E18" s="59">
        <v>-5.2999999999999999E-2</v>
      </c>
      <c r="F18" s="59">
        <v>-2.7E-2</v>
      </c>
      <c r="G18" s="59">
        <v>-4.7E-2</v>
      </c>
      <c r="H18" s="59">
        <v>-2.1999999999999999E-2</v>
      </c>
      <c r="I18" s="59">
        <v>-4.2000000000000003E-2</v>
      </c>
    </row>
    <row r="19" spans="1:9" ht="17" customHeight="1" x14ac:dyDescent="0.2">
      <c r="A19" s="58" t="s">
        <v>46</v>
      </c>
      <c r="B19" s="59">
        <v>1.0999999999999999E-2</v>
      </c>
      <c r="C19" s="59">
        <v>-4.3999999999999997E-2</v>
      </c>
      <c r="D19" s="59">
        <v>-4.9000000000000002E-2</v>
      </c>
      <c r="E19" s="59">
        <v>-0.1</v>
      </c>
      <c r="F19" s="59">
        <v>-0.16700000000000001</v>
      </c>
      <c r="G19" s="59">
        <v>-0.21199999999999999</v>
      </c>
      <c r="H19" s="59">
        <v>-0.27500000000000002</v>
      </c>
      <c r="I19" s="59">
        <v>-0.315</v>
      </c>
    </row>
    <row r="20" spans="1:9" ht="17" customHeight="1" x14ac:dyDescent="0.2">
      <c r="A20" s="58" t="s">
        <v>47</v>
      </c>
      <c r="B20" s="59">
        <v>-8.7999999999999995E-2</v>
      </c>
      <c r="C20" s="59">
        <v>-0.10299999999999999</v>
      </c>
      <c r="D20" s="59">
        <v>-0.159</v>
      </c>
      <c r="E20" s="59">
        <v>-0.17299999999999999</v>
      </c>
      <c r="F20" s="59">
        <v>-0.28299999999999997</v>
      </c>
      <c r="G20" s="59">
        <v>-0.29499999999999998</v>
      </c>
      <c r="H20" s="59">
        <v>-0.39300000000000002</v>
      </c>
      <c r="I20" s="59">
        <v>-0.40300000000000002</v>
      </c>
    </row>
    <row r="21" spans="1:9" ht="17" customHeight="1" x14ac:dyDescent="0.2">
      <c r="A21" s="60" t="s">
        <v>48</v>
      </c>
      <c r="B21" s="61">
        <v>-0.03</v>
      </c>
      <c r="C21" s="61">
        <v>-2.8000000000000001E-2</v>
      </c>
      <c r="D21" s="61">
        <v>-5.2999999999999999E-2</v>
      </c>
      <c r="E21" s="61">
        <v>-5.0999999999999997E-2</v>
      </c>
      <c r="F21" s="61">
        <v>-9.8000000000000004E-2</v>
      </c>
      <c r="G21" s="61">
        <v>-9.7000000000000003E-2</v>
      </c>
      <c r="H21" s="61">
        <v>-0.14499999999999999</v>
      </c>
      <c r="I21" s="61">
        <v>-0.14299999999999999</v>
      </c>
    </row>
    <row r="22" spans="1:9" ht="17" customHeight="1" x14ac:dyDescent="0.2">
      <c r="A22" s="56" t="s">
        <v>51</v>
      </c>
      <c r="B22" s="62"/>
      <c r="C22" s="62"/>
      <c r="D22" s="62"/>
      <c r="E22" s="62"/>
      <c r="F22" s="62"/>
      <c r="G22" s="62"/>
      <c r="H22" s="62"/>
      <c r="I22" s="56"/>
    </row>
    <row r="23" spans="1:9" ht="17" customHeight="1" x14ac:dyDescent="0.2">
      <c r="A23" s="58" t="s">
        <v>52</v>
      </c>
      <c r="B23" s="119">
        <v>2.1999999999999999E-2</v>
      </c>
      <c r="C23" s="119"/>
      <c r="D23" s="119">
        <v>3.7999999999999999E-2</v>
      </c>
      <c r="E23" s="119"/>
      <c r="F23" s="119">
        <v>6.3E-2</v>
      </c>
      <c r="G23" s="119"/>
      <c r="H23" s="119">
        <v>8.8999999999999996E-2</v>
      </c>
      <c r="I23" s="119"/>
    </row>
    <row r="24" spans="1:9" ht="17" customHeight="1" x14ac:dyDescent="0.2">
      <c r="A24" s="58" t="s">
        <v>53</v>
      </c>
      <c r="B24" s="119">
        <v>3.5000000000000003E-2</v>
      </c>
      <c r="C24" s="119"/>
      <c r="D24" s="119">
        <v>8.2000000000000003E-2</v>
      </c>
      <c r="E24" s="119"/>
      <c r="F24" s="119">
        <v>0.16200000000000001</v>
      </c>
      <c r="G24" s="119"/>
      <c r="H24" s="119">
        <v>0.24299999999999999</v>
      </c>
      <c r="I24" s="119"/>
    </row>
    <row r="25" spans="1:9" ht="17" customHeight="1" x14ac:dyDescent="0.2">
      <c r="A25" s="58" t="s">
        <v>54</v>
      </c>
      <c r="B25" s="120">
        <v>0</v>
      </c>
      <c r="C25" s="120"/>
      <c r="D25" s="120">
        <v>4.3999999999999997E-2</v>
      </c>
      <c r="E25" s="120"/>
      <c r="F25" s="120">
        <v>0.14899999999999999</v>
      </c>
      <c r="G25" s="120"/>
      <c r="H25" s="120">
        <v>0.253</v>
      </c>
      <c r="I25" s="120"/>
    </row>
    <row r="26" spans="1:9" ht="17" customHeight="1" x14ac:dyDescent="0.2">
      <c r="A26" s="63" t="s">
        <v>55</v>
      </c>
      <c r="B26" s="64"/>
      <c r="C26" s="64"/>
      <c r="D26" s="64"/>
      <c r="E26" s="64"/>
      <c r="F26" s="64"/>
      <c r="G26" s="64"/>
      <c r="H26" s="64"/>
      <c r="I26" s="64"/>
    </row>
    <row r="27" spans="1:9" ht="17" customHeight="1" x14ac:dyDescent="0.2">
      <c r="A27" s="58" t="s">
        <v>52</v>
      </c>
      <c r="B27" s="119">
        <v>0.23799999999999999</v>
      </c>
      <c r="C27" s="119"/>
      <c r="D27" s="119">
        <v>0.27900000000000003</v>
      </c>
      <c r="E27" s="119"/>
      <c r="F27" s="119">
        <v>0.314</v>
      </c>
      <c r="G27" s="119"/>
      <c r="H27" s="119">
        <v>0.33700000000000002</v>
      </c>
      <c r="I27" s="119"/>
    </row>
    <row r="28" spans="1:9" ht="17" customHeight="1" x14ac:dyDescent="0.2">
      <c r="A28" s="58" t="s">
        <v>53</v>
      </c>
      <c r="B28" s="119">
        <v>0.04</v>
      </c>
      <c r="C28" s="119"/>
      <c r="D28" s="119">
        <v>8.4000000000000005E-2</v>
      </c>
      <c r="E28" s="119"/>
      <c r="F28" s="119">
        <v>0.14299999999999999</v>
      </c>
      <c r="G28" s="119"/>
      <c r="H28" s="119">
        <v>0.187</v>
      </c>
      <c r="I28" s="119"/>
    </row>
    <row r="29" spans="1:9" ht="17" customHeight="1" x14ac:dyDescent="0.2">
      <c r="A29" s="58" t="s">
        <v>54</v>
      </c>
      <c r="B29" s="119">
        <v>8.0000000000000002E-3</v>
      </c>
      <c r="C29" s="119"/>
      <c r="D29" s="119">
        <v>2.5999999999999999E-2</v>
      </c>
      <c r="E29" s="119"/>
      <c r="F29" s="119">
        <v>7.0000000000000007E-2</v>
      </c>
      <c r="G29" s="119"/>
      <c r="H29" s="119">
        <v>0.108</v>
      </c>
      <c r="I29" s="119"/>
    </row>
    <row r="30" spans="1:9" ht="22" customHeight="1" x14ac:dyDescent="0.2">
      <c r="A30" s="55" t="s">
        <v>56</v>
      </c>
      <c r="B30" s="65"/>
      <c r="C30" s="65"/>
      <c r="D30" s="65"/>
      <c r="E30" s="65"/>
      <c r="F30" s="65"/>
      <c r="G30" s="65"/>
      <c r="H30" s="65"/>
      <c r="I30" s="65"/>
    </row>
    <row r="31" spans="1:9" ht="16" x14ac:dyDescent="0.2">
      <c r="A31" s="9"/>
      <c r="B31" s="10"/>
      <c r="C31" s="10"/>
      <c r="D31" s="10"/>
      <c r="E31" s="10"/>
      <c r="F31" s="10"/>
      <c r="G31" s="10"/>
      <c r="H31" s="10"/>
      <c r="I31" s="9"/>
    </row>
    <row r="32" spans="1:9" ht="16" x14ac:dyDescent="0.2">
      <c r="A32" s="9"/>
      <c r="B32" s="10"/>
      <c r="C32" s="10"/>
      <c r="D32" s="10"/>
      <c r="E32" s="10"/>
      <c r="F32" s="10"/>
      <c r="G32" s="10"/>
      <c r="H32" s="10"/>
      <c r="I32" s="9"/>
    </row>
    <row r="33" spans="1:9" ht="16" x14ac:dyDescent="0.2">
      <c r="A33" s="9"/>
      <c r="B33" s="10"/>
      <c r="C33" s="10"/>
      <c r="D33" s="10"/>
      <c r="E33" s="10"/>
      <c r="F33" s="10"/>
      <c r="G33" s="10"/>
      <c r="H33" s="10"/>
      <c r="I33" s="9"/>
    </row>
    <row r="34" spans="1:9" ht="16" x14ac:dyDescent="0.2">
      <c r="A34" s="9"/>
      <c r="B34" s="10"/>
      <c r="C34" s="10"/>
      <c r="D34" s="10"/>
      <c r="E34" s="10"/>
      <c r="F34" s="10"/>
      <c r="G34" s="10"/>
      <c r="H34" s="10"/>
      <c r="I34" s="9"/>
    </row>
    <row r="35" spans="1:9" ht="16" x14ac:dyDescent="0.2">
      <c r="A35" s="9"/>
      <c r="B35" s="10"/>
      <c r="C35" s="10"/>
      <c r="D35" s="10"/>
      <c r="E35" s="10"/>
      <c r="F35" s="10"/>
      <c r="G35" s="10"/>
      <c r="H35" s="10"/>
      <c r="I35" s="9"/>
    </row>
    <row r="36" spans="1:9" ht="16" x14ac:dyDescent="0.2">
      <c r="A36" s="9"/>
      <c r="B36" s="10"/>
      <c r="C36" s="10"/>
      <c r="D36" s="10"/>
      <c r="E36" s="10"/>
      <c r="F36" s="10"/>
      <c r="G36" s="10"/>
      <c r="H36" s="10"/>
      <c r="I36" s="9"/>
    </row>
    <row r="37" spans="1:9" ht="16" x14ac:dyDescent="0.2">
      <c r="A37" s="9"/>
      <c r="B37" s="10"/>
      <c r="C37" s="10"/>
      <c r="D37" s="10"/>
      <c r="E37" s="10"/>
      <c r="F37" s="10"/>
      <c r="G37" s="10"/>
      <c r="H37" s="10"/>
      <c r="I37" s="9"/>
    </row>
    <row r="38" spans="1:9" ht="16" x14ac:dyDescent="0.2">
      <c r="A38" s="9"/>
      <c r="B38" s="10"/>
      <c r="C38" s="10"/>
      <c r="D38" s="10"/>
      <c r="E38" s="10"/>
      <c r="F38" s="10"/>
      <c r="G38" s="10"/>
      <c r="H38" s="10"/>
      <c r="I38" s="9"/>
    </row>
    <row r="39" spans="1:9" x14ac:dyDescent="0.2">
      <c r="A39" s="2"/>
      <c r="B39" s="3"/>
      <c r="C39" s="3"/>
      <c r="D39" s="3"/>
      <c r="E39" s="3"/>
      <c r="F39" s="3"/>
      <c r="G39" s="3"/>
      <c r="H39" s="3"/>
      <c r="I39" s="2"/>
    </row>
    <row r="40" spans="1:9" x14ac:dyDescent="0.2">
      <c r="A40" s="2"/>
      <c r="B40" s="3"/>
      <c r="C40" s="3"/>
      <c r="D40" s="3"/>
      <c r="E40" s="3"/>
      <c r="F40" s="3"/>
      <c r="G40" s="3"/>
      <c r="H40" s="3"/>
      <c r="I40" s="2"/>
    </row>
    <row r="41" spans="1:9" x14ac:dyDescent="0.2">
      <c r="A41" s="2"/>
      <c r="B41" s="3"/>
      <c r="C41" s="3"/>
      <c r="D41" s="3"/>
      <c r="E41" s="3"/>
      <c r="F41" s="3"/>
      <c r="G41" s="3"/>
      <c r="H41" s="3"/>
      <c r="I41" s="2"/>
    </row>
    <row r="42" spans="1:9" x14ac:dyDescent="0.2">
      <c r="A42" s="2"/>
      <c r="B42" s="3"/>
      <c r="C42" s="3"/>
      <c r="D42" s="3"/>
      <c r="E42" s="3"/>
      <c r="F42" s="3"/>
      <c r="G42" s="3"/>
      <c r="H42" s="3"/>
      <c r="I42" s="2"/>
    </row>
    <row r="43" spans="1:9" x14ac:dyDescent="0.2">
      <c r="A43" s="2"/>
      <c r="B43" s="3"/>
      <c r="C43" s="3"/>
      <c r="D43" s="3"/>
      <c r="E43" s="3"/>
      <c r="F43" s="3"/>
      <c r="G43" s="3"/>
      <c r="H43" s="3"/>
      <c r="I43" s="2"/>
    </row>
    <row r="44" spans="1:9" x14ac:dyDescent="0.2">
      <c r="A44" s="2"/>
      <c r="B44" s="3"/>
      <c r="C44" s="3"/>
      <c r="D44" s="3"/>
      <c r="E44" s="3"/>
      <c r="F44" s="3"/>
      <c r="G44" s="3"/>
      <c r="H44" s="3"/>
      <c r="I44" s="2"/>
    </row>
    <row r="45" spans="1:9" x14ac:dyDescent="0.2">
      <c r="A45" s="2"/>
      <c r="B45" s="3"/>
      <c r="C45" s="3"/>
      <c r="D45" s="3"/>
      <c r="E45" s="3"/>
      <c r="F45" s="3"/>
      <c r="G45" s="3"/>
      <c r="H45" s="3"/>
      <c r="I45" s="2"/>
    </row>
    <row r="46" spans="1:9" x14ac:dyDescent="0.2">
      <c r="A46" s="2"/>
      <c r="B46" s="3"/>
      <c r="C46" s="3"/>
      <c r="D46" s="3"/>
      <c r="E46" s="3"/>
      <c r="F46" s="3"/>
      <c r="G46" s="3"/>
      <c r="H46" s="3"/>
      <c r="I46" s="2"/>
    </row>
    <row r="47" spans="1:9" x14ac:dyDescent="0.2">
      <c r="A47" s="2"/>
      <c r="B47" s="3"/>
      <c r="C47" s="3"/>
      <c r="D47" s="3"/>
      <c r="E47" s="3"/>
      <c r="F47" s="3"/>
      <c r="G47" s="3"/>
      <c r="H47" s="3"/>
      <c r="I47" s="2"/>
    </row>
    <row r="48" spans="1:9" x14ac:dyDescent="0.2">
      <c r="A48" s="2"/>
      <c r="B48" s="3"/>
      <c r="C48" s="3"/>
      <c r="D48" s="3"/>
      <c r="E48" s="3"/>
      <c r="F48" s="3"/>
      <c r="G48" s="3"/>
      <c r="H48" s="3"/>
      <c r="I48" s="2"/>
    </row>
    <row r="49" spans="1:9" x14ac:dyDescent="0.2">
      <c r="A49" s="2"/>
      <c r="B49" s="3"/>
      <c r="C49" s="3"/>
      <c r="D49" s="3"/>
      <c r="E49" s="3"/>
      <c r="F49" s="3"/>
      <c r="G49" s="3"/>
      <c r="H49" s="3"/>
      <c r="I49" s="2"/>
    </row>
    <row r="50" spans="1:9" x14ac:dyDescent="0.2">
      <c r="A50" s="2"/>
      <c r="B50" s="3"/>
      <c r="C50" s="3"/>
      <c r="D50" s="3"/>
      <c r="E50" s="3"/>
      <c r="F50" s="3"/>
      <c r="G50" s="3"/>
      <c r="H50" s="3"/>
      <c r="I50" s="2"/>
    </row>
    <row r="51" spans="1:9" x14ac:dyDescent="0.2">
      <c r="A51" s="2"/>
      <c r="B51" s="3"/>
      <c r="C51" s="3"/>
      <c r="D51" s="3"/>
      <c r="E51" s="3"/>
      <c r="F51" s="3"/>
      <c r="G51" s="3"/>
      <c r="H51" s="3"/>
      <c r="I51" s="2"/>
    </row>
    <row r="52" spans="1:9" x14ac:dyDescent="0.2">
      <c r="A52" s="2"/>
      <c r="B52" s="3"/>
      <c r="C52" s="3"/>
      <c r="D52" s="3"/>
      <c r="E52" s="3"/>
      <c r="F52" s="3"/>
      <c r="G52" s="3"/>
      <c r="H52" s="3"/>
      <c r="I52" s="2"/>
    </row>
    <row r="53" spans="1:9" x14ac:dyDescent="0.2">
      <c r="A53" s="2"/>
      <c r="B53" s="3"/>
      <c r="C53" s="3"/>
      <c r="D53" s="3"/>
      <c r="E53" s="3"/>
      <c r="F53" s="3"/>
      <c r="G53" s="3"/>
      <c r="H53" s="3"/>
      <c r="I53" s="2"/>
    </row>
    <row r="54" spans="1:9" x14ac:dyDescent="0.2">
      <c r="A54" s="2"/>
      <c r="B54" s="3"/>
      <c r="C54" s="3"/>
      <c r="D54" s="3"/>
      <c r="E54" s="3"/>
      <c r="F54" s="3"/>
      <c r="G54" s="3"/>
      <c r="H54" s="3"/>
      <c r="I54" s="2"/>
    </row>
    <row r="55" spans="1:9" x14ac:dyDescent="0.2">
      <c r="A55" s="2"/>
      <c r="B55" s="3"/>
      <c r="C55" s="3"/>
      <c r="D55" s="3"/>
      <c r="E55" s="3"/>
      <c r="F55" s="3"/>
      <c r="G55" s="3"/>
      <c r="H55" s="3"/>
      <c r="I55" s="2"/>
    </row>
    <row r="56" spans="1:9" x14ac:dyDescent="0.2">
      <c r="A56" s="2"/>
      <c r="B56" s="3"/>
      <c r="C56" s="3"/>
      <c r="D56" s="3"/>
      <c r="E56" s="3"/>
      <c r="F56" s="3"/>
      <c r="G56" s="3"/>
      <c r="H56" s="3"/>
      <c r="I56" s="2"/>
    </row>
    <row r="57" spans="1:9" x14ac:dyDescent="0.2">
      <c r="A57" s="2"/>
      <c r="B57" s="3"/>
      <c r="C57" s="3"/>
      <c r="D57" s="3"/>
      <c r="E57" s="3"/>
      <c r="F57" s="3"/>
      <c r="G57" s="3"/>
      <c r="H57" s="3"/>
      <c r="I57" s="2"/>
    </row>
    <row r="58" spans="1:9" x14ac:dyDescent="0.2">
      <c r="A58" s="2"/>
      <c r="B58" s="3"/>
      <c r="C58" s="3"/>
      <c r="D58" s="3"/>
      <c r="E58" s="3"/>
      <c r="F58" s="3"/>
      <c r="G58" s="3"/>
      <c r="H58" s="3"/>
      <c r="I58" s="2"/>
    </row>
    <row r="59" spans="1:9" x14ac:dyDescent="0.2">
      <c r="A59" s="2"/>
      <c r="B59" s="3"/>
      <c r="C59" s="3"/>
      <c r="D59" s="3"/>
      <c r="E59" s="3"/>
      <c r="F59" s="3"/>
      <c r="G59" s="3"/>
      <c r="H59" s="3"/>
      <c r="I59" s="2"/>
    </row>
    <row r="60" spans="1:9" x14ac:dyDescent="0.2">
      <c r="A60" s="2"/>
      <c r="B60" s="3"/>
      <c r="C60" s="3"/>
      <c r="D60" s="3"/>
      <c r="E60" s="3"/>
      <c r="F60" s="3"/>
      <c r="G60" s="3"/>
      <c r="H60" s="3"/>
      <c r="I60" s="2"/>
    </row>
    <row r="61" spans="1:9" x14ac:dyDescent="0.2">
      <c r="A61" s="2"/>
      <c r="B61" s="3"/>
      <c r="C61" s="3"/>
      <c r="D61" s="3"/>
      <c r="E61" s="3"/>
      <c r="F61" s="3"/>
      <c r="G61" s="3"/>
      <c r="H61" s="3"/>
      <c r="I61" s="2"/>
    </row>
    <row r="62" spans="1:9" x14ac:dyDescent="0.2">
      <c r="A62" s="2"/>
      <c r="B62" s="3"/>
      <c r="C62" s="3"/>
      <c r="D62" s="3"/>
      <c r="E62" s="3"/>
      <c r="F62" s="3"/>
      <c r="G62" s="3"/>
      <c r="H62" s="3"/>
      <c r="I62" s="2"/>
    </row>
    <row r="63" spans="1:9" x14ac:dyDescent="0.2">
      <c r="A63" s="2"/>
      <c r="B63" s="3"/>
      <c r="C63" s="3"/>
      <c r="D63" s="3"/>
      <c r="E63" s="3"/>
      <c r="F63" s="3"/>
      <c r="G63" s="3"/>
      <c r="H63" s="3"/>
      <c r="I63" s="2"/>
    </row>
    <row r="64" spans="1:9" x14ac:dyDescent="0.2">
      <c r="A64" s="2"/>
      <c r="B64" s="3"/>
      <c r="C64" s="3"/>
      <c r="D64" s="3"/>
      <c r="E64" s="3"/>
      <c r="F64" s="3"/>
      <c r="G64" s="3"/>
      <c r="H64" s="3"/>
      <c r="I64" s="2"/>
    </row>
    <row r="65" spans="9:9" x14ac:dyDescent="0.2">
      <c r="I65" s="2"/>
    </row>
  </sheetData>
  <mergeCells count="68">
    <mergeCell ref="H29:I29"/>
    <mergeCell ref="F23:G23"/>
    <mergeCell ref="F24:G24"/>
    <mergeCell ref="F25:G25"/>
    <mergeCell ref="F27:G27"/>
    <mergeCell ref="F28:G28"/>
    <mergeCell ref="F29:G29"/>
    <mergeCell ref="H23:I23"/>
    <mergeCell ref="H24:I24"/>
    <mergeCell ref="H25:I25"/>
    <mergeCell ref="H27:I27"/>
    <mergeCell ref="H28:I28"/>
    <mergeCell ref="D29:E29"/>
    <mergeCell ref="B23:C23"/>
    <mergeCell ref="B24:C24"/>
    <mergeCell ref="B25:C25"/>
    <mergeCell ref="B27:C27"/>
    <mergeCell ref="B28:C28"/>
    <mergeCell ref="B29:C29"/>
    <mergeCell ref="D23:E23"/>
    <mergeCell ref="D24:E24"/>
    <mergeCell ref="D25:E25"/>
    <mergeCell ref="D27:E27"/>
    <mergeCell ref="D28:E28"/>
    <mergeCell ref="H6:I6"/>
    <mergeCell ref="H7:I7"/>
    <mergeCell ref="H8:I8"/>
    <mergeCell ref="H9:I9"/>
    <mergeCell ref="H10:I10"/>
    <mergeCell ref="H11:I11"/>
    <mergeCell ref="F7:G7"/>
    <mergeCell ref="F8:G8"/>
    <mergeCell ref="F9:G9"/>
    <mergeCell ref="F10:G10"/>
    <mergeCell ref="F11:G11"/>
    <mergeCell ref="H1:I1"/>
    <mergeCell ref="H2:I2"/>
    <mergeCell ref="H3:I3"/>
    <mergeCell ref="H4:I4"/>
    <mergeCell ref="H5:I5"/>
    <mergeCell ref="F1:G1"/>
    <mergeCell ref="F2:G2"/>
    <mergeCell ref="F3:G3"/>
    <mergeCell ref="F4:G4"/>
    <mergeCell ref="F5:G5"/>
    <mergeCell ref="F6:G6"/>
    <mergeCell ref="D6:E6"/>
    <mergeCell ref="D7:E7"/>
    <mergeCell ref="D8:E8"/>
    <mergeCell ref="D9:E9"/>
    <mergeCell ref="D10:E10"/>
    <mergeCell ref="D11:E11"/>
    <mergeCell ref="B5:C5"/>
    <mergeCell ref="B4:C4"/>
    <mergeCell ref="B3:C3"/>
    <mergeCell ref="D4:E4"/>
    <mergeCell ref="D5:E5"/>
    <mergeCell ref="B11:C11"/>
    <mergeCell ref="B10:C10"/>
    <mergeCell ref="B9:C9"/>
    <mergeCell ref="B8:C8"/>
    <mergeCell ref="B7:C7"/>
    <mergeCell ref="B6:C6"/>
    <mergeCell ref="B2:C2"/>
    <mergeCell ref="B1:C1"/>
    <mergeCell ref="D1:E1"/>
    <mergeCell ref="D2:E2"/>
    <mergeCell ref="D3:E3"/>
  </mergeCells>
  <conditionalFormatting sqref="B14:I2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E335-971B-7742-8503-0E6908774862}">
  <dimension ref="A1:P28"/>
  <sheetViews>
    <sheetView topLeftCell="F1" zoomScale="250" zoomScaleNormal="250" workbookViewId="0">
      <selection activeCell="K6" sqref="K6"/>
    </sheetView>
  </sheetViews>
  <sheetFormatPr baseColWidth="10" defaultRowHeight="15" x14ac:dyDescent="0.2"/>
  <cols>
    <col min="1" max="1" width="13.83203125" style="11" bestFit="1" customWidth="1"/>
    <col min="2" max="4" width="10.83203125" style="1"/>
    <col min="5" max="5" width="5.33203125" customWidth="1"/>
  </cols>
  <sheetData>
    <row r="1" spans="1:16" x14ac:dyDescent="0.2">
      <c r="A1" s="12"/>
      <c r="B1" s="3" t="s">
        <v>63</v>
      </c>
      <c r="C1" s="3" t="s">
        <v>64</v>
      </c>
      <c r="D1" s="3" t="s">
        <v>65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12" t="s">
        <v>57</v>
      </c>
      <c r="B2" s="3"/>
      <c r="C2" s="3"/>
      <c r="D2" s="3"/>
      <c r="E2" s="2"/>
      <c r="F2" s="2"/>
      <c r="G2" s="103">
        <v>2.5000000000000001E-2</v>
      </c>
      <c r="H2" s="2"/>
      <c r="I2" s="2"/>
      <c r="J2" s="2"/>
      <c r="K2" s="2"/>
      <c r="L2" s="2"/>
      <c r="M2" s="2"/>
      <c r="N2" s="2"/>
      <c r="O2" s="2"/>
      <c r="P2" s="2"/>
    </row>
    <row r="3" spans="1:16" x14ac:dyDescent="0.2">
      <c r="A3" s="12" t="s">
        <v>58</v>
      </c>
      <c r="B3" s="3"/>
      <c r="C3" s="3"/>
      <c r="D3" s="3"/>
      <c r="E3" s="2"/>
      <c r="F3" s="2"/>
      <c r="G3" s="103">
        <v>5.0000000000000001E-3</v>
      </c>
      <c r="H3" s="2"/>
      <c r="I3" s="103">
        <v>2.5000000000000001E-2</v>
      </c>
      <c r="J3" s="2"/>
      <c r="K3" s="2"/>
      <c r="L3" s="2"/>
      <c r="M3" s="2"/>
      <c r="N3" s="2"/>
      <c r="O3" s="2"/>
      <c r="P3" s="2"/>
    </row>
    <row r="4" spans="1:16" x14ac:dyDescent="0.2">
      <c r="A4" s="12" t="s">
        <v>59</v>
      </c>
      <c r="B4" s="3"/>
      <c r="C4" s="3"/>
      <c r="D4" s="3"/>
      <c r="E4" s="2"/>
      <c r="F4" s="2"/>
      <c r="G4" s="103">
        <v>6.0000000000000001E-3</v>
      </c>
      <c r="H4" s="2"/>
      <c r="I4" s="103">
        <v>5.0000000000000001E-3</v>
      </c>
      <c r="J4" s="2"/>
      <c r="K4" s="2"/>
      <c r="L4" s="2"/>
      <c r="M4" s="2"/>
      <c r="N4" s="2"/>
      <c r="O4" s="2"/>
      <c r="P4" s="2"/>
    </row>
    <row r="5" spans="1:16" x14ac:dyDescent="0.2">
      <c r="A5" s="12" t="s">
        <v>60</v>
      </c>
      <c r="B5" s="3"/>
      <c r="C5" s="3"/>
      <c r="D5" s="3"/>
      <c r="E5" s="2"/>
      <c r="F5" s="2"/>
      <c r="G5" s="103">
        <v>2.5000000000000001E-3</v>
      </c>
      <c r="H5" s="2"/>
      <c r="I5" s="103">
        <v>6.0000000000000001E-3</v>
      </c>
      <c r="J5" s="2"/>
      <c r="K5" s="2"/>
      <c r="L5" s="2"/>
      <c r="M5" s="2"/>
      <c r="N5" s="2"/>
      <c r="O5" s="2"/>
      <c r="P5" s="2"/>
    </row>
    <row r="6" spans="1:16" x14ac:dyDescent="0.2">
      <c r="A6" s="12" t="s">
        <v>61</v>
      </c>
      <c r="B6" s="3"/>
      <c r="C6" s="3"/>
      <c r="D6" s="3"/>
      <c r="E6" s="2"/>
      <c r="F6" s="2"/>
      <c r="G6" s="103">
        <v>3.5000000000000001E-3</v>
      </c>
      <c r="H6" s="2"/>
      <c r="I6" s="103">
        <v>2.5000000000000001E-3</v>
      </c>
      <c r="J6" s="2"/>
      <c r="K6" s="2"/>
      <c r="L6" s="2"/>
      <c r="M6" s="2"/>
      <c r="N6" s="2"/>
      <c r="O6" s="2"/>
      <c r="P6" s="2"/>
    </row>
    <row r="7" spans="1:16" x14ac:dyDescent="0.2">
      <c r="A7" s="12" t="s">
        <v>62</v>
      </c>
      <c r="B7" s="3"/>
      <c r="C7" s="3"/>
      <c r="D7" s="3"/>
      <c r="E7" s="2"/>
      <c r="F7" s="2"/>
      <c r="G7" s="103">
        <v>4.0000000000000001E-3</v>
      </c>
      <c r="H7" s="2"/>
      <c r="I7" s="103">
        <v>3.5000000000000001E-3</v>
      </c>
      <c r="J7" s="2"/>
      <c r="K7" s="2"/>
      <c r="L7" s="2"/>
      <c r="M7" s="2"/>
      <c r="N7" s="2"/>
      <c r="O7" s="2"/>
      <c r="P7" s="2"/>
    </row>
    <row r="8" spans="1:16" x14ac:dyDescent="0.2">
      <c r="A8" s="12"/>
      <c r="B8" s="3"/>
      <c r="C8" s="3"/>
      <c r="D8" s="3"/>
      <c r="E8" s="2"/>
      <c r="F8" s="2"/>
      <c r="G8" s="2"/>
      <c r="H8" s="2"/>
      <c r="I8" s="103">
        <v>4.0000000000000001E-3</v>
      </c>
      <c r="J8" s="2"/>
      <c r="K8" s="2"/>
      <c r="L8" s="2"/>
      <c r="M8" s="2"/>
      <c r="N8" s="2"/>
      <c r="O8" s="2"/>
      <c r="P8" s="2"/>
    </row>
    <row r="9" spans="1:16" x14ac:dyDescent="0.2">
      <c r="A9" s="12"/>
      <c r="B9" s="3"/>
      <c r="C9" s="3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">
      <c r="A10" s="12"/>
      <c r="B10" s="3"/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A11" s="1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">
      <c r="A12" s="12"/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A13" s="12"/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">
      <c r="A14" s="12"/>
      <c r="B14" s="3"/>
      <c r="C14" s="3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A15" s="12"/>
      <c r="B15" s="3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A16" s="12"/>
      <c r="B16" s="3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">
      <c r="A17" s="12"/>
      <c r="B17" s="3"/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">
      <c r="A18" s="12"/>
      <c r="B18" s="3"/>
      <c r="C18" s="3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">
      <c r="A19" s="12"/>
      <c r="B19" s="3"/>
      <c r="C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">
      <c r="A20" s="12"/>
      <c r="B20" s="3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">
      <c r="A21" s="12"/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">
      <c r="A22" s="12"/>
      <c r="B22" s="3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">
      <c r="A23" s="12"/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">
      <c r="A24" s="12"/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">
      <c r="A25" s="12"/>
      <c r="B25" s="3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A26" s="12"/>
      <c r="B26" s="3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">
      <c r="A27" s="12"/>
      <c r="B27" s="3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">
      <c r="A28" s="12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5231-158B-564A-913A-4FDCB4EB68F4}">
  <dimension ref="A1:P37"/>
  <sheetViews>
    <sheetView workbookViewId="0">
      <selection activeCell="F12" sqref="F12"/>
    </sheetView>
  </sheetViews>
  <sheetFormatPr baseColWidth="10" defaultRowHeight="15" x14ac:dyDescent="0.2"/>
  <cols>
    <col min="1" max="1" width="38.1640625" bestFit="1" customWidth="1"/>
    <col min="2" max="2" width="16" style="14" customWidth="1"/>
    <col min="3" max="3" width="2.83203125" style="1" customWidth="1"/>
    <col min="4" max="4" width="9.33203125" style="1" customWidth="1"/>
    <col min="5" max="5" width="2.83203125" style="1" customWidth="1"/>
    <col min="6" max="6" width="16" style="5" customWidth="1"/>
    <col min="7" max="7" width="10.83203125" style="1"/>
    <col min="8" max="8" width="12.33203125" style="1" bestFit="1" customWidth="1"/>
    <col min="9" max="9" width="25" style="1" customWidth="1"/>
    <col min="10" max="10" width="15.83203125" style="1" customWidth="1"/>
    <col min="11" max="16" width="10.83203125" style="1"/>
  </cols>
  <sheetData>
    <row r="1" spans="1:16" ht="19" customHeight="1" x14ac:dyDescent="0.2">
      <c r="A1" s="15"/>
      <c r="B1" s="123" t="s">
        <v>95</v>
      </c>
      <c r="C1" s="123"/>
      <c r="D1" s="123"/>
      <c r="E1" s="123"/>
      <c r="F1" s="123"/>
      <c r="G1" s="123"/>
      <c r="H1" s="123"/>
      <c r="I1" s="123"/>
      <c r="J1" s="17"/>
      <c r="K1" s="3"/>
      <c r="L1" s="3"/>
      <c r="M1" s="3"/>
    </row>
    <row r="2" spans="1:16" ht="41" customHeight="1" x14ac:dyDescent="0.2">
      <c r="A2" s="18"/>
      <c r="B2" s="121" t="s">
        <v>72</v>
      </c>
      <c r="C2" s="121"/>
      <c r="D2" s="122"/>
      <c r="E2" s="122"/>
      <c r="F2" s="122"/>
      <c r="G2" s="20" t="s">
        <v>30</v>
      </c>
      <c r="H2" s="20" t="s">
        <v>29</v>
      </c>
      <c r="I2" s="19" t="s">
        <v>71</v>
      </c>
      <c r="J2" s="20" t="s">
        <v>66</v>
      </c>
      <c r="K2" s="3"/>
      <c r="L2" s="3"/>
      <c r="M2" s="3"/>
      <c r="N2" s="3"/>
      <c r="O2" s="3"/>
      <c r="P2" s="3"/>
    </row>
    <row r="3" spans="1:16" ht="17" x14ac:dyDescent="0.2">
      <c r="A3" s="21" t="s">
        <v>4</v>
      </c>
      <c r="B3" s="22"/>
      <c r="C3" s="23"/>
      <c r="D3" s="17"/>
      <c r="E3" s="17"/>
      <c r="F3" s="24"/>
      <c r="G3" s="17"/>
      <c r="H3" s="17"/>
      <c r="I3" s="17"/>
      <c r="J3" s="17"/>
      <c r="K3" s="3"/>
      <c r="L3" s="3"/>
      <c r="M3" s="3"/>
      <c r="N3" s="3"/>
      <c r="O3" s="3"/>
      <c r="P3" s="3"/>
    </row>
    <row r="4" spans="1:16" ht="17" x14ac:dyDescent="0.2">
      <c r="A4" s="25" t="s">
        <v>35</v>
      </c>
      <c r="B4" s="26">
        <v>6.0000000000000001E-3</v>
      </c>
      <c r="C4" s="27" t="s">
        <v>93</v>
      </c>
      <c r="D4" s="28">
        <v>1.0999999999999999E-2</v>
      </c>
      <c r="E4" s="29" t="s">
        <v>94</v>
      </c>
      <c r="F4" s="30" t="s">
        <v>73</v>
      </c>
      <c r="G4" s="28">
        <v>3.3000000000000002E-2</v>
      </c>
      <c r="H4" s="17">
        <v>0.35</v>
      </c>
      <c r="I4" s="28">
        <f>D4+2.5%</f>
        <v>3.6000000000000004E-2</v>
      </c>
      <c r="J4" s="31">
        <v>0</v>
      </c>
      <c r="K4" s="3"/>
      <c r="L4" s="3"/>
      <c r="M4" s="3"/>
      <c r="N4" s="3"/>
      <c r="O4" s="3"/>
      <c r="P4" s="3"/>
    </row>
    <row r="5" spans="1:16" ht="17" x14ac:dyDescent="0.2">
      <c r="A5" s="32" t="s">
        <v>5</v>
      </c>
      <c r="B5" s="33">
        <v>1E-3</v>
      </c>
      <c r="C5" s="34" t="s">
        <v>93</v>
      </c>
      <c r="D5" s="35">
        <v>4.0000000000000001E-3</v>
      </c>
      <c r="E5" s="36" t="s">
        <v>94</v>
      </c>
      <c r="F5" s="37" t="s">
        <v>74</v>
      </c>
      <c r="G5" s="35">
        <v>1.6E-2</v>
      </c>
      <c r="H5" s="38">
        <v>0.25</v>
      </c>
      <c r="I5" s="35">
        <f>D5+2.5%</f>
        <v>2.9000000000000001E-2</v>
      </c>
      <c r="J5" s="39">
        <v>0</v>
      </c>
      <c r="K5" s="3"/>
      <c r="L5" s="3"/>
      <c r="M5" s="3"/>
      <c r="N5" s="3"/>
      <c r="O5" s="3"/>
      <c r="P5" s="3"/>
    </row>
    <row r="6" spans="1:16" ht="17" x14ac:dyDescent="0.2">
      <c r="A6" s="21" t="s">
        <v>6</v>
      </c>
      <c r="B6" s="26"/>
      <c r="C6" s="23"/>
      <c r="D6" s="28"/>
      <c r="E6" s="40"/>
      <c r="F6" s="30"/>
      <c r="G6" s="28"/>
      <c r="H6" s="17"/>
      <c r="I6" s="28"/>
      <c r="J6" s="31"/>
      <c r="K6" s="3"/>
      <c r="L6" s="3"/>
      <c r="M6" s="3"/>
      <c r="N6" s="3"/>
      <c r="O6" s="3"/>
      <c r="P6" s="3"/>
    </row>
    <row r="7" spans="1:16" ht="17" x14ac:dyDescent="0.2">
      <c r="A7" s="32" t="s">
        <v>7</v>
      </c>
      <c r="B7" s="33">
        <v>1.6E-2</v>
      </c>
      <c r="C7" s="34" t="s">
        <v>93</v>
      </c>
      <c r="D7" s="35">
        <v>3.5000000000000003E-2</v>
      </c>
      <c r="E7" s="36" t="s">
        <v>94</v>
      </c>
      <c r="F7" s="37" t="s">
        <v>75</v>
      </c>
      <c r="G7" s="35">
        <v>0.11700000000000001</v>
      </c>
      <c r="H7" s="38">
        <v>0.3</v>
      </c>
      <c r="I7" s="35">
        <f>D7+2.5%</f>
        <v>6.0000000000000005E-2</v>
      </c>
      <c r="J7" s="39">
        <v>0</v>
      </c>
      <c r="K7" s="3"/>
      <c r="L7" s="3"/>
      <c r="M7" s="3"/>
      <c r="N7" s="3"/>
      <c r="O7" s="3"/>
      <c r="P7" s="3"/>
    </row>
    <row r="8" spans="1:16" ht="17" x14ac:dyDescent="0.2">
      <c r="A8" s="21" t="s">
        <v>8</v>
      </c>
      <c r="B8" s="26"/>
      <c r="C8" s="23"/>
      <c r="D8" s="28"/>
      <c r="E8" s="40"/>
      <c r="F8" s="30"/>
      <c r="G8" s="28"/>
      <c r="H8" s="17"/>
      <c r="I8" s="28"/>
      <c r="J8" s="31"/>
      <c r="K8" s="3"/>
      <c r="L8" s="3"/>
      <c r="M8" s="3"/>
      <c r="N8" s="3"/>
      <c r="O8" s="3"/>
      <c r="P8" s="3"/>
    </row>
    <row r="9" spans="1:16" ht="17" x14ac:dyDescent="0.2">
      <c r="A9" s="25" t="s">
        <v>9</v>
      </c>
      <c r="B9" s="26">
        <v>2.7E-2</v>
      </c>
      <c r="C9" s="27" t="s">
        <v>93</v>
      </c>
      <c r="D9" s="28">
        <v>5.3999999999999999E-2</v>
      </c>
      <c r="E9" s="29" t="s">
        <v>94</v>
      </c>
      <c r="F9" s="30" t="s">
        <v>76</v>
      </c>
      <c r="G9" s="28">
        <v>0.16800000000000001</v>
      </c>
      <c r="H9" s="17">
        <v>0.32</v>
      </c>
      <c r="I9" s="28">
        <f>D9+2.5%</f>
        <v>7.9000000000000001E-2</v>
      </c>
      <c r="J9" s="31">
        <v>0</v>
      </c>
      <c r="K9" s="3"/>
      <c r="L9" s="3"/>
      <c r="M9" s="3"/>
      <c r="N9" s="3"/>
      <c r="O9" s="3"/>
      <c r="P9" s="3"/>
    </row>
    <row r="10" spans="1:16" ht="17" x14ac:dyDescent="0.2">
      <c r="A10" s="25" t="s">
        <v>10</v>
      </c>
      <c r="B10" s="26">
        <v>3.6999999999999998E-2</v>
      </c>
      <c r="C10" s="27" t="s">
        <v>93</v>
      </c>
      <c r="D10" s="28">
        <v>0.06</v>
      </c>
      <c r="E10" s="29" t="s">
        <v>94</v>
      </c>
      <c r="F10" s="30" t="s">
        <v>77</v>
      </c>
      <c r="G10" s="28">
        <v>0.14499999999999999</v>
      </c>
      <c r="H10" s="17">
        <v>0.41</v>
      </c>
      <c r="I10" s="28">
        <f t="shared" ref="I10:I30" si="0">D10+2.5%</f>
        <v>8.4999999999999992E-2</v>
      </c>
      <c r="J10" s="31">
        <v>0</v>
      </c>
      <c r="K10" s="3"/>
      <c r="L10" s="3"/>
      <c r="M10" s="3"/>
      <c r="N10" s="3"/>
      <c r="O10" s="3"/>
      <c r="P10" s="3"/>
    </row>
    <row r="11" spans="1:16" ht="17" x14ac:dyDescent="0.2">
      <c r="A11" s="25" t="s">
        <v>11</v>
      </c>
      <c r="B11" s="26">
        <v>3.2000000000000001E-2</v>
      </c>
      <c r="C11" s="27" t="s">
        <v>93</v>
      </c>
      <c r="D11" s="28">
        <v>6.3E-2</v>
      </c>
      <c r="E11" s="29" t="s">
        <v>94</v>
      </c>
      <c r="F11" s="30" t="s">
        <v>78</v>
      </c>
      <c r="G11" s="28">
        <v>0.191</v>
      </c>
      <c r="H11" s="17">
        <v>0.33</v>
      </c>
      <c r="I11" s="28">
        <f t="shared" si="0"/>
        <v>8.7999999999999995E-2</v>
      </c>
      <c r="J11" s="31">
        <v>0</v>
      </c>
      <c r="K11" s="3"/>
      <c r="L11" s="3"/>
      <c r="M11" s="3"/>
      <c r="N11" s="3"/>
      <c r="O11" s="3"/>
      <c r="P11" s="3"/>
    </row>
    <row r="12" spans="1:16" ht="17" x14ac:dyDescent="0.2">
      <c r="A12" s="25" t="s">
        <v>12</v>
      </c>
      <c r="B12" s="26">
        <v>2.1000000000000001E-2</v>
      </c>
      <c r="C12" s="27" t="s">
        <v>93</v>
      </c>
      <c r="D12" s="28">
        <v>4.8000000000000001E-2</v>
      </c>
      <c r="E12" s="29" t="s">
        <v>94</v>
      </c>
      <c r="F12" s="30" t="s">
        <v>79</v>
      </c>
      <c r="G12" s="28">
        <v>0.16400000000000001</v>
      </c>
      <c r="H12" s="17">
        <v>0.28999999999999998</v>
      </c>
      <c r="I12" s="28">
        <f t="shared" si="0"/>
        <v>7.3000000000000009E-2</v>
      </c>
      <c r="J12" s="31">
        <v>0.7</v>
      </c>
      <c r="K12" s="3"/>
      <c r="L12" s="3"/>
      <c r="M12" s="3"/>
      <c r="N12" s="3"/>
      <c r="O12" s="3"/>
      <c r="P12" s="3"/>
    </row>
    <row r="13" spans="1:16" ht="17" x14ac:dyDescent="0.2">
      <c r="A13" s="25" t="s">
        <v>13</v>
      </c>
      <c r="B13" s="26">
        <v>2.5999999999999999E-2</v>
      </c>
      <c r="C13" s="27" t="s">
        <v>93</v>
      </c>
      <c r="D13" s="28">
        <v>5.0999999999999997E-2</v>
      </c>
      <c r="E13" s="29" t="s">
        <v>94</v>
      </c>
      <c r="F13" s="30" t="s">
        <v>80</v>
      </c>
      <c r="G13" s="28">
        <v>0.151</v>
      </c>
      <c r="H13" s="17">
        <v>0.34</v>
      </c>
      <c r="I13" s="28">
        <f t="shared" si="0"/>
        <v>7.5999999999999998E-2</v>
      </c>
      <c r="J13" s="31">
        <v>0.7</v>
      </c>
      <c r="K13" s="3"/>
      <c r="L13" s="3"/>
      <c r="M13" s="3"/>
      <c r="N13" s="3"/>
      <c r="O13" s="3"/>
      <c r="P13" s="3"/>
    </row>
    <row r="14" spans="1:16" ht="17" x14ac:dyDescent="0.2">
      <c r="A14" s="25" t="s">
        <v>14</v>
      </c>
      <c r="B14" s="26">
        <v>-6.0000000000000001E-3</v>
      </c>
      <c r="C14" s="27" t="s">
        <v>93</v>
      </c>
      <c r="D14" s="28">
        <v>2.5999999999999999E-2</v>
      </c>
      <c r="E14" s="29" t="s">
        <v>94</v>
      </c>
      <c r="F14" s="30" t="s">
        <v>81</v>
      </c>
      <c r="G14" s="28">
        <v>0.16400000000000001</v>
      </c>
      <c r="H14" s="17">
        <v>0.16</v>
      </c>
      <c r="I14" s="28">
        <f t="shared" si="0"/>
        <v>5.1000000000000004E-2</v>
      </c>
      <c r="J14" s="31">
        <v>0.7</v>
      </c>
      <c r="K14" s="3"/>
      <c r="L14" s="3"/>
      <c r="M14" s="3"/>
      <c r="N14" s="3"/>
      <c r="O14" s="3"/>
      <c r="P14" s="3"/>
    </row>
    <row r="15" spans="1:16" ht="17" x14ac:dyDescent="0.2">
      <c r="A15" s="25" t="s">
        <v>15</v>
      </c>
      <c r="B15" s="26">
        <v>0.04</v>
      </c>
      <c r="C15" s="27" t="s">
        <v>93</v>
      </c>
      <c r="D15" s="28">
        <v>6.9000000000000006E-2</v>
      </c>
      <c r="E15" s="29" t="s">
        <v>94</v>
      </c>
      <c r="F15" s="30" t="s">
        <v>82</v>
      </c>
      <c r="G15" s="28">
        <v>0.18099999999999999</v>
      </c>
      <c r="H15" s="17">
        <v>0.38</v>
      </c>
      <c r="I15" s="28">
        <f t="shared" si="0"/>
        <v>9.4E-2</v>
      </c>
      <c r="J15" s="31">
        <v>0.7</v>
      </c>
      <c r="K15" s="3"/>
      <c r="L15" s="3"/>
      <c r="M15" s="3"/>
      <c r="N15" s="3"/>
      <c r="O15" s="3"/>
      <c r="P15" s="3"/>
    </row>
    <row r="16" spans="1:16" ht="17" x14ac:dyDescent="0.2">
      <c r="A16" s="25" t="s">
        <v>16</v>
      </c>
      <c r="B16" s="26">
        <v>0.02</v>
      </c>
      <c r="C16" s="27" t="s">
        <v>93</v>
      </c>
      <c r="D16" s="28">
        <v>8.5999999999999993E-2</v>
      </c>
      <c r="E16" s="29" t="s">
        <v>94</v>
      </c>
      <c r="F16" s="30" t="s">
        <v>83</v>
      </c>
      <c r="G16" s="28">
        <v>0.22</v>
      </c>
      <c r="H16" s="17">
        <v>0.39</v>
      </c>
      <c r="I16" s="28">
        <f t="shared" si="0"/>
        <v>0.11099999999999999</v>
      </c>
      <c r="J16" s="31">
        <v>0</v>
      </c>
      <c r="K16" s="3"/>
      <c r="L16" s="3"/>
      <c r="M16" s="3"/>
      <c r="N16" s="3"/>
      <c r="O16" s="3"/>
      <c r="P16" s="3"/>
    </row>
    <row r="17" spans="1:16" ht="17" x14ac:dyDescent="0.2">
      <c r="A17" s="25" t="s">
        <v>67</v>
      </c>
      <c r="B17" s="26">
        <v>0.03</v>
      </c>
      <c r="C17" s="27" t="s">
        <v>93</v>
      </c>
      <c r="D17" s="28">
        <v>6.0999999999999999E-2</v>
      </c>
      <c r="E17" s="29" t="s">
        <v>94</v>
      </c>
      <c r="F17" s="30" t="s">
        <v>84</v>
      </c>
      <c r="G17" s="28">
        <v>0.16200000000000001</v>
      </c>
      <c r="H17" s="17">
        <v>0.38</v>
      </c>
      <c r="I17" s="28">
        <f t="shared" si="0"/>
        <v>8.5999999999999993E-2</v>
      </c>
      <c r="J17" s="41">
        <v>0.7</v>
      </c>
      <c r="K17" s="3"/>
      <c r="L17" s="3"/>
      <c r="M17" s="3"/>
      <c r="N17" s="3"/>
      <c r="O17" s="3"/>
      <c r="P17" s="3"/>
    </row>
    <row r="18" spans="1:16" ht="17" x14ac:dyDescent="0.2">
      <c r="A18" s="32" t="s">
        <v>68</v>
      </c>
      <c r="B18" s="33">
        <v>1.9E-2</v>
      </c>
      <c r="C18" s="34" t="s">
        <v>93</v>
      </c>
      <c r="D18" s="35">
        <v>4.8000000000000001E-2</v>
      </c>
      <c r="E18" s="36" t="s">
        <v>94</v>
      </c>
      <c r="F18" s="37" t="s">
        <v>85</v>
      </c>
      <c r="G18" s="35">
        <v>0.14000000000000001</v>
      </c>
      <c r="H18" s="38">
        <v>0.34</v>
      </c>
      <c r="I18" s="35">
        <f t="shared" si="0"/>
        <v>7.3000000000000009E-2</v>
      </c>
      <c r="J18" s="39">
        <v>0.7</v>
      </c>
      <c r="K18" s="3"/>
      <c r="L18" s="3"/>
      <c r="M18" s="3"/>
      <c r="N18" s="3"/>
      <c r="O18" s="3"/>
      <c r="P18" s="3"/>
    </row>
    <row r="19" spans="1:16" ht="17" x14ac:dyDescent="0.2">
      <c r="A19" s="21" t="s">
        <v>17</v>
      </c>
      <c r="B19" s="26"/>
      <c r="C19" s="27"/>
      <c r="D19" s="28"/>
      <c r="E19" s="29"/>
      <c r="F19" s="30"/>
      <c r="G19" s="28"/>
      <c r="H19" s="17"/>
      <c r="I19" s="28"/>
      <c r="J19" s="31"/>
      <c r="K19" s="3"/>
      <c r="L19" s="3"/>
      <c r="M19" s="3"/>
      <c r="N19" s="3"/>
      <c r="O19" s="3"/>
      <c r="P19" s="3"/>
    </row>
    <row r="20" spans="1:16" ht="17" x14ac:dyDescent="0.2">
      <c r="A20" s="25" t="s">
        <v>18</v>
      </c>
      <c r="B20" s="26">
        <v>-6.0000000000000001E-3</v>
      </c>
      <c r="C20" s="27" t="s">
        <v>93</v>
      </c>
      <c r="D20" s="28">
        <v>1.9E-2</v>
      </c>
      <c r="E20" s="29" t="s">
        <v>94</v>
      </c>
      <c r="F20" s="30" t="s">
        <v>86</v>
      </c>
      <c r="G20" s="28">
        <v>6.4000000000000001E-2</v>
      </c>
      <c r="H20" s="17">
        <v>0.28999999999999998</v>
      </c>
      <c r="I20" s="28">
        <f t="shared" si="0"/>
        <v>4.3999999999999997E-2</v>
      </c>
      <c r="J20" s="31">
        <v>1</v>
      </c>
      <c r="K20" s="3"/>
      <c r="L20" s="3"/>
      <c r="M20" s="3"/>
      <c r="N20" s="3"/>
      <c r="O20" s="3"/>
      <c r="P20" s="3"/>
    </row>
    <row r="21" spans="1:16" ht="17" x14ac:dyDescent="0.2">
      <c r="A21" s="25" t="s">
        <v>19</v>
      </c>
      <c r="B21" s="26">
        <v>-6.0000000000000001E-3</v>
      </c>
      <c r="C21" s="27" t="s">
        <v>93</v>
      </c>
      <c r="D21" s="28">
        <v>2.7E-2</v>
      </c>
      <c r="E21" s="29" t="s">
        <v>94</v>
      </c>
      <c r="F21" s="30" t="s">
        <v>87</v>
      </c>
      <c r="G21" s="28">
        <v>8.7999999999999995E-2</v>
      </c>
      <c r="H21" s="17">
        <v>0.31</v>
      </c>
      <c r="I21" s="28">
        <f t="shared" si="0"/>
        <v>5.2000000000000005E-2</v>
      </c>
      <c r="J21" s="31">
        <v>1</v>
      </c>
      <c r="K21" s="3"/>
      <c r="L21" s="3"/>
      <c r="M21" s="3"/>
      <c r="N21" s="3"/>
      <c r="O21" s="3"/>
      <c r="P21" s="3"/>
    </row>
    <row r="22" spans="1:16" ht="17" x14ac:dyDescent="0.2">
      <c r="A22" s="32" t="s">
        <v>20</v>
      </c>
      <c r="B22" s="33">
        <v>-2E-3</v>
      </c>
      <c r="C22" s="34" t="s">
        <v>93</v>
      </c>
      <c r="D22" s="35">
        <v>2.9000000000000001E-2</v>
      </c>
      <c r="E22" s="36" t="s">
        <v>94</v>
      </c>
      <c r="F22" s="37" t="s">
        <v>88</v>
      </c>
      <c r="G22" s="35">
        <v>8.1000000000000003E-2</v>
      </c>
      <c r="H22" s="38">
        <v>0.35</v>
      </c>
      <c r="I22" s="35">
        <f t="shared" si="0"/>
        <v>5.4000000000000006E-2</v>
      </c>
      <c r="J22" s="39">
        <v>1</v>
      </c>
      <c r="K22" s="3"/>
      <c r="L22" s="3"/>
      <c r="M22" s="3"/>
      <c r="N22" s="3"/>
      <c r="O22" s="3"/>
      <c r="P22" s="3"/>
    </row>
    <row r="23" spans="1:16" ht="17" x14ac:dyDescent="0.2">
      <c r="A23" s="21" t="s">
        <v>21</v>
      </c>
      <c r="B23" s="26"/>
      <c r="C23" s="27"/>
      <c r="D23" s="28"/>
      <c r="E23" s="29"/>
      <c r="F23" s="30"/>
      <c r="G23" s="28"/>
      <c r="H23" s="17"/>
      <c r="I23" s="28"/>
      <c r="J23" s="31"/>
      <c r="K23" s="3"/>
      <c r="L23" s="3"/>
      <c r="M23" s="3"/>
      <c r="N23" s="3"/>
      <c r="O23" s="3"/>
      <c r="P23" s="3"/>
    </row>
    <row r="24" spans="1:16" ht="17" x14ac:dyDescent="0.2">
      <c r="A24" s="25" t="s">
        <v>22</v>
      </c>
      <c r="B24" s="26">
        <v>4.8000000000000001E-2</v>
      </c>
      <c r="C24" s="27" t="s">
        <v>93</v>
      </c>
      <c r="D24" s="28">
        <v>0.08</v>
      </c>
      <c r="E24" s="29" t="s">
        <v>94</v>
      </c>
      <c r="F24" s="30">
        <v>0.113</v>
      </c>
      <c r="G24" s="28">
        <v>0.16200000000000001</v>
      </c>
      <c r="H24" s="17">
        <v>0.51</v>
      </c>
      <c r="I24" s="28">
        <f t="shared" si="0"/>
        <v>0.10500000000000001</v>
      </c>
      <c r="J24" s="31">
        <v>0</v>
      </c>
      <c r="K24" s="3"/>
      <c r="L24" s="3"/>
      <c r="M24" s="3"/>
      <c r="N24" s="3"/>
      <c r="O24" s="3"/>
      <c r="P24" s="3"/>
    </row>
    <row r="25" spans="1:16" ht="17" x14ac:dyDescent="0.2">
      <c r="A25" s="25" t="s">
        <v>23</v>
      </c>
      <c r="B25" s="26">
        <v>4.9000000000000002E-2</v>
      </c>
      <c r="C25" s="27" t="s">
        <v>93</v>
      </c>
      <c r="D25" s="28">
        <v>8.2000000000000003E-2</v>
      </c>
      <c r="E25" s="29" t="s">
        <v>94</v>
      </c>
      <c r="F25" s="30">
        <v>0.115</v>
      </c>
      <c r="G25" s="28">
        <v>0.22800000000000001</v>
      </c>
      <c r="H25" s="17">
        <v>0.51</v>
      </c>
      <c r="I25" s="28">
        <f t="shared" si="0"/>
        <v>0.10700000000000001</v>
      </c>
      <c r="J25" s="31">
        <v>0</v>
      </c>
      <c r="K25" s="3"/>
      <c r="L25" s="3"/>
      <c r="M25" s="3"/>
      <c r="N25" s="3"/>
      <c r="O25" s="3"/>
      <c r="P25" s="3"/>
    </row>
    <row r="26" spans="1:16" ht="17" x14ac:dyDescent="0.2">
      <c r="A26" s="32" t="s">
        <v>24</v>
      </c>
      <c r="B26" s="33">
        <v>2.5999999999999999E-2</v>
      </c>
      <c r="C26" s="34" t="s">
        <v>93</v>
      </c>
      <c r="D26" s="35">
        <v>7.2999999999999995E-2</v>
      </c>
      <c r="E26" s="36" t="s">
        <v>94</v>
      </c>
      <c r="F26" s="37" t="s">
        <v>89</v>
      </c>
      <c r="G26" s="35">
        <v>0.22800000000000001</v>
      </c>
      <c r="H26" s="38">
        <v>0.32</v>
      </c>
      <c r="I26" s="35">
        <f t="shared" si="0"/>
        <v>9.8000000000000004E-2</v>
      </c>
      <c r="J26" s="39">
        <v>0</v>
      </c>
      <c r="K26" s="3"/>
      <c r="L26" s="3"/>
      <c r="M26" s="3"/>
      <c r="N26" s="3"/>
      <c r="O26" s="3"/>
      <c r="P26" s="3"/>
    </row>
    <row r="27" spans="1:16" ht="17" x14ac:dyDescent="0.2">
      <c r="A27" s="102" t="s">
        <v>25</v>
      </c>
      <c r="B27" s="26"/>
      <c r="C27" s="27"/>
      <c r="D27" s="28"/>
      <c r="E27" s="29"/>
      <c r="F27" s="30"/>
      <c r="G27" s="28"/>
      <c r="H27" s="17"/>
      <c r="I27" s="28"/>
      <c r="J27" s="31"/>
      <c r="K27" s="3"/>
      <c r="L27" s="3"/>
      <c r="M27" s="3"/>
      <c r="N27" s="3"/>
      <c r="O27" s="3"/>
      <c r="P27" s="3"/>
    </row>
    <row r="28" spans="1:16" ht="17" x14ac:dyDescent="0.2">
      <c r="A28" s="25" t="s">
        <v>26</v>
      </c>
      <c r="B28" s="26">
        <v>2.1999999999999999E-2</v>
      </c>
      <c r="C28" s="27" t="s">
        <v>93</v>
      </c>
      <c r="D28" s="28">
        <v>4.3999999999999997E-2</v>
      </c>
      <c r="E28" s="29" t="s">
        <v>94</v>
      </c>
      <c r="F28" s="30" t="s">
        <v>90</v>
      </c>
      <c r="G28" s="28">
        <v>0.11</v>
      </c>
      <c r="H28" s="17">
        <v>0.4</v>
      </c>
      <c r="I28" s="28">
        <f t="shared" si="0"/>
        <v>6.9000000000000006E-2</v>
      </c>
      <c r="J28" s="31">
        <v>0</v>
      </c>
      <c r="K28" s="3"/>
      <c r="L28" s="3"/>
      <c r="M28" s="3"/>
      <c r="N28" s="3"/>
      <c r="O28" s="3"/>
      <c r="P28" s="3"/>
    </row>
    <row r="29" spans="1:16" ht="17" x14ac:dyDescent="0.2">
      <c r="A29" s="25" t="s">
        <v>69</v>
      </c>
      <c r="B29" s="26">
        <v>2.3E-2</v>
      </c>
      <c r="C29" s="27" t="s">
        <v>93</v>
      </c>
      <c r="D29" s="28">
        <v>3.7999999999999999E-2</v>
      </c>
      <c r="E29" s="29" t="s">
        <v>94</v>
      </c>
      <c r="F29" s="30" t="s">
        <v>91</v>
      </c>
      <c r="G29" s="28">
        <v>7.1999999999999995E-2</v>
      </c>
      <c r="H29" s="17">
        <v>0.53</v>
      </c>
      <c r="I29" s="28">
        <f t="shared" si="0"/>
        <v>6.3E-2</v>
      </c>
      <c r="J29" s="31">
        <v>0</v>
      </c>
      <c r="K29" s="3"/>
      <c r="L29" s="3"/>
      <c r="M29" s="3"/>
      <c r="N29" s="3"/>
      <c r="O29" s="3"/>
      <c r="P29" s="3"/>
    </row>
    <row r="30" spans="1:16" ht="17" x14ac:dyDescent="0.2">
      <c r="A30" s="42" t="s">
        <v>70</v>
      </c>
      <c r="B30" s="43">
        <v>2.5999999999999999E-2</v>
      </c>
      <c r="C30" s="44" t="s">
        <v>93</v>
      </c>
      <c r="D30" s="45">
        <v>4.2999999999999997E-2</v>
      </c>
      <c r="E30" s="46" t="s">
        <v>94</v>
      </c>
      <c r="F30" s="47" t="s">
        <v>92</v>
      </c>
      <c r="G30" s="45">
        <v>8.4000000000000005E-2</v>
      </c>
      <c r="H30" s="16">
        <v>0.51</v>
      </c>
      <c r="I30" s="45">
        <f t="shared" si="0"/>
        <v>6.8000000000000005E-2</v>
      </c>
      <c r="J30" s="48">
        <v>0</v>
      </c>
      <c r="K30" s="3"/>
      <c r="L30" s="3"/>
      <c r="M30" s="3"/>
      <c r="N30" s="3"/>
      <c r="O30" s="3"/>
      <c r="P30" s="3"/>
    </row>
    <row r="31" spans="1:16" x14ac:dyDescent="0.2">
      <c r="A31" s="2"/>
      <c r="B31" s="13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2"/>
      <c r="B32" s="13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2"/>
      <c r="B33" s="13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2"/>
      <c r="B34" s="13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2"/>
      <c r="B35" s="13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2"/>
      <c r="B36" s="13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2"/>
      <c r="B37" s="13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</row>
  </sheetData>
  <mergeCells count="2">
    <mergeCell ref="B2:F2"/>
    <mergeCell ref="B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0093-E6C6-A248-AF2A-CA21312ABEE8}">
  <dimension ref="A1:H18"/>
  <sheetViews>
    <sheetView tabSelected="1" workbookViewId="0">
      <selection activeCell="A3" sqref="A3"/>
    </sheetView>
  </sheetViews>
  <sheetFormatPr baseColWidth="10" defaultRowHeight="15" x14ac:dyDescent="0.2"/>
  <cols>
    <col min="1" max="1" width="13.6640625" style="11" bestFit="1" customWidth="1"/>
    <col min="2" max="2" width="28.6640625" bestFit="1" customWidth="1"/>
    <col min="3" max="3" width="30" bestFit="1" customWidth="1"/>
    <col min="4" max="8" width="17.33203125" style="1" customWidth="1"/>
  </cols>
  <sheetData>
    <row r="1" spans="1:8" ht="17" x14ac:dyDescent="0.2">
      <c r="A1" s="81" t="s">
        <v>113</v>
      </c>
      <c r="B1" s="82" t="s">
        <v>115</v>
      </c>
      <c r="C1" s="82" t="s">
        <v>116</v>
      </c>
      <c r="D1" s="83" t="s">
        <v>0</v>
      </c>
      <c r="E1" s="83" t="s">
        <v>1</v>
      </c>
      <c r="F1" s="83" t="s">
        <v>2</v>
      </c>
      <c r="G1" s="83" t="s">
        <v>3</v>
      </c>
      <c r="H1" s="84" t="s">
        <v>97</v>
      </c>
    </row>
    <row r="2" spans="1:8" ht="17" x14ac:dyDescent="0.2">
      <c r="A2" s="12" t="s">
        <v>98</v>
      </c>
      <c r="B2" s="70" t="s">
        <v>35</v>
      </c>
      <c r="C2" s="70" t="s">
        <v>4</v>
      </c>
      <c r="D2" s="109">
        <v>0.26</v>
      </c>
      <c r="E2" s="108">
        <v>0.62</v>
      </c>
      <c r="F2" s="52">
        <v>0.4</v>
      </c>
      <c r="G2" s="52">
        <v>0.2</v>
      </c>
      <c r="H2" s="31">
        <v>0</v>
      </c>
    </row>
    <row r="3" spans="1:8" ht="17" x14ac:dyDescent="0.2">
      <c r="A3" s="12" t="s">
        <v>126</v>
      </c>
      <c r="B3" s="70" t="s">
        <v>125</v>
      </c>
      <c r="C3" s="70" t="s">
        <v>4</v>
      </c>
      <c r="D3" s="109">
        <v>0.52</v>
      </c>
      <c r="E3" s="107">
        <v>0</v>
      </c>
      <c r="F3" s="52">
        <v>0</v>
      </c>
      <c r="G3" s="52">
        <v>0</v>
      </c>
      <c r="H3" s="31">
        <v>0</v>
      </c>
    </row>
    <row r="4" spans="1:8" ht="17" x14ac:dyDescent="0.2">
      <c r="A4" s="12" t="s">
        <v>117</v>
      </c>
      <c r="B4" s="70" t="s">
        <v>124</v>
      </c>
      <c r="C4" s="70" t="s">
        <v>6</v>
      </c>
      <c r="D4" s="108">
        <v>0.02</v>
      </c>
      <c r="E4" s="108">
        <v>0.05</v>
      </c>
      <c r="F4" s="52">
        <v>6.5000000000000002E-2</v>
      </c>
      <c r="G4" s="52">
        <v>7.4999999999999997E-2</v>
      </c>
      <c r="H4" s="31">
        <v>0</v>
      </c>
    </row>
    <row r="5" spans="1:8" ht="17" x14ac:dyDescent="0.2">
      <c r="A5" s="12" t="s">
        <v>99</v>
      </c>
      <c r="B5" s="70" t="s">
        <v>9</v>
      </c>
      <c r="C5" s="70" t="s">
        <v>8</v>
      </c>
      <c r="D5" s="110">
        <v>5.0704225352112664E-2</v>
      </c>
      <c r="E5" s="110">
        <v>7.6056338028168996E-2</v>
      </c>
      <c r="F5" s="110">
        <v>0.13380281690140844</v>
      </c>
      <c r="G5" s="110">
        <v>0.18732394366197183</v>
      </c>
      <c r="H5" s="31">
        <v>0</v>
      </c>
    </row>
    <row r="6" spans="1:8" ht="17" x14ac:dyDescent="0.2">
      <c r="A6" s="12" t="s">
        <v>100</v>
      </c>
      <c r="B6" s="70" t="s">
        <v>10</v>
      </c>
      <c r="C6" s="70" t="s">
        <v>8</v>
      </c>
      <c r="D6" s="110">
        <v>5.6788732394366173E-2</v>
      </c>
      <c r="E6" s="110">
        <v>8.5183098591549253E-2</v>
      </c>
      <c r="F6" s="110">
        <v>0.14985915492957744</v>
      </c>
      <c r="G6" s="110">
        <v>0.2098028169014084</v>
      </c>
      <c r="H6" s="31">
        <v>0</v>
      </c>
    </row>
    <row r="7" spans="1:8" ht="17" x14ac:dyDescent="0.2">
      <c r="A7" s="12" t="s">
        <v>101</v>
      </c>
      <c r="B7" s="70" t="s">
        <v>11</v>
      </c>
      <c r="C7" s="70" t="s">
        <v>8</v>
      </c>
      <c r="D7" s="110">
        <v>1.7746478873239428E-2</v>
      </c>
      <c r="E7" s="110">
        <v>2.6619718309859142E-2</v>
      </c>
      <c r="F7" s="110">
        <v>4.6830985915492951E-2</v>
      </c>
      <c r="G7" s="110">
        <v>6.5563380281690134E-2</v>
      </c>
      <c r="H7" s="31">
        <v>0</v>
      </c>
    </row>
    <row r="8" spans="1:8" ht="17" x14ac:dyDescent="0.2">
      <c r="A8" s="12" t="s">
        <v>102</v>
      </c>
      <c r="B8" s="70" t="s">
        <v>12</v>
      </c>
      <c r="C8" s="70" t="s">
        <v>8</v>
      </c>
      <c r="D8" s="110">
        <v>2.0281690140845063E-2</v>
      </c>
      <c r="E8" s="110">
        <v>3.0422535211267594E-2</v>
      </c>
      <c r="F8" s="110">
        <v>5.3521126760563378E-2</v>
      </c>
      <c r="G8" s="110">
        <v>7.4929577464788732E-2</v>
      </c>
      <c r="H8" s="31">
        <v>0.7</v>
      </c>
    </row>
    <row r="9" spans="1:8" ht="17" x14ac:dyDescent="0.2">
      <c r="A9" s="12" t="s">
        <v>103</v>
      </c>
      <c r="B9" s="70" t="s">
        <v>13</v>
      </c>
      <c r="C9" s="70" t="s">
        <v>8</v>
      </c>
      <c r="D9" s="110">
        <v>6.0845070422535187E-3</v>
      </c>
      <c r="E9" s="110">
        <v>9.1267605633802776E-3</v>
      </c>
      <c r="F9" s="110">
        <v>1.6056338028169012E-2</v>
      </c>
      <c r="G9" s="110">
        <v>2.2478873239436616E-2</v>
      </c>
      <c r="H9" s="31">
        <v>0.7</v>
      </c>
    </row>
    <row r="10" spans="1:8" ht="17" x14ac:dyDescent="0.2">
      <c r="A10" s="12" t="s">
        <v>104</v>
      </c>
      <c r="B10" s="70" t="s">
        <v>14</v>
      </c>
      <c r="C10" s="70" t="s">
        <v>8</v>
      </c>
      <c r="D10" s="110">
        <v>9.1267605633802793E-3</v>
      </c>
      <c r="E10" s="110">
        <v>1.3690140845070418E-2</v>
      </c>
      <c r="F10" s="110">
        <v>2.4084507042253522E-2</v>
      </c>
      <c r="G10" s="110">
        <v>3.371830985915493E-2</v>
      </c>
      <c r="H10" s="31">
        <v>0.7</v>
      </c>
    </row>
    <row r="11" spans="1:8" ht="17" x14ac:dyDescent="0.2">
      <c r="A11" s="12" t="s">
        <v>105</v>
      </c>
      <c r="B11" s="70" t="s">
        <v>15</v>
      </c>
      <c r="C11" s="70" t="s">
        <v>8</v>
      </c>
      <c r="D11" s="110">
        <v>4.5633802816901397E-3</v>
      </c>
      <c r="E11" s="110">
        <v>6.8450704225352091E-3</v>
      </c>
      <c r="F11" s="110">
        <v>1.2042253521126761E-2</v>
      </c>
      <c r="G11" s="110">
        <v>1.6859154929577465E-2</v>
      </c>
      <c r="H11" s="31">
        <v>0.7</v>
      </c>
    </row>
    <row r="12" spans="1:8" ht="17" x14ac:dyDescent="0.2">
      <c r="A12" s="12" t="s">
        <v>106</v>
      </c>
      <c r="B12" s="70" t="s">
        <v>16</v>
      </c>
      <c r="C12" s="70" t="s">
        <v>8</v>
      </c>
      <c r="D12" s="110">
        <v>4.5633802816901397E-3</v>
      </c>
      <c r="E12" s="110">
        <v>6.8450704225352091E-3</v>
      </c>
      <c r="F12" s="110">
        <v>1.2042253521126761E-2</v>
      </c>
      <c r="G12" s="110">
        <v>1.6859154929577465E-2</v>
      </c>
      <c r="H12" s="31">
        <v>0</v>
      </c>
    </row>
    <row r="13" spans="1:8" ht="17" x14ac:dyDescent="0.2">
      <c r="A13" s="12" t="s">
        <v>118</v>
      </c>
      <c r="B13" s="70" t="s">
        <v>107</v>
      </c>
      <c r="C13" s="70" t="s">
        <v>8</v>
      </c>
      <c r="D13" s="110">
        <v>1.0140845070422531E-2</v>
      </c>
      <c r="E13" s="110">
        <v>1.5211267605633797E-2</v>
      </c>
      <c r="F13" s="110">
        <v>2.6760563380281689E-2</v>
      </c>
      <c r="G13" s="110">
        <v>3.7464788732394366E-2</v>
      </c>
      <c r="H13" s="85">
        <v>0.7</v>
      </c>
    </row>
    <row r="14" spans="1:8" ht="17" x14ac:dyDescent="0.2">
      <c r="A14" s="12" t="s">
        <v>109</v>
      </c>
      <c r="B14" s="70" t="s">
        <v>108</v>
      </c>
      <c r="C14" s="70" t="s">
        <v>8</v>
      </c>
      <c r="D14" s="110">
        <v>0</v>
      </c>
      <c r="E14" s="110">
        <v>0</v>
      </c>
      <c r="F14" s="110">
        <v>0</v>
      </c>
      <c r="G14" s="110">
        <v>0</v>
      </c>
      <c r="H14" s="85">
        <v>0.7</v>
      </c>
    </row>
    <row r="15" spans="1:8" ht="17" x14ac:dyDescent="0.2">
      <c r="A15" s="12" t="s">
        <v>110</v>
      </c>
      <c r="B15" s="70" t="s">
        <v>18</v>
      </c>
      <c r="C15" s="70" t="s">
        <v>17</v>
      </c>
      <c r="D15" s="52">
        <v>4.0000000000000001E-3</v>
      </c>
      <c r="E15" s="52">
        <v>1.2E-2</v>
      </c>
      <c r="F15" s="52">
        <v>1.2E-2</v>
      </c>
      <c r="G15" s="52">
        <v>1.2E-2</v>
      </c>
      <c r="H15" s="31">
        <v>1</v>
      </c>
    </row>
    <row r="16" spans="1:8" ht="17" x14ac:dyDescent="0.2">
      <c r="A16" s="12" t="s">
        <v>111</v>
      </c>
      <c r="B16" s="70" t="s">
        <v>19</v>
      </c>
      <c r="C16" s="70" t="s">
        <v>17</v>
      </c>
      <c r="D16" s="52">
        <v>8.0000000000000002E-3</v>
      </c>
      <c r="E16" s="52">
        <v>2.4E-2</v>
      </c>
      <c r="F16" s="52">
        <v>2.4E-2</v>
      </c>
      <c r="G16" s="52">
        <v>2.4E-2</v>
      </c>
      <c r="H16" s="31">
        <v>1</v>
      </c>
    </row>
    <row r="17" spans="1:8" ht="17" x14ac:dyDescent="0.2">
      <c r="A17" s="12" t="s">
        <v>112</v>
      </c>
      <c r="B17" s="70" t="s">
        <v>20</v>
      </c>
      <c r="C17" s="70" t="s">
        <v>17</v>
      </c>
      <c r="D17" s="52">
        <v>8.0000000000000002E-3</v>
      </c>
      <c r="E17" s="52">
        <v>2.4E-2</v>
      </c>
      <c r="F17" s="52">
        <v>2.4E-2</v>
      </c>
      <c r="G17" s="52">
        <v>2.4E-2</v>
      </c>
      <c r="H17" s="31">
        <v>1</v>
      </c>
    </row>
    <row r="18" spans="1:8" ht="17" x14ac:dyDescent="0.2">
      <c r="A18" s="80"/>
      <c r="B18" s="78" t="s">
        <v>96</v>
      </c>
      <c r="C18" s="78"/>
      <c r="D18" s="86">
        <f t="shared" ref="D18:F18" si="0">SUM(D2:D17)</f>
        <v>0.99999999999999989</v>
      </c>
      <c r="E18" s="86">
        <f t="shared" si="0"/>
        <v>1</v>
      </c>
      <c r="F18" s="86">
        <f t="shared" si="0"/>
        <v>1</v>
      </c>
      <c r="G18" s="86">
        <f>SUM(G2:G17)</f>
        <v>1</v>
      </c>
      <c r="H18" s="79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4AA4-27CF-5E49-B72E-153095A658D6}">
  <dimension ref="H4:P12"/>
  <sheetViews>
    <sheetView topLeftCell="C1" workbookViewId="0">
      <selection activeCell="J10" sqref="J10"/>
    </sheetView>
  </sheetViews>
  <sheetFormatPr baseColWidth="10" defaultRowHeight="15" x14ac:dyDescent="0.2"/>
  <cols>
    <col min="8" max="8" width="18.6640625" bestFit="1" customWidth="1"/>
    <col min="14" max="14" width="15.6640625" bestFit="1" customWidth="1"/>
  </cols>
  <sheetData>
    <row r="4" spans="8:16" ht="17" x14ac:dyDescent="0.2">
      <c r="H4" s="1"/>
      <c r="I4" s="1" t="s">
        <v>122</v>
      </c>
      <c r="J4" s="1" t="s">
        <v>123</v>
      </c>
      <c r="M4" s="99">
        <v>0.745</v>
      </c>
      <c r="N4" s="99">
        <v>0.58799999999999997</v>
      </c>
      <c r="O4" s="99">
        <v>0.36</v>
      </c>
      <c r="P4" s="99">
        <v>0.15</v>
      </c>
    </row>
    <row r="5" spans="8:16" x14ac:dyDescent="0.2">
      <c r="H5" s="1" t="s">
        <v>119</v>
      </c>
      <c r="I5" s="105">
        <v>3.1E-2</v>
      </c>
      <c r="J5" s="105">
        <f>M4</f>
        <v>0.745</v>
      </c>
    </row>
    <row r="6" spans="8:16" x14ac:dyDescent="0.2">
      <c r="H6" s="1" t="s">
        <v>1</v>
      </c>
      <c r="I6" s="106">
        <v>4.9000000000000002E-2</v>
      </c>
      <c r="J6" s="105">
        <f>N4</f>
        <v>0.58799999999999997</v>
      </c>
    </row>
    <row r="7" spans="8:16" x14ac:dyDescent="0.2">
      <c r="H7" s="1" t="s">
        <v>120</v>
      </c>
      <c r="I7" s="105">
        <f>AVERAGE(I6,I8)</f>
        <v>6.1499999999999999E-2</v>
      </c>
      <c r="J7" s="105">
        <f>AVERAGE(J6,J8)</f>
        <v>0.47399999999999998</v>
      </c>
    </row>
    <row r="8" spans="8:16" x14ac:dyDescent="0.2">
      <c r="H8" s="1" t="s">
        <v>2</v>
      </c>
      <c r="I8" s="105">
        <v>7.3999999999999996E-2</v>
      </c>
      <c r="J8" s="105">
        <f>O4</f>
        <v>0.36</v>
      </c>
    </row>
    <row r="9" spans="8:16" x14ac:dyDescent="0.2">
      <c r="H9" s="1" t="s">
        <v>121</v>
      </c>
      <c r="I9" s="105">
        <f>AVERAGE(I8,I10)</f>
        <v>8.8499999999999995E-2</v>
      </c>
      <c r="J9" s="105">
        <f>AVERAGE(J8,J10)</f>
        <v>0.255</v>
      </c>
    </row>
    <row r="10" spans="8:16" x14ac:dyDescent="0.2">
      <c r="H10" s="1" t="s">
        <v>3</v>
      </c>
      <c r="I10" s="105">
        <v>0.10299999999999999</v>
      </c>
      <c r="J10" s="105">
        <f>P4</f>
        <v>0.15</v>
      </c>
    </row>
    <row r="11" spans="8:16" x14ac:dyDescent="0.2">
      <c r="I11" s="104">
        <f>I10+(I10-I9)</f>
        <v>0.11749999999999999</v>
      </c>
    </row>
    <row r="12" spans="8:16" x14ac:dyDescent="0.2">
      <c r="I12" s="104">
        <f>I11+(I11-I10)</f>
        <v>0.13200000000000001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Portfolios</vt:lpstr>
      <vt:lpstr>Sheet1</vt:lpstr>
      <vt:lpstr>Risk-Metrics</vt:lpstr>
      <vt:lpstr>Factor Charts</vt:lpstr>
      <vt:lpstr>Assumptions</vt:lpstr>
      <vt:lpstr>RAW WEIGHTS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2025-06-21T09:00:34Z</dcterms:created>
  <dcterms:modified xsi:type="dcterms:W3CDTF">2025-07-10T13:28:17Z</dcterms:modified>
</cp:coreProperties>
</file>